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aardvark_prototype\aardvark_prototype\Calibration data\2026-04-19\"/>
    </mc:Choice>
  </mc:AlternateContent>
  <xr:revisionPtr revIDLastSave="0" documentId="13_ncr:10000001_{7F1820CB-825A-4A99-98EE-D7FF1D92B6C0}" xr6:coauthVersionLast="47" xr6:coauthVersionMax="47" xr10:uidLastSave="{00000000-0000-0000-0000-000000000000}"/>
  <bookViews>
    <workbookView xWindow="-108" yWindow="-108" windowWidth="23256" windowHeight="12456" tabRatio="908" firstSheet="12" activeTab="16" xr2:uid="{D9B19C8F-7188-4FBF-936E-732292BB6C26}"/>
  </bookViews>
  <sheets>
    <sheet name="Summary" sheetId="19" r:id="rId1"/>
    <sheet name="2026-04-17_16-42-00_-22_high" sheetId="18" r:id="rId2"/>
    <sheet name="2026-04-17_16-41-07_-19_high" sheetId="17" r:id="rId3"/>
    <sheet name="2026-04-17_16-43-51_-14_high" sheetId="16" r:id="rId4"/>
    <sheet name="2026-04-17_16-40-13_-12_high" sheetId="15" r:id="rId5"/>
    <sheet name="2026-04-17_16-38-14_-7_high" sheetId="14" r:id="rId6"/>
    <sheet name="2026-04-17_16-36-46_-5_high" sheetId="13" r:id="rId7"/>
    <sheet name="2026-04-17_16-35-28_-2_high" sheetId="12" r:id="rId8"/>
    <sheet name="2026-04-17_16-32-27_0_high" sheetId="11" r:id="rId9"/>
    <sheet name="2026-04-17_16-31-51_5_high" sheetId="10" r:id="rId10"/>
    <sheet name="2026-04-17_16-31-16_7_high" sheetId="9" r:id="rId11"/>
    <sheet name="2026-04-17_16-30-28_9_high" sheetId="8" r:id="rId12"/>
    <sheet name="2026-04-17_16-29-45_13_high" sheetId="7" r:id="rId13"/>
    <sheet name="2026-04-17_16-29-05_14_high" sheetId="6" r:id="rId14"/>
    <sheet name="2026-04-17_16-28-20_16_high" sheetId="5" r:id="rId15"/>
    <sheet name="2026-04-17_16-26-30_19_high" sheetId="4" r:id="rId16"/>
    <sheet name="2026-04-17_16-25-21_23_high" sheetId="3" r:id="rId17"/>
    <sheet name="Sheet1" sheetId="1" r:id="rId18"/>
  </sheets>
  <definedNames>
    <definedName name="ExternalData_1" localSheetId="16" hidden="1">'2026-04-17_16-25-21_23_high'!$A$1:$J$502</definedName>
    <definedName name="ExternalData_10" localSheetId="7" hidden="1">'2026-04-17_16-35-28_-2_high'!$A$1:$J$502</definedName>
    <definedName name="ExternalData_11" localSheetId="6" hidden="1">'2026-04-17_16-36-46_-5_high'!$A$1:$J$502</definedName>
    <definedName name="ExternalData_12" localSheetId="5" hidden="1">'2026-04-17_16-38-14_-7_high'!$A$1:$J$502</definedName>
    <definedName name="ExternalData_13" localSheetId="4" hidden="1">'2026-04-17_16-40-13_-12_high'!$A$1:$J$502</definedName>
    <definedName name="ExternalData_14" localSheetId="3" hidden="1">'2026-04-17_16-43-51_-14_high'!$A$1:$J$502</definedName>
    <definedName name="ExternalData_15" localSheetId="2" hidden="1">'2026-04-17_16-41-07_-19_high'!$A$1:$J$502</definedName>
    <definedName name="ExternalData_16" localSheetId="1" hidden="1">'2026-04-17_16-42-00_-22_high'!$A$1:$J$502</definedName>
    <definedName name="ExternalData_2" localSheetId="15" hidden="1">'2026-04-17_16-26-30_19_high'!$A$1:$J$502</definedName>
    <definedName name="ExternalData_3" localSheetId="14" hidden="1">'2026-04-17_16-28-20_16_high'!$A$1:$J$502</definedName>
    <definedName name="ExternalData_4" localSheetId="13" hidden="1">'2026-04-17_16-29-05_14_high'!$A$1:$J$502</definedName>
    <definedName name="ExternalData_5" localSheetId="12" hidden="1">'2026-04-17_16-29-45_13_high'!$A$1:$J$502</definedName>
    <definedName name="ExternalData_6" localSheetId="11" hidden="1">'2026-04-17_16-30-28_9_high'!$A$1:$J$502</definedName>
    <definedName name="ExternalData_7" localSheetId="10" hidden="1">'2026-04-17_16-31-16_7_high'!$A$1:$J$502</definedName>
    <definedName name="ExternalData_8" localSheetId="9" hidden="1">'2026-04-17_16-31-51_5_high'!$A$1:$J$502</definedName>
    <definedName name="ExternalData_9" localSheetId="8" hidden="1">'2026-04-17_16-32-27_0_high'!$A$1:$J$502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H6" i="19"/>
  <c r="H2" i="19"/>
  <c r="H3" i="19"/>
  <c r="H4" i="19"/>
  <c r="H5" i="19"/>
  <c r="H7" i="19"/>
  <c r="H10" i="19"/>
  <c r="G11" i="19"/>
  <c r="F11" i="19"/>
  <c r="H11" i="19" s="1"/>
  <c r="E11" i="19"/>
  <c r="D11" i="19"/>
  <c r="C11" i="19"/>
  <c r="B11" i="19"/>
  <c r="G10" i="19"/>
  <c r="F10" i="19"/>
  <c r="E10" i="19"/>
  <c r="D10" i="19"/>
  <c r="C10" i="19"/>
  <c r="B10" i="19"/>
  <c r="G9" i="19"/>
  <c r="F9" i="19"/>
  <c r="H9" i="19" s="1"/>
  <c r="E9" i="19"/>
  <c r="D9" i="19"/>
  <c r="C9" i="19"/>
  <c r="B9" i="19"/>
  <c r="G8" i="19"/>
  <c r="F8" i="19"/>
  <c r="H8" i="19" s="1"/>
  <c r="E8" i="19"/>
  <c r="D8" i="19"/>
  <c r="C8" i="19"/>
  <c r="B8" i="19"/>
  <c r="G7" i="19"/>
  <c r="F7" i="19"/>
  <c r="E7" i="19"/>
  <c r="D7" i="19"/>
  <c r="C7" i="19"/>
  <c r="B7" i="19"/>
  <c r="G6" i="19"/>
  <c r="F6" i="19"/>
  <c r="E6" i="19"/>
  <c r="D6" i="19"/>
  <c r="C6" i="19"/>
  <c r="B6" i="19"/>
  <c r="R5" i="19"/>
  <c r="Q5" i="19"/>
  <c r="P5" i="19"/>
  <c r="O5" i="19"/>
  <c r="N5" i="19"/>
  <c r="M5" i="19"/>
  <c r="L5" i="19"/>
  <c r="K5" i="19"/>
  <c r="R4" i="19"/>
  <c r="Q4" i="19"/>
  <c r="P4" i="19"/>
  <c r="O4" i="19"/>
  <c r="N4" i="19"/>
  <c r="M4" i="19"/>
  <c r="L4" i="19"/>
  <c r="K4" i="19"/>
  <c r="R3" i="19"/>
  <c r="Q3" i="19"/>
  <c r="P3" i="19"/>
  <c r="O3" i="19"/>
  <c r="N3" i="19"/>
  <c r="M3" i="19"/>
  <c r="L3" i="19"/>
  <c r="K3" i="19"/>
  <c r="R2" i="19"/>
  <c r="Q2" i="19"/>
  <c r="P2" i="19"/>
  <c r="O2" i="19"/>
  <c r="N2" i="19"/>
  <c r="M2" i="19"/>
  <c r="L2" i="19"/>
  <c r="K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942E85-EA2B-4D87-822E-21EE1DD70C54}" keepAlive="1" name="Query - 2026-04-17" description="Connection to the '2026-04-17' query in the workbook." type="5" refreshedVersion="0" background="1">
    <dbPr connection="Provider=Microsoft.Mashup.OleDb.1;Data Source=$Workbook$;Location=2026-04-17;Extended Properties=&quot;&quot;" command="SELECT * FROM [2026-04-17]"/>
  </connection>
  <connection id="2" xr16:uid="{D70E5AB7-65DB-41A3-B777-C7E3431ED8DB}" keepAlive="1" name="Query - 2026-04-17_16-25-21_23_high" description="Connection to the '2026-04-17_16-25-21_23_high' query in the workbook." type="5" refreshedVersion="8" background="1" saveData="1">
    <dbPr connection="Provider=Microsoft.Mashup.OleDb.1;Data Source=$Workbook$;Location=2026-04-17_16-25-21_23_high;Extended Properties=&quot;&quot;" command="SELECT * FROM [2026-04-17_16-25-21_23_high]"/>
  </connection>
  <connection id="3" xr16:uid="{62B57E54-61CE-478C-9070-D24518294466}" keepAlive="1" name="Query - 2026-04-17_16-26-30_19_high" description="Connection to the '2026-04-17_16-26-30_19_high' query in the workbook." type="5" refreshedVersion="8" background="1" saveData="1">
    <dbPr connection="Provider=Microsoft.Mashup.OleDb.1;Data Source=$Workbook$;Location=2026-04-17_16-26-30_19_high;Extended Properties=&quot;&quot;" command="SELECT * FROM [2026-04-17_16-26-30_19_high]"/>
  </connection>
  <connection id="4" xr16:uid="{66053DA1-E79C-4CBD-A458-0B29AB9351D4}" keepAlive="1" name="Query - 2026-04-17_16-28-20_16_high" description="Connection to the '2026-04-17_16-28-20_16_high' query in the workbook." type="5" refreshedVersion="8" background="1" saveData="1">
    <dbPr connection="Provider=Microsoft.Mashup.OleDb.1;Data Source=$Workbook$;Location=2026-04-17_16-28-20_16_high;Extended Properties=&quot;&quot;" command="SELECT * FROM [2026-04-17_16-28-20_16_high]"/>
  </connection>
  <connection id="5" xr16:uid="{EECC044E-991F-45FB-91FC-36428A1FBE45}" keepAlive="1" name="Query - 2026-04-17_16-29-05_14_high" description="Connection to the '2026-04-17_16-29-05_14_high' query in the workbook." type="5" refreshedVersion="8" background="1" saveData="1">
    <dbPr connection="Provider=Microsoft.Mashup.OleDb.1;Data Source=$Workbook$;Location=2026-04-17_16-29-05_14_high;Extended Properties=&quot;&quot;" command="SELECT * FROM [2026-04-17_16-29-05_14_high]"/>
  </connection>
  <connection id="6" xr16:uid="{01C6F6C8-5C55-4084-9414-122F8FBA3F8F}" keepAlive="1" name="Query - 2026-04-17_16-29-45_13_high" description="Connection to the '2026-04-17_16-29-45_13_high' query in the workbook." type="5" refreshedVersion="8" background="1" saveData="1">
    <dbPr connection="Provider=Microsoft.Mashup.OleDb.1;Data Source=$Workbook$;Location=2026-04-17_16-29-45_13_high;Extended Properties=&quot;&quot;" command="SELECT * FROM [2026-04-17_16-29-45_13_high]"/>
  </connection>
  <connection id="7" xr16:uid="{8A64A06D-6854-4F6E-AC95-8BD4C4764577}" keepAlive="1" name="Query - 2026-04-17_16-30-28_9_high" description="Connection to the '2026-04-17_16-30-28_9_high' query in the workbook." type="5" refreshedVersion="8" background="1" saveData="1">
    <dbPr connection="Provider=Microsoft.Mashup.OleDb.1;Data Source=$Workbook$;Location=2026-04-17_16-30-28_9_high;Extended Properties=&quot;&quot;" command="SELECT * FROM [2026-04-17_16-30-28_9_high]"/>
  </connection>
  <connection id="8" xr16:uid="{4AD3DA27-0799-40A3-AB0A-98E71D1757D9}" keepAlive="1" name="Query - 2026-04-17_16-31-16_7_high" description="Connection to the '2026-04-17_16-31-16_7_high' query in the workbook." type="5" refreshedVersion="8" background="1" saveData="1">
    <dbPr connection="Provider=Microsoft.Mashup.OleDb.1;Data Source=$Workbook$;Location=2026-04-17_16-31-16_7_high;Extended Properties=&quot;&quot;" command="SELECT * FROM [2026-04-17_16-31-16_7_high]"/>
  </connection>
  <connection id="9" xr16:uid="{045B47A0-C38E-4C84-A861-E3E50B0D4AE6}" keepAlive="1" name="Query - 2026-04-17_16-31-51_5_high" description="Connection to the '2026-04-17_16-31-51_5_high' query in the workbook." type="5" refreshedVersion="8" background="1" saveData="1">
    <dbPr connection="Provider=Microsoft.Mashup.OleDb.1;Data Source=$Workbook$;Location=2026-04-17_16-31-51_5_high;Extended Properties=&quot;&quot;" command="SELECT * FROM [2026-04-17_16-31-51_5_high]"/>
  </connection>
  <connection id="10" xr16:uid="{5D7CA3D4-305D-4DBA-B18A-8C1F2025A9D7}" keepAlive="1" name="Query - 2026-04-17_16-32-27_0_high" description="Connection to the '2026-04-17_16-32-27_0_high' query in the workbook." type="5" refreshedVersion="8" background="1" saveData="1">
    <dbPr connection="Provider=Microsoft.Mashup.OleDb.1;Data Source=$Workbook$;Location=2026-04-17_16-32-27_0_high;Extended Properties=&quot;&quot;" command="SELECT * FROM [2026-04-17_16-32-27_0_high]"/>
  </connection>
  <connection id="11" xr16:uid="{EEEADC10-B53B-476E-961D-2D29E953A47F}" keepAlive="1" name="Query - 2026-04-17_16-35-28_-2_high" description="Connection to the '2026-04-17_16-35-28_-2_high' query in the workbook." type="5" refreshedVersion="8" background="1" saveData="1">
    <dbPr connection="Provider=Microsoft.Mashup.OleDb.1;Data Source=$Workbook$;Location=2026-04-17_16-35-28_-2_high;Extended Properties=&quot;&quot;" command="SELECT * FROM [2026-04-17_16-35-28_-2_high]"/>
  </connection>
  <connection id="12" xr16:uid="{194DA6D1-B568-4A69-B4C8-351EE3ADB8AF}" keepAlive="1" name="Query - 2026-04-17_16-36-46_-5_high" description="Connection to the '2026-04-17_16-36-46_-5_high' query in the workbook." type="5" refreshedVersion="8" background="1" saveData="1">
    <dbPr connection="Provider=Microsoft.Mashup.OleDb.1;Data Source=$Workbook$;Location=2026-04-17_16-36-46_-5_high;Extended Properties=&quot;&quot;" command="SELECT * FROM [2026-04-17_16-36-46_-5_high]"/>
  </connection>
  <connection id="13" xr16:uid="{C66A6974-E666-4C94-AB28-83038F32720B}" keepAlive="1" name="Query - 2026-04-17_16-38-14_-7_high" description="Connection to the '2026-04-17_16-38-14_-7_high' query in the workbook." type="5" refreshedVersion="8" background="1" saveData="1">
    <dbPr connection="Provider=Microsoft.Mashup.OleDb.1;Data Source=$Workbook$;Location=2026-04-17_16-38-14_-7_high;Extended Properties=&quot;&quot;" command="SELECT * FROM [2026-04-17_16-38-14_-7_high]"/>
  </connection>
  <connection id="14" xr16:uid="{EAC83C35-37F2-4139-8C04-AD5FF95CCCA1}" keepAlive="1" name="Query - 2026-04-17_16-40-13_-12_high" description="Connection to the '2026-04-17_16-40-13_-12_high' query in the workbook." type="5" refreshedVersion="8" background="1" saveData="1">
    <dbPr connection="Provider=Microsoft.Mashup.OleDb.1;Data Source=$Workbook$;Location=2026-04-17_16-40-13_-12_high;Extended Properties=&quot;&quot;" command="SELECT * FROM [2026-04-17_16-40-13_-12_high]"/>
  </connection>
  <connection id="15" xr16:uid="{C97F0CEF-74CA-4FD1-A128-C19BD2AEDD61}" keepAlive="1" name="Query - 2026-04-17_16-41-07_-19_high" description="Connection to the '2026-04-17_16-41-07_-19_high' query in the workbook." type="5" refreshedVersion="8" background="1" saveData="1">
    <dbPr connection="Provider=Microsoft.Mashup.OleDb.1;Data Source=$Workbook$;Location=2026-04-17_16-41-07_-19_high;Extended Properties=&quot;&quot;" command="SELECT * FROM [2026-04-17_16-41-07_-19_high]"/>
  </connection>
  <connection id="16" xr16:uid="{7B9262EB-6ED6-4D0F-9987-B94C2870F951}" keepAlive="1" name="Query - 2026-04-17_16-42-00_-22_high" description="Connection to the '2026-04-17_16-42-00_-22_high' query in the workbook." type="5" refreshedVersion="8" background="1" saveData="1">
    <dbPr connection="Provider=Microsoft.Mashup.OleDb.1;Data Source=$Workbook$;Location=2026-04-17_16-42-00_-22_high;Extended Properties=&quot;&quot;" command="SELECT * FROM [2026-04-17_16-42-00_-22_high]"/>
  </connection>
  <connection id="17" xr16:uid="{32BB57D0-F442-42BF-91BB-93037CA5A3FF}" keepAlive="1" name="Query - 2026-04-17_16-43-51_-14_high" description="Connection to the '2026-04-17_16-43-51_-14_high' query in the workbook." type="5" refreshedVersion="8" background="1" saveData="1">
    <dbPr connection="Provider=Microsoft.Mashup.OleDb.1;Data Source=$Workbook$;Location=2026-04-17_16-43-51_-14_high;Extended Properties=&quot;&quot;" command="SELECT * FROM [2026-04-17_16-43-51_-14_high]"/>
  </connection>
</connections>
</file>

<file path=xl/sharedStrings.xml><?xml version="1.0" encoding="utf-8"?>
<sst xmlns="http://schemas.openxmlformats.org/spreadsheetml/2006/main" count="170" uniqueCount="20">
  <si>
    <t>count</t>
  </si>
  <si>
    <t>timestamp_ms</t>
  </si>
  <si>
    <t>aoa_valid</t>
  </si>
  <si>
    <t>pfd_raw</t>
  </si>
  <si>
    <t>p45_raw</t>
  </si>
  <si>
    <t>pfwd_filt</t>
  </si>
  <si>
    <t>p45_filt</t>
  </si>
  <si>
    <t>coeff</t>
  </si>
  <si>
    <t>aoa_raw</t>
  </si>
  <si>
    <t>aoa_filt</t>
  </si>
  <si>
    <t>angle</t>
  </si>
  <si>
    <t>pfwd_filt_mean</t>
  </si>
  <si>
    <t>pfwd_filt_median</t>
  </si>
  <si>
    <t>p45_filt_median</t>
  </si>
  <si>
    <t>coeff_median</t>
  </si>
  <si>
    <t>p45_filt_mean</t>
  </si>
  <si>
    <t>coeff_mean</t>
  </si>
  <si>
    <t>predicted_angle_mean</t>
  </si>
  <si>
    <t>new_aoa</t>
  </si>
  <si>
    <t>moving_aoa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</si>
</sst>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coeff_mean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51756862464809"/>
                  <c:y val="-0.45219634004082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Summary!$F$2:$F$11</c:f>
              <c:numCache>
                <c:formatCode>General</c:formatCode>
                <c:ptCount val="10"/>
                <c:pt idx="4">
                  <c:v>1.4468463321357268</c:v>
                </c:pt>
                <c:pt idx="5">
                  <c:v>1.346448580439122</c:v>
                </c:pt>
                <c:pt idx="6">
                  <c:v>1.2300752548902194</c:v>
                </c:pt>
                <c:pt idx="7">
                  <c:v>1.1692435730538917</c:v>
                </c:pt>
                <c:pt idx="8">
                  <c:v>1.0668804583832345</c:v>
                </c:pt>
                <c:pt idx="9">
                  <c:v>1.037635571536925</c:v>
                </c:pt>
              </c:numCache>
            </c:numRef>
          </c:xVal>
          <c:yVal>
            <c:numRef>
              <c:f>Summary!$A$2:$A$11</c:f>
              <c:numCache>
                <c:formatCode>General</c:formatCode>
                <c:ptCount val="10"/>
                <c:pt idx="4">
                  <c:v>-1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9-422B-AF44-A5FE8A53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38527"/>
        <c:axId val="535537567"/>
      </c:scatterChart>
      <c:valAx>
        <c:axId val="5355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7567"/>
        <c:crosses val="autoZero"/>
        <c:crossBetween val="midCat"/>
      </c:valAx>
      <c:valAx>
        <c:axId val="5355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coeff_median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50730327684112"/>
                  <c:y val="-0.42868912219305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Summary!$G$2:$G$11</c:f>
              <c:numCache>
                <c:formatCode>General</c:formatCode>
                <c:ptCount val="10"/>
                <c:pt idx="4">
                  <c:v>1.4424562000000001</c:v>
                </c:pt>
                <c:pt idx="5">
                  <c:v>1.3534303999999999</c:v>
                </c:pt>
                <c:pt idx="6">
                  <c:v>1.2315004000000001</c:v>
                </c:pt>
                <c:pt idx="7">
                  <c:v>1.1718534</c:v>
                </c:pt>
                <c:pt idx="8">
                  <c:v>1.0694444000000001</c:v>
                </c:pt>
                <c:pt idx="9">
                  <c:v>1.0363636000000001</c:v>
                </c:pt>
              </c:numCache>
            </c:numRef>
          </c:xVal>
          <c:yVal>
            <c:numRef>
              <c:f>Summary!$A$2:$A$11</c:f>
              <c:numCache>
                <c:formatCode>General</c:formatCode>
                <c:ptCount val="10"/>
                <c:pt idx="4">
                  <c:v>-1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1-4597-96C6-CA71D789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598095"/>
        <c:axId val="1416601935"/>
      </c:scatterChart>
      <c:valAx>
        <c:axId val="141659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01935"/>
        <c:crosses val="autoZero"/>
        <c:crossBetween val="midCat"/>
      </c:valAx>
      <c:valAx>
        <c:axId val="14166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9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pfwd_p45_mean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pfwd_filt_mean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806386701662288"/>
                  <c:y val="-0.2521179644211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4">
                  <c:v>-1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</c:numCache>
            </c:numRef>
          </c:xVal>
          <c:yVal>
            <c:numRef>
              <c:f>Summary!$B$2:$B$11</c:f>
              <c:numCache>
                <c:formatCode>General</c:formatCode>
                <c:ptCount val="10"/>
                <c:pt idx="4">
                  <c:v>279.08199640718561</c:v>
                </c:pt>
                <c:pt idx="5">
                  <c:v>261.08453808383211</c:v>
                </c:pt>
                <c:pt idx="6">
                  <c:v>238.04183910179637</c:v>
                </c:pt>
                <c:pt idx="7">
                  <c:v>220.2970717564867</c:v>
                </c:pt>
                <c:pt idx="8">
                  <c:v>204.71259225548931</c:v>
                </c:pt>
                <c:pt idx="9">
                  <c:v>200.40656968063874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1-4DB3-98E7-DF4A6C67AE08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p45_filt_mean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49168853893264E-2"/>
                  <c:y val="0.173675634295713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4">
                  <c:v>-1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</c:numCache>
            </c:numRef>
          </c:xVal>
          <c:yVal>
            <c:numRef>
              <c:f>Summary!$C$2:$C$11</c:f>
              <c:numCache>
                <c:formatCode>General</c:formatCode>
                <c:ptCount val="10"/>
                <c:pt idx="4">
                  <c:v>192.95117371257476</c:v>
                </c:pt>
                <c:pt idx="5">
                  <c:v>193.96578968063881</c:v>
                </c:pt>
                <c:pt idx="6">
                  <c:v>193.62204980039928</c:v>
                </c:pt>
                <c:pt idx="7">
                  <c:v>188.51742632734536</c:v>
                </c:pt>
                <c:pt idx="8">
                  <c:v>191.95005972055901</c:v>
                </c:pt>
                <c:pt idx="9">
                  <c:v>193.24538762475046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1-4DB3-98E7-DF4A6C67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063791"/>
        <c:axId val="642064271"/>
      </c:scatterChart>
      <c:valAx>
        <c:axId val="6420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64271"/>
        <c:crosses val="autoZero"/>
        <c:crossBetween val="midCat"/>
      </c:valAx>
      <c:valAx>
        <c:axId val="6420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6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pfwd_p45_median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pfwd_filt_median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417497812773404"/>
                  <c:y val="-0.270036089238845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4">
                  <c:v>-1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</c:numCache>
            </c:numRef>
          </c:xVal>
          <c:yVal>
            <c:numRef>
              <c:f>Summary!$D$2:$D$11</c:f>
              <c:numCache>
                <c:formatCode>General</c:formatCode>
                <c:ptCount val="10"/>
                <c:pt idx="4">
                  <c:v>278.73334</c:v>
                </c:pt>
                <c:pt idx="5">
                  <c:v>261.60000000000002</c:v>
                </c:pt>
                <c:pt idx="6">
                  <c:v>238.6</c:v>
                </c:pt>
                <c:pt idx="7">
                  <c:v>220.86667</c:v>
                </c:pt>
                <c:pt idx="8">
                  <c:v>205.2</c:v>
                </c:pt>
                <c:pt idx="9">
                  <c:v>200.33332999999999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C-43FF-911E-296F347AEB4A}"/>
            </c:ext>
          </c:extLst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p45_filt_median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491688538932631E-2"/>
                  <c:y val="0.18733705161854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4">
                  <c:v>-1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</c:numCache>
            </c:numRef>
          </c:xVal>
          <c:yVal>
            <c:numRef>
              <c:f>Summary!$E$2:$E$11</c:f>
              <c:numCache>
                <c:formatCode>General</c:formatCode>
                <c:ptCount val="10"/>
                <c:pt idx="4">
                  <c:v>192.8</c:v>
                </c:pt>
                <c:pt idx="5">
                  <c:v>193.2</c:v>
                </c:pt>
                <c:pt idx="6">
                  <c:v>193.2</c:v>
                </c:pt>
                <c:pt idx="7">
                  <c:v>188.4</c:v>
                </c:pt>
                <c:pt idx="8">
                  <c:v>192</c:v>
                </c:pt>
                <c:pt idx="9">
                  <c:v>193.2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C-43FF-911E-296F347AE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51264"/>
        <c:axId val="270149824"/>
      </c:scatterChart>
      <c:valAx>
        <c:axId val="27015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49824"/>
        <c:crosses val="autoZero"/>
        <c:crossBetween val="midCat"/>
      </c:valAx>
      <c:valAx>
        <c:axId val="2701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5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'2026-04-17_16-25-21_23_high'!$K$1</c:f>
              <c:strCache>
                <c:ptCount val="1"/>
                <c:pt idx="0">
                  <c:v>new_aoa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'2026-04-17_16-25-21_23_high'!$K$2:$K$502</c:f>
              <c:numCache>
                <c:formatCode>General</c:formatCode>
                <c:ptCount val="501"/>
                <c:pt idx="0">
                  <c:v>32.174844397279998</c:v>
                </c:pt>
                <c:pt idx="1">
                  <c:v>28.827730340799995</c:v>
                </c:pt>
                <c:pt idx="2">
                  <c:v>26.17168835359999</c:v>
                </c:pt>
                <c:pt idx="3">
                  <c:v>25.584565627839993</c:v>
                </c:pt>
                <c:pt idx="4">
                  <c:v>24.595162947199995</c:v>
                </c:pt>
                <c:pt idx="5">
                  <c:v>23.639592244799999</c:v>
                </c:pt>
                <c:pt idx="6">
                  <c:v>23.186895156799991</c:v>
                </c:pt>
                <c:pt idx="7">
                  <c:v>22.804291484799997</c:v>
                </c:pt>
                <c:pt idx="8">
                  <c:v>22.502335620799997</c:v>
                </c:pt>
                <c:pt idx="9">
                  <c:v>22.636952852799993</c:v>
                </c:pt>
                <c:pt idx="10">
                  <c:v>22.747498273599994</c:v>
                </c:pt>
                <c:pt idx="11">
                  <c:v>22.407050903999995</c:v>
                </c:pt>
                <c:pt idx="12">
                  <c:v>22.255446391999996</c:v>
                </c:pt>
                <c:pt idx="13">
                  <c:v>22.125786103999992</c:v>
                </c:pt>
                <c:pt idx="14">
                  <c:v>22.013631068799995</c:v>
                </c:pt>
                <c:pt idx="15">
                  <c:v>21.177795627199991</c:v>
                </c:pt>
                <c:pt idx="16">
                  <c:v>20.818450604799999</c:v>
                </c:pt>
                <c:pt idx="17">
                  <c:v>20.818450604799999</c:v>
                </c:pt>
                <c:pt idx="18">
                  <c:v>20.448952201599994</c:v>
                </c:pt>
                <c:pt idx="19">
                  <c:v>20.207732825599997</c:v>
                </c:pt>
                <c:pt idx="20">
                  <c:v>20.090732238400001</c:v>
                </c:pt>
                <c:pt idx="21">
                  <c:v>19.973714942399994</c:v>
                </c:pt>
                <c:pt idx="22">
                  <c:v>20.009455065600001</c:v>
                </c:pt>
                <c:pt idx="23">
                  <c:v>20.160931476799988</c:v>
                </c:pt>
                <c:pt idx="24">
                  <c:v>20.052858958400002</c:v>
                </c:pt>
                <c:pt idx="25">
                  <c:v>19.945237577599997</c:v>
                </c:pt>
                <c:pt idx="26">
                  <c:v>20.18399519039999</c:v>
                </c:pt>
                <c:pt idx="27">
                  <c:v>20.299302619199999</c:v>
                </c:pt>
                <c:pt idx="28">
                  <c:v>20.779775302399997</c:v>
                </c:pt>
                <c:pt idx="29">
                  <c:v>21.349272471999996</c:v>
                </c:pt>
                <c:pt idx="30">
                  <c:v>21.911807641599992</c:v>
                </c:pt>
                <c:pt idx="31">
                  <c:v>22.467531190399995</c:v>
                </c:pt>
                <c:pt idx="32">
                  <c:v>22.904722511999992</c:v>
                </c:pt>
                <c:pt idx="33">
                  <c:v>23.109761766399998</c:v>
                </c:pt>
                <c:pt idx="34">
                  <c:v>23.427540863999994</c:v>
                </c:pt>
                <c:pt idx="35">
                  <c:v>23.744044523199989</c:v>
                </c:pt>
                <c:pt idx="36">
                  <c:v>24.059281098399993</c:v>
                </c:pt>
                <c:pt idx="37">
                  <c:v>24.263092256</c:v>
                </c:pt>
                <c:pt idx="38">
                  <c:v>24.615129963199998</c:v>
                </c:pt>
                <c:pt idx="39">
                  <c:v>24.707772461759994</c:v>
                </c:pt>
                <c:pt idx="40">
                  <c:v>24.800413846399998</c:v>
                </c:pt>
                <c:pt idx="41">
                  <c:v>24.783701704639995</c:v>
                </c:pt>
                <c:pt idx="42">
                  <c:v>24.766923841599997</c:v>
                </c:pt>
                <c:pt idx="43">
                  <c:v>24.417832452799992</c:v>
                </c:pt>
                <c:pt idx="44">
                  <c:v>24.08154000479999</c:v>
                </c:pt>
                <c:pt idx="45">
                  <c:v>23.626709759999997</c:v>
                </c:pt>
                <c:pt idx="46">
                  <c:v>23.164377264000002</c:v>
                </c:pt>
                <c:pt idx="47">
                  <c:v>22.71608015999999</c:v>
                </c:pt>
                <c:pt idx="48">
                  <c:v>22.619581270399991</c:v>
                </c:pt>
                <c:pt idx="49">
                  <c:v>22.523093520000003</c:v>
                </c:pt>
                <c:pt idx="50">
                  <c:v>22.1880096752</c:v>
                </c:pt>
                <c:pt idx="51">
                  <c:v>21.737818907200001</c:v>
                </c:pt>
                <c:pt idx="52">
                  <c:v>21.285751183999999</c:v>
                </c:pt>
                <c:pt idx="53">
                  <c:v>21.013297491199999</c:v>
                </c:pt>
                <c:pt idx="54">
                  <c:v>20.890281735999991</c:v>
                </c:pt>
                <c:pt idx="55">
                  <c:v>20.766748008</c:v>
                </c:pt>
                <c:pt idx="56">
                  <c:v>20.642690737599999</c:v>
                </c:pt>
                <c:pt idx="57">
                  <c:v>20.518109924799994</c:v>
                </c:pt>
                <c:pt idx="58">
                  <c:v>20.392999999999994</c:v>
                </c:pt>
                <c:pt idx="59">
                  <c:v>20.04242709759999</c:v>
                </c:pt>
                <c:pt idx="60">
                  <c:v>19.943678089599992</c:v>
                </c:pt>
                <c:pt idx="61">
                  <c:v>19.844923512000001</c:v>
                </c:pt>
                <c:pt idx="62">
                  <c:v>19.844923512000001</c:v>
                </c:pt>
                <c:pt idx="63">
                  <c:v>19.844923512000001</c:v>
                </c:pt>
                <c:pt idx="64">
                  <c:v>19.943678089599992</c:v>
                </c:pt>
                <c:pt idx="65">
                  <c:v>20.294668711999989</c:v>
                </c:pt>
                <c:pt idx="66">
                  <c:v>20.766670033599993</c:v>
                </c:pt>
                <c:pt idx="67">
                  <c:v>21.238665785599999</c:v>
                </c:pt>
                <c:pt idx="68">
                  <c:v>21.128699603199991</c:v>
                </c:pt>
                <c:pt idx="69">
                  <c:v>21.266953783999995</c:v>
                </c:pt>
                <c:pt idx="70">
                  <c:v>21.281189681599997</c:v>
                </c:pt>
                <c:pt idx="71">
                  <c:v>21.419733481599991</c:v>
                </c:pt>
                <c:pt idx="72">
                  <c:v>21.804615119999994</c:v>
                </c:pt>
                <c:pt idx="73">
                  <c:v>21.950739145599989</c:v>
                </c:pt>
                <c:pt idx="74">
                  <c:v>22.427853359999993</c:v>
                </c:pt>
                <c:pt idx="75">
                  <c:v>22.781918401599995</c:v>
                </c:pt>
                <c:pt idx="76">
                  <c:v>22.879425388800001</c:v>
                </c:pt>
                <c:pt idx="77">
                  <c:v>22.976932375999993</c:v>
                </c:pt>
                <c:pt idx="78">
                  <c:v>23.0744393632</c:v>
                </c:pt>
                <c:pt idx="79">
                  <c:v>22.859926219199991</c:v>
                </c:pt>
                <c:pt idx="80">
                  <c:v>22.528401348799996</c:v>
                </c:pt>
                <c:pt idx="81">
                  <c:v>22.060365582399996</c:v>
                </c:pt>
                <c:pt idx="82">
                  <c:v>21.592335385599995</c:v>
                </c:pt>
                <c:pt idx="83">
                  <c:v>21.485365647999998</c:v>
                </c:pt>
                <c:pt idx="84">
                  <c:v>21.374073900799999</c:v>
                </c:pt>
                <c:pt idx="85">
                  <c:v>21.384466774399996</c:v>
                </c:pt>
                <c:pt idx="86">
                  <c:v>21.394776103999988</c:v>
                </c:pt>
                <c:pt idx="87">
                  <c:v>21.164150107200001</c:v>
                </c:pt>
                <c:pt idx="88">
                  <c:v>20.567055569600001</c:v>
                </c:pt>
                <c:pt idx="89">
                  <c:v>19.728914313600001</c:v>
                </c:pt>
                <c:pt idx="90">
                  <c:v>18.99766482079999</c:v>
                </c:pt>
                <c:pt idx="91">
                  <c:v>18.524672110399997</c:v>
                </c:pt>
                <c:pt idx="92">
                  <c:v>18.308337707199989</c:v>
                </c:pt>
                <c:pt idx="93">
                  <c:v>18.221975489599998</c:v>
                </c:pt>
                <c:pt idx="94">
                  <c:v>18.351407423999994</c:v>
                </c:pt>
                <c:pt idx="95">
                  <c:v>18.714790406399992</c:v>
                </c:pt>
                <c:pt idx="96">
                  <c:v>19.203478249599989</c:v>
                </c:pt>
                <c:pt idx="97">
                  <c:v>19.688078006399998</c:v>
                </c:pt>
                <c:pt idx="98">
                  <c:v>19.928868523199988</c:v>
                </c:pt>
                <c:pt idx="99">
                  <c:v>20.149352278399995</c:v>
                </c:pt>
                <c:pt idx="100">
                  <c:v>20.025562348799994</c:v>
                </c:pt>
                <c:pt idx="101">
                  <c:v>20.269460702400004</c:v>
                </c:pt>
                <c:pt idx="102">
                  <c:v>20.514367153599991</c:v>
                </c:pt>
                <c:pt idx="103">
                  <c:v>20.992506174399992</c:v>
                </c:pt>
                <c:pt idx="104">
                  <c:v>21.46666850079999</c:v>
                </c:pt>
                <c:pt idx="105">
                  <c:v>21.940908801600003</c:v>
                </c:pt>
                <c:pt idx="106">
                  <c:v>22.409317731199991</c:v>
                </c:pt>
                <c:pt idx="107">
                  <c:v>22.526212495999992</c:v>
                </c:pt>
                <c:pt idx="108">
                  <c:v>22.526212495999992</c:v>
                </c:pt>
                <c:pt idx="109">
                  <c:v>22.526212495999992</c:v>
                </c:pt>
                <c:pt idx="110">
                  <c:v>22.295185488000001</c:v>
                </c:pt>
                <c:pt idx="111">
                  <c:v>21.944885495999998</c:v>
                </c:pt>
                <c:pt idx="112">
                  <c:v>21.921766086399991</c:v>
                </c:pt>
                <c:pt idx="113">
                  <c:v>22.017468523199994</c:v>
                </c:pt>
                <c:pt idx="114">
                  <c:v>22.135889358399993</c:v>
                </c:pt>
                <c:pt idx="115">
                  <c:v>22.583156086399995</c:v>
                </c:pt>
                <c:pt idx="116">
                  <c:v>22.572161695999995</c:v>
                </c:pt>
                <c:pt idx="117">
                  <c:v>22.213685531199992</c:v>
                </c:pt>
                <c:pt idx="118">
                  <c:v>22.213685531199992</c:v>
                </c:pt>
                <c:pt idx="119">
                  <c:v>22.213685531199992</c:v>
                </c:pt>
                <c:pt idx="120">
                  <c:v>22.191395991999997</c:v>
                </c:pt>
                <c:pt idx="121">
                  <c:v>22.169022908799995</c:v>
                </c:pt>
                <c:pt idx="122">
                  <c:v>22.393327409599991</c:v>
                </c:pt>
                <c:pt idx="123">
                  <c:v>22.501611572799995</c:v>
                </c:pt>
                <c:pt idx="124">
                  <c:v>22.5942841472</c:v>
                </c:pt>
                <c:pt idx="125">
                  <c:v>22.687352163199996</c:v>
                </c:pt>
                <c:pt idx="126">
                  <c:v>22.897883043199997</c:v>
                </c:pt>
                <c:pt idx="127">
                  <c:v>22.897883043199997</c:v>
                </c:pt>
                <c:pt idx="128">
                  <c:v>22.780798911999995</c:v>
                </c:pt>
                <c:pt idx="129">
                  <c:v>22.426600199999996</c:v>
                </c:pt>
                <c:pt idx="130">
                  <c:v>22.067962516799994</c:v>
                </c:pt>
                <c:pt idx="131">
                  <c:v>21.802498671999992</c:v>
                </c:pt>
                <c:pt idx="132">
                  <c:v>21.900206164799989</c:v>
                </c:pt>
                <c:pt idx="133">
                  <c:v>21.904355516799988</c:v>
                </c:pt>
                <c:pt idx="134">
                  <c:v>21.90848815999999</c:v>
                </c:pt>
                <c:pt idx="135">
                  <c:v>21.815503687999993</c:v>
                </c:pt>
                <c:pt idx="136">
                  <c:v>21.722903518399995</c:v>
                </c:pt>
                <c:pt idx="137">
                  <c:v>21.495318523199998</c:v>
                </c:pt>
                <c:pt idx="138">
                  <c:v>21.625402100799995</c:v>
                </c:pt>
                <c:pt idx="139">
                  <c:v>21.768652212799992</c:v>
                </c:pt>
                <c:pt idx="140">
                  <c:v>21.800616147199996</c:v>
                </c:pt>
                <c:pt idx="141">
                  <c:v>21.714354182400001</c:v>
                </c:pt>
                <c:pt idx="142">
                  <c:v>21.737662958399994</c:v>
                </c:pt>
                <c:pt idx="143">
                  <c:v>21.406216062399992</c:v>
                </c:pt>
                <c:pt idx="144">
                  <c:v>21.548602886399998</c:v>
                </c:pt>
                <c:pt idx="145">
                  <c:v>21.689842372799994</c:v>
                </c:pt>
                <c:pt idx="146">
                  <c:v>21.829934521599995</c:v>
                </c:pt>
                <c:pt idx="147">
                  <c:v>21.852769881599997</c:v>
                </c:pt>
                <c:pt idx="148">
                  <c:v>21.852769881599997</c:v>
                </c:pt>
                <c:pt idx="149">
                  <c:v>21.852769881599997</c:v>
                </c:pt>
                <c:pt idx="150">
                  <c:v>21.848692934399992</c:v>
                </c:pt>
                <c:pt idx="151">
                  <c:v>21.844588139199992</c:v>
                </c:pt>
                <c:pt idx="152">
                  <c:v>21.727504007999997</c:v>
                </c:pt>
                <c:pt idx="153">
                  <c:v>21.704273206400003</c:v>
                </c:pt>
                <c:pt idx="154">
                  <c:v>21.354418782399996</c:v>
                </c:pt>
                <c:pt idx="155">
                  <c:v>21.229960500799997</c:v>
                </c:pt>
                <c:pt idx="156">
                  <c:v>21.224535710399998</c:v>
                </c:pt>
                <c:pt idx="157">
                  <c:v>20.862890443200001</c:v>
                </c:pt>
                <c:pt idx="158">
                  <c:v>20.862890443200001</c:v>
                </c:pt>
                <c:pt idx="159">
                  <c:v>20.619292847999994</c:v>
                </c:pt>
                <c:pt idx="160">
                  <c:v>20.470356174399996</c:v>
                </c:pt>
                <c:pt idx="161">
                  <c:v>20.456114707199994</c:v>
                </c:pt>
                <c:pt idx="162">
                  <c:v>20.429492019199991</c:v>
                </c:pt>
                <c:pt idx="163">
                  <c:v>20.656269422400001</c:v>
                </c:pt>
                <c:pt idx="164">
                  <c:v>20.747204281599991</c:v>
                </c:pt>
                <c:pt idx="165">
                  <c:v>20.858117295999996</c:v>
                </c:pt>
                <c:pt idx="166">
                  <c:v>20.969487017599995</c:v>
                </c:pt>
                <c:pt idx="167">
                  <c:v>21.199333270399997</c:v>
                </c:pt>
                <c:pt idx="168">
                  <c:v>20.950951388799993</c:v>
                </c:pt>
                <c:pt idx="169">
                  <c:v>21.182223459199989</c:v>
                </c:pt>
                <c:pt idx="170">
                  <c:v>21.176470062399993</c:v>
                </c:pt>
                <c:pt idx="171">
                  <c:v>21.295475705599998</c:v>
                </c:pt>
                <c:pt idx="172">
                  <c:v>21.642205583999996</c:v>
                </c:pt>
                <c:pt idx="173">
                  <c:v>21.986005852799991</c:v>
                </c:pt>
                <c:pt idx="174">
                  <c:v>22.326887651199996</c:v>
                </c:pt>
                <c:pt idx="175">
                  <c:v>22.447402655999994</c:v>
                </c:pt>
                <c:pt idx="176">
                  <c:v>22.447402655999994</c:v>
                </c:pt>
                <c:pt idx="177">
                  <c:v>22.584203171200002</c:v>
                </c:pt>
                <c:pt idx="178">
                  <c:v>22.447402655999994</c:v>
                </c:pt>
                <c:pt idx="179">
                  <c:v>22.34968959359999</c:v>
                </c:pt>
                <c:pt idx="180">
                  <c:v>22.356083494399989</c:v>
                </c:pt>
                <c:pt idx="181">
                  <c:v>22.365568523199997</c:v>
                </c:pt>
                <c:pt idx="182">
                  <c:v>22.608180299200001</c:v>
                </c:pt>
                <c:pt idx="183">
                  <c:v>23.075079867199989</c:v>
                </c:pt>
                <c:pt idx="184">
                  <c:v>23.402327284799988</c:v>
                </c:pt>
                <c:pt idx="185">
                  <c:v>24.060776535999999</c:v>
                </c:pt>
                <c:pt idx="186">
                  <c:v>24.395916076799999</c:v>
                </c:pt>
                <c:pt idx="187">
                  <c:v>24.506489345599995</c:v>
                </c:pt>
                <c:pt idx="188">
                  <c:v>24.301862241599999</c:v>
                </c:pt>
                <c:pt idx="189">
                  <c:v>24.079451404799997</c:v>
                </c:pt>
                <c:pt idx="190">
                  <c:v>23.873999999999995</c:v>
                </c:pt>
                <c:pt idx="191">
                  <c:v>23.423018348799999</c:v>
                </c:pt>
                <c:pt idx="192">
                  <c:v>22.968377470399993</c:v>
                </c:pt>
                <c:pt idx="193">
                  <c:v>22.642628275199996</c:v>
                </c:pt>
                <c:pt idx="194">
                  <c:v>22.526212495999992</c:v>
                </c:pt>
                <c:pt idx="195">
                  <c:v>22.526212495999992</c:v>
                </c:pt>
                <c:pt idx="196">
                  <c:v>22.640110815999996</c:v>
                </c:pt>
                <c:pt idx="197">
                  <c:v>22.523449974399995</c:v>
                </c:pt>
                <c:pt idx="198">
                  <c:v>22.539735484799998</c:v>
                </c:pt>
                <c:pt idx="199">
                  <c:v>22.326887651199996</c:v>
                </c:pt>
                <c:pt idx="200">
                  <c:v>22.105874783999994</c:v>
                </c:pt>
                <c:pt idx="201">
                  <c:v>21.986651926399993</c:v>
                </c:pt>
                <c:pt idx="202">
                  <c:v>21.654648070399993</c:v>
                </c:pt>
                <c:pt idx="203">
                  <c:v>21.7748066208</c:v>
                </c:pt>
                <c:pt idx="204">
                  <c:v>22.517885943999993</c:v>
                </c:pt>
                <c:pt idx="205">
                  <c:v>23.078343652799994</c:v>
                </c:pt>
                <c:pt idx="206">
                  <c:v>24.079521581759998</c:v>
                </c:pt>
                <c:pt idx="207">
                  <c:v>25.053529888</c:v>
                </c:pt>
                <c:pt idx="208">
                  <c:v>25.874179815199994</c:v>
                </c:pt>
                <c:pt idx="209">
                  <c:v>26.480817862399995</c:v>
                </c:pt>
                <c:pt idx="210">
                  <c:v>26.87205441439999</c:v>
                </c:pt>
                <c:pt idx="211">
                  <c:v>26.770548454399993</c:v>
                </c:pt>
                <c:pt idx="212">
                  <c:v>26.561167139839995</c:v>
                </c:pt>
                <c:pt idx="213">
                  <c:v>26.135586206399992</c:v>
                </c:pt>
                <c:pt idx="214">
                  <c:v>25.924158620799993</c:v>
                </c:pt>
                <c:pt idx="215">
                  <c:v>25.600447899199999</c:v>
                </c:pt>
                <c:pt idx="216">
                  <c:v>25.381724137599996</c:v>
                </c:pt>
                <c:pt idx="217">
                  <c:v>25.381724137599996</c:v>
                </c:pt>
                <c:pt idx="218">
                  <c:v>25.276739405439997</c:v>
                </c:pt>
                <c:pt idx="219">
                  <c:v>24.706092670399997</c:v>
                </c:pt>
                <c:pt idx="220">
                  <c:v>24.383470805599998</c:v>
                </c:pt>
                <c:pt idx="221">
                  <c:v>23.837335323199994</c:v>
                </c:pt>
                <c:pt idx="222">
                  <c:v>23.282864934400003</c:v>
                </c:pt>
                <c:pt idx="223">
                  <c:v>22.757100264000002</c:v>
                </c:pt>
                <c:pt idx="224">
                  <c:v>22.316990471999993</c:v>
                </c:pt>
                <c:pt idx="225">
                  <c:v>21.846966358399996</c:v>
                </c:pt>
                <c:pt idx="226">
                  <c:v>21.823841379200005</c:v>
                </c:pt>
                <c:pt idx="227">
                  <c:v>21.9147483904</c:v>
                </c:pt>
                <c:pt idx="228">
                  <c:v>22.006034134399997</c:v>
                </c:pt>
                <c:pt idx="229">
                  <c:v>22.231385719999999</c:v>
                </c:pt>
                <c:pt idx="230">
                  <c:v>21.994454936000004</c:v>
                </c:pt>
                <c:pt idx="231">
                  <c:v>21.635354975999995</c:v>
                </c:pt>
                <c:pt idx="232">
                  <c:v>21.50972707839999</c:v>
                </c:pt>
                <c:pt idx="233">
                  <c:v>21.383057665599999</c:v>
                </c:pt>
                <c:pt idx="234">
                  <c:v>21.163297958399994</c:v>
                </c:pt>
                <c:pt idx="235">
                  <c:v>20.942630406399992</c:v>
                </c:pt>
                <c:pt idx="236">
                  <c:v>20.721032731199998</c:v>
                </c:pt>
                <c:pt idx="237">
                  <c:v>20.498482654399993</c:v>
                </c:pt>
                <c:pt idx="238">
                  <c:v>20.373333742399993</c:v>
                </c:pt>
                <c:pt idx="239">
                  <c:v>20.247650148799991</c:v>
                </c:pt>
                <c:pt idx="240">
                  <c:v>20.247650148799991</c:v>
                </c:pt>
                <c:pt idx="241">
                  <c:v>20.247650148799991</c:v>
                </c:pt>
                <c:pt idx="242">
                  <c:v>20.247650148799991</c:v>
                </c:pt>
                <c:pt idx="243">
                  <c:v>20.247650148799991</c:v>
                </c:pt>
                <c:pt idx="244">
                  <c:v>20.10969115679999</c:v>
                </c:pt>
                <c:pt idx="245">
                  <c:v>20.452004342399995</c:v>
                </c:pt>
                <c:pt idx="246">
                  <c:v>20.916859867199996</c:v>
                </c:pt>
                <c:pt idx="247">
                  <c:v>21.260816084799998</c:v>
                </c:pt>
                <c:pt idx="248">
                  <c:v>21.260816084799998</c:v>
                </c:pt>
                <c:pt idx="249">
                  <c:v>21.383057665599999</c:v>
                </c:pt>
                <c:pt idx="250">
                  <c:v>21.601881679999998</c:v>
                </c:pt>
                <c:pt idx="251">
                  <c:v>21.698976516800002</c:v>
                </c:pt>
                <c:pt idx="252">
                  <c:v>21.698976516800002</c:v>
                </c:pt>
                <c:pt idx="253">
                  <c:v>21.796082492799997</c:v>
                </c:pt>
                <c:pt idx="254">
                  <c:v>21.796082492799997</c:v>
                </c:pt>
                <c:pt idx="255">
                  <c:v>21.819797849599993</c:v>
                </c:pt>
                <c:pt idx="256">
                  <c:v>21.843412953600001</c:v>
                </c:pt>
                <c:pt idx="257">
                  <c:v>21.866938943999997</c:v>
                </c:pt>
                <c:pt idx="258">
                  <c:v>21.7748066208</c:v>
                </c:pt>
                <c:pt idx="259">
                  <c:v>21.67851937599999</c:v>
                </c:pt>
                <c:pt idx="260">
                  <c:v>21.230077462399997</c:v>
                </c:pt>
                <c:pt idx="261">
                  <c:v>20.5407670576</c:v>
                </c:pt>
                <c:pt idx="262">
                  <c:v>19.845675407999991</c:v>
                </c:pt>
                <c:pt idx="263">
                  <c:v>19.612153219199996</c:v>
                </c:pt>
                <c:pt idx="264">
                  <c:v>19.252162123199994</c:v>
                </c:pt>
                <c:pt idx="265">
                  <c:v>18.920642822399998</c:v>
                </c:pt>
                <c:pt idx="266">
                  <c:v>18.706129678399996</c:v>
                </c:pt>
                <c:pt idx="267">
                  <c:v>18.706129678399996</c:v>
                </c:pt>
                <c:pt idx="268">
                  <c:v>18.608617121599998</c:v>
                </c:pt>
                <c:pt idx="269">
                  <c:v>18.351407423999994</c:v>
                </c:pt>
                <c:pt idx="270">
                  <c:v>17.830393622399995</c:v>
                </c:pt>
                <c:pt idx="271">
                  <c:v>17.539471135999996</c:v>
                </c:pt>
                <c:pt idx="272">
                  <c:v>17.002416886399992</c:v>
                </c:pt>
                <c:pt idx="273">
                  <c:v>16.95750920159999</c:v>
                </c:pt>
                <c:pt idx="274">
                  <c:v>17.064005523200002</c:v>
                </c:pt>
                <c:pt idx="275">
                  <c:v>17.54399365119999</c:v>
                </c:pt>
                <c:pt idx="276">
                  <c:v>18.042066270399999</c:v>
                </c:pt>
                <c:pt idx="277">
                  <c:v>18.638648404799994</c:v>
                </c:pt>
                <c:pt idx="278">
                  <c:v>19.011650086399996</c:v>
                </c:pt>
                <c:pt idx="279">
                  <c:v>19.222598686399998</c:v>
                </c:pt>
                <c:pt idx="280">
                  <c:v>19.202336481599993</c:v>
                </c:pt>
                <c:pt idx="281">
                  <c:v>19.192132974399996</c:v>
                </c:pt>
                <c:pt idx="282">
                  <c:v>19.060010923199997</c:v>
                </c:pt>
                <c:pt idx="283">
                  <c:v>18.927315203200003</c:v>
                </c:pt>
                <c:pt idx="284">
                  <c:v>18.927315203200003</c:v>
                </c:pt>
                <c:pt idx="285">
                  <c:v>19.192132974399996</c:v>
                </c:pt>
                <c:pt idx="286">
                  <c:v>18.959646731199996</c:v>
                </c:pt>
                <c:pt idx="287">
                  <c:v>18.970329223999997</c:v>
                </c:pt>
                <c:pt idx="288">
                  <c:v>18.871006547199997</c:v>
                </c:pt>
                <c:pt idx="289">
                  <c:v>18.641221559999991</c:v>
                </c:pt>
                <c:pt idx="290">
                  <c:v>18.54097432959999</c:v>
                </c:pt>
                <c:pt idx="291">
                  <c:v>18.54097432959999</c:v>
                </c:pt>
                <c:pt idx="292">
                  <c:v>18.54097432959999</c:v>
                </c:pt>
                <c:pt idx="293">
                  <c:v>18.641221559999991</c:v>
                </c:pt>
                <c:pt idx="294">
                  <c:v>18.55247555359999</c:v>
                </c:pt>
                <c:pt idx="295">
                  <c:v>18.563915511999994</c:v>
                </c:pt>
                <c:pt idx="296">
                  <c:v>18.694828960000002</c:v>
                </c:pt>
                <c:pt idx="297">
                  <c:v>18.835968193599996</c:v>
                </c:pt>
                <c:pt idx="298">
                  <c:v>18.846711952</c:v>
                </c:pt>
                <c:pt idx="299">
                  <c:v>19.104556584000001</c:v>
                </c:pt>
                <c:pt idx="300">
                  <c:v>19.360229071999996</c:v>
                </c:pt>
                <c:pt idx="301">
                  <c:v>19.856708785599992</c:v>
                </c:pt>
                <c:pt idx="302">
                  <c:v>20.470356174399996</c:v>
                </c:pt>
                <c:pt idx="303">
                  <c:v>20.927425398399997</c:v>
                </c:pt>
                <c:pt idx="304">
                  <c:v>21.164150107200001</c:v>
                </c:pt>
                <c:pt idx="305">
                  <c:v>21.284826630399991</c:v>
                </c:pt>
                <c:pt idx="306">
                  <c:v>21.405001889600001</c:v>
                </c:pt>
                <c:pt idx="307">
                  <c:v>21.405001889600001</c:v>
                </c:pt>
                <c:pt idx="308">
                  <c:v>21.309299452799998</c:v>
                </c:pt>
                <c:pt idx="309">
                  <c:v>21.772979792000001</c:v>
                </c:pt>
                <c:pt idx="310">
                  <c:v>22.352251609599989</c:v>
                </c:pt>
                <c:pt idx="311">
                  <c:v>22.697059975999991</c:v>
                </c:pt>
                <c:pt idx="312">
                  <c:v>23.038749366399998</c:v>
                </c:pt>
                <c:pt idx="313">
                  <c:v>23.627723427199996</c:v>
                </c:pt>
                <c:pt idx="314">
                  <c:v>24.100864288959997</c:v>
                </c:pt>
                <c:pt idx="315">
                  <c:v>24.347607594239996</c:v>
                </c:pt>
                <c:pt idx="316">
                  <c:v>24.234680055519995</c:v>
                </c:pt>
                <c:pt idx="317">
                  <c:v>24.007430907199996</c:v>
                </c:pt>
                <c:pt idx="318">
                  <c:v>23.5671373184</c:v>
                </c:pt>
                <c:pt idx="319">
                  <c:v>23.334756897600002</c:v>
                </c:pt>
                <c:pt idx="320">
                  <c:v>23.10043825599999</c:v>
                </c:pt>
                <c:pt idx="321">
                  <c:v>22.747654222400001</c:v>
                </c:pt>
                <c:pt idx="322">
                  <c:v>22.534032214399993</c:v>
                </c:pt>
                <c:pt idx="323">
                  <c:v>22.417516182399993</c:v>
                </c:pt>
                <c:pt idx="324">
                  <c:v>21.947408524799997</c:v>
                </c:pt>
                <c:pt idx="325">
                  <c:v>21.475323659200001</c:v>
                </c:pt>
                <c:pt idx="326">
                  <c:v>21.216231436799994</c:v>
                </c:pt>
                <c:pt idx="327">
                  <c:v>20.740615444799992</c:v>
                </c:pt>
                <c:pt idx="328">
                  <c:v>20.251019756799991</c:v>
                </c:pt>
                <c:pt idx="329">
                  <c:v>19.63497744</c:v>
                </c:pt>
                <c:pt idx="330">
                  <c:v>19.144351375999996</c:v>
                </c:pt>
                <c:pt idx="331">
                  <c:v>19.026598892799996</c:v>
                </c:pt>
                <c:pt idx="332">
                  <c:v>19.026598892799996</c:v>
                </c:pt>
                <c:pt idx="333">
                  <c:v>19.154332099199998</c:v>
                </c:pt>
                <c:pt idx="334">
                  <c:v>19.408177758399994</c:v>
                </c:pt>
                <c:pt idx="335">
                  <c:v>19.659901399999995</c:v>
                </c:pt>
                <c:pt idx="336">
                  <c:v>20.025562348799994</c:v>
                </c:pt>
                <c:pt idx="337">
                  <c:v>20.149352278399995</c:v>
                </c:pt>
                <c:pt idx="338">
                  <c:v>20.517669926399996</c:v>
                </c:pt>
                <c:pt idx="339">
                  <c:v>21.091110372799996</c:v>
                </c:pt>
                <c:pt idx="340">
                  <c:v>21.180881185600001</c:v>
                </c:pt>
                <c:pt idx="341">
                  <c:v>21.180881185600001</c:v>
                </c:pt>
                <c:pt idx="342">
                  <c:v>21.405001889600001</c:v>
                </c:pt>
                <c:pt idx="343">
                  <c:v>21.510094671999994</c:v>
                </c:pt>
                <c:pt idx="344">
                  <c:v>21.721494409599991</c:v>
                </c:pt>
                <c:pt idx="345">
                  <c:v>21.721494409599991</c:v>
                </c:pt>
                <c:pt idx="346">
                  <c:v>22.067438974399998</c:v>
                </c:pt>
                <c:pt idx="347">
                  <c:v>22.163531283199994</c:v>
                </c:pt>
                <c:pt idx="348">
                  <c:v>22.25962359199999</c:v>
                </c:pt>
                <c:pt idx="349">
                  <c:v>22.371823183999993</c:v>
                </c:pt>
                <c:pt idx="350">
                  <c:v>22.484496191999995</c:v>
                </c:pt>
                <c:pt idx="351">
                  <c:v>22.4786982384</c:v>
                </c:pt>
                <c:pt idx="352">
                  <c:v>22.589605683199991</c:v>
                </c:pt>
                <c:pt idx="353">
                  <c:v>22.225487513599994</c:v>
                </c:pt>
                <c:pt idx="354">
                  <c:v>21.637449145599987</c:v>
                </c:pt>
                <c:pt idx="355">
                  <c:v>21.775998515199994</c:v>
                </c:pt>
                <c:pt idx="356">
                  <c:v>21.898958574399991</c:v>
                </c:pt>
                <c:pt idx="357">
                  <c:v>22.005672110399999</c:v>
                </c:pt>
                <c:pt idx="358">
                  <c:v>22.232432804799991</c:v>
                </c:pt>
                <c:pt idx="359">
                  <c:v>22.472844588799994</c:v>
                </c:pt>
                <c:pt idx="360">
                  <c:v>22.924416617599988</c:v>
                </c:pt>
                <c:pt idx="361">
                  <c:v>23.024858783999989</c:v>
                </c:pt>
                <c:pt idx="362">
                  <c:v>23.162906889599995</c:v>
                </c:pt>
                <c:pt idx="363">
                  <c:v>23.299818796799997</c:v>
                </c:pt>
                <c:pt idx="364">
                  <c:v>23.302174737599998</c:v>
                </c:pt>
                <c:pt idx="365">
                  <c:v>23.168749399999996</c:v>
                </c:pt>
                <c:pt idx="366">
                  <c:v>23.05605968319999</c:v>
                </c:pt>
                <c:pt idx="367">
                  <c:v>23.286730236799997</c:v>
                </c:pt>
                <c:pt idx="368">
                  <c:v>23.628224691199989</c:v>
                </c:pt>
                <c:pt idx="369">
                  <c:v>23.741933644799992</c:v>
                </c:pt>
                <c:pt idx="370">
                  <c:v>23.515523835199993</c:v>
                </c:pt>
                <c:pt idx="371">
                  <c:v>23.306830923199996</c:v>
                </c:pt>
                <c:pt idx="372">
                  <c:v>23.097285862399993</c:v>
                </c:pt>
                <c:pt idx="373">
                  <c:v>22.65660240159999</c:v>
                </c:pt>
                <c:pt idx="374">
                  <c:v>22.444434059199992</c:v>
                </c:pt>
                <c:pt idx="375">
                  <c:v>22.561490342399999</c:v>
                </c:pt>
                <c:pt idx="376">
                  <c:v>22.583156086399995</c:v>
                </c:pt>
                <c:pt idx="377">
                  <c:v>22.466383852799993</c:v>
                </c:pt>
                <c:pt idx="378">
                  <c:v>22.444434059199992</c:v>
                </c:pt>
                <c:pt idx="379">
                  <c:v>22.422389582399994</c:v>
                </c:pt>
                <c:pt idx="380">
                  <c:v>22.444434059199992</c:v>
                </c:pt>
                <c:pt idx="381">
                  <c:v>22.561490342399999</c:v>
                </c:pt>
                <c:pt idx="382">
                  <c:v>22.333225855999999</c:v>
                </c:pt>
                <c:pt idx="383">
                  <c:v>22.222491068800004</c:v>
                </c:pt>
                <c:pt idx="384">
                  <c:v>22.108587179199993</c:v>
                </c:pt>
                <c:pt idx="385">
                  <c:v>22.108587179199993</c:v>
                </c:pt>
                <c:pt idx="386">
                  <c:v>21.994688859200004</c:v>
                </c:pt>
                <c:pt idx="387">
                  <c:v>22.206907327999993</c:v>
                </c:pt>
                <c:pt idx="388">
                  <c:v>22.437171300799996</c:v>
                </c:pt>
                <c:pt idx="389">
                  <c:v>22.531698551999988</c:v>
                </c:pt>
                <c:pt idx="390">
                  <c:v>22.415293911999996</c:v>
                </c:pt>
                <c:pt idx="391">
                  <c:v>22.526212495999992</c:v>
                </c:pt>
                <c:pt idx="392">
                  <c:v>22.754009136000001</c:v>
                </c:pt>
                <c:pt idx="393">
                  <c:v>22.886888652799989</c:v>
                </c:pt>
                <c:pt idx="394">
                  <c:v>22.886888652799989</c:v>
                </c:pt>
                <c:pt idx="395">
                  <c:v>22.886888652799989</c:v>
                </c:pt>
                <c:pt idx="396">
                  <c:v>23.0025692448</c:v>
                </c:pt>
                <c:pt idx="397">
                  <c:v>23.212303671999997</c:v>
                </c:pt>
                <c:pt idx="398">
                  <c:v>23.421185950399995</c:v>
                </c:pt>
                <c:pt idx="399">
                  <c:v>23.85520816959999</c:v>
                </c:pt>
                <c:pt idx="400">
                  <c:v>24.061528431999996</c:v>
                </c:pt>
                <c:pt idx="401">
                  <c:v>24.285731009119992</c:v>
                </c:pt>
                <c:pt idx="402">
                  <c:v>24.192153931679997</c:v>
                </c:pt>
                <c:pt idx="403">
                  <c:v>24.192153931679997</c:v>
                </c:pt>
                <c:pt idx="404">
                  <c:v>24.098577411199997</c:v>
                </c:pt>
                <c:pt idx="405">
                  <c:v>23.892752843199993</c:v>
                </c:pt>
                <c:pt idx="406">
                  <c:v>23.648514744000003</c:v>
                </c:pt>
                <c:pt idx="407">
                  <c:v>23.309131167999993</c:v>
                </c:pt>
                <c:pt idx="408">
                  <c:v>22.968377470399993</c:v>
                </c:pt>
                <c:pt idx="409">
                  <c:v>23.083183635200001</c:v>
                </c:pt>
                <c:pt idx="410">
                  <c:v>23.291486675199991</c:v>
                </c:pt>
                <c:pt idx="411">
                  <c:v>23.178741262399988</c:v>
                </c:pt>
                <c:pt idx="412">
                  <c:v>23.084793249599997</c:v>
                </c:pt>
                <c:pt idx="413">
                  <c:v>22.878088684799998</c:v>
                </c:pt>
                <c:pt idx="414">
                  <c:v>22.671389689599991</c:v>
                </c:pt>
                <c:pt idx="415">
                  <c:v>22.580053819199989</c:v>
                </c:pt>
                <c:pt idx="416">
                  <c:v>22.464690694399998</c:v>
                </c:pt>
                <c:pt idx="417">
                  <c:v>22.23255533599999</c:v>
                </c:pt>
                <c:pt idx="418">
                  <c:v>21.998520743999997</c:v>
                </c:pt>
                <c:pt idx="419">
                  <c:v>21.857682268799998</c:v>
                </c:pt>
                <c:pt idx="420">
                  <c:v>21.715685316799998</c:v>
                </c:pt>
                <c:pt idx="421">
                  <c:v>21.380724003199994</c:v>
                </c:pt>
                <c:pt idx="422">
                  <c:v>21.38585917439999</c:v>
                </c:pt>
                <c:pt idx="423">
                  <c:v>21.390977636799995</c:v>
                </c:pt>
                <c:pt idx="424">
                  <c:v>21.180881185600001</c:v>
                </c:pt>
                <c:pt idx="425">
                  <c:v>21.085379254400003</c:v>
                </c:pt>
                <c:pt idx="426">
                  <c:v>21.079625857599993</c:v>
                </c:pt>
                <c:pt idx="427">
                  <c:v>20.837431801599998</c:v>
                </c:pt>
                <c:pt idx="428">
                  <c:v>20.709013534399986</c:v>
                </c:pt>
                <c:pt idx="429">
                  <c:v>20.463254934399991</c:v>
                </c:pt>
                <c:pt idx="430">
                  <c:v>20.2154244432</c:v>
                </c:pt>
                <c:pt idx="431">
                  <c:v>20.098657779199989</c:v>
                </c:pt>
                <c:pt idx="432">
                  <c:v>20.106561041599988</c:v>
                </c:pt>
                <c:pt idx="433">
                  <c:v>20.23828765119999</c:v>
                </c:pt>
                <c:pt idx="434">
                  <c:v>20.388187865599996</c:v>
                </c:pt>
                <c:pt idx="435">
                  <c:v>20.536846059199995</c:v>
                </c:pt>
                <c:pt idx="436">
                  <c:v>20.779775302399997</c:v>
                </c:pt>
                <c:pt idx="437">
                  <c:v>20.989882892799997</c:v>
                </c:pt>
                <c:pt idx="438">
                  <c:v>21.31983713599999</c:v>
                </c:pt>
                <c:pt idx="439">
                  <c:v>21.529504727999999</c:v>
                </c:pt>
                <c:pt idx="440">
                  <c:v>21.624811723199997</c:v>
                </c:pt>
                <c:pt idx="441">
                  <c:v>21.838662084799999</c:v>
                </c:pt>
                <c:pt idx="442">
                  <c:v>21.93377414399999</c:v>
                </c:pt>
                <c:pt idx="443">
                  <c:v>22.028875064000005</c:v>
                </c:pt>
                <c:pt idx="444">
                  <c:v>21.883491795199994</c:v>
                </c:pt>
                <c:pt idx="445">
                  <c:v>21.736292836799997</c:v>
                </c:pt>
                <c:pt idx="446">
                  <c:v>21.58725034079999</c:v>
                </c:pt>
                <c:pt idx="447">
                  <c:v>21.558193737599993</c:v>
                </c:pt>
                <c:pt idx="448">
                  <c:v>21.77226688319999</c:v>
                </c:pt>
                <c:pt idx="449">
                  <c:v>21.990277735999996</c:v>
                </c:pt>
                <c:pt idx="450">
                  <c:v>22.087378142399992</c:v>
                </c:pt>
                <c:pt idx="451">
                  <c:v>22.184478548799994</c:v>
                </c:pt>
                <c:pt idx="452">
                  <c:v>22.304280644799995</c:v>
                </c:pt>
                <c:pt idx="453">
                  <c:v>22.184478548799994</c:v>
                </c:pt>
                <c:pt idx="454">
                  <c:v>22.064169619199994</c:v>
                </c:pt>
                <c:pt idx="455">
                  <c:v>21.845852438399994</c:v>
                </c:pt>
                <c:pt idx="456">
                  <c:v>21.6266162736</c:v>
                </c:pt>
                <c:pt idx="457">
                  <c:v>21.528903211199996</c:v>
                </c:pt>
                <c:pt idx="458">
                  <c:v>21.553337046399989</c:v>
                </c:pt>
                <c:pt idx="459">
                  <c:v>21.819797849599993</c:v>
                </c:pt>
                <c:pt idx="460">
                  <c:v>22.082944740799995</c:v>
                </c:pt>
                <c:pt idx="461">
                  <c:v>22.342844555199989</c:v>
                </c:pt>
                <c:pt idx="462">
                  <c:v>22.482552401600003</c:v>
                </c:pt>
                <c:pt idx="463">
                  <c:v>22.269587606399995</c:v>
                </c:pt>
                <c:pt idx="464">
                  <c:v>21.936920967999995</c:v>
                </c:pt>
                <c:pt idx="465">
                  <c:v>21.817592288</c:v>
                </c:pt>
                <c:pt idx="466">
                  <c:v>21.817592288</c:v>
                </c:pt>
                <c:pt idx="467">
                  <c:v>21.936920967999995</c:v>
                </c:pt>
                <c:pt idx="468">
                  <c:v>21.936920967999995</c:v>
                </c:pt>
                <c:pt idx="469">
                  <c:v>22.174085675199997</c:v>
                </c:pt>
                <c:pt idx="470">
                  <c:v>22.409317731199991</c:v>
                </c:pt>
                <c:pt idx="471">
                  <c:v>22.526212495999992</c:v>
                </c:pt>
                <c:pt idx="472">
                  <c:v>22.758565068800003</c:v>
                </c:pt>
                <c:pt idx="473">
                  <c:v>22.874039585599995</c:v>
                </c:pt>
                <c:pt idx="474">
                  <c:v>23.103579510399996</c:v>
                </c:pt>
                <c:pt idx="475">
                  <c:v>23.105127859199996</c:v>
                </c:pt>
                <c:pt idx="476">
                  <c:v>22.763093153599996</c:v>
                </c:pt>
                <c:pt idx="477">
                  <c:v>22.418262508799998</c:v>
                </c:pt>
                <c:pt idx="478">
                  <c:v>22.304832035199993</c:v>
                </c:pt>
                <c:pt idx="479">
                  <c:v>22.399359286399992</c:v>
                </c:pt>
                <c:pt idx="480">
                  <c:v>22.399359286399992</c:v>
                </c:pt>
                <c:pt idx="481">
                  <c:v>22.399359286399992</c:v>
                </c:pt>
                <c:pt idx="482">
                  <c:v>22.165536339200003</c:v>
                </c:pt>
                <c:pt idx="483">
                  <c:v>22.047895248000003</c:v>
                </c:pt>
                <c:pt idx="484">
                  <c:v>21.6920924912</c:v>
                </c:pt>
                <c:pt idx="485">
                  <c:v>21.331856332799994</c:v>
                </c:pt>
                <c:pt idx="486">
                  <c:v>21.321268523199997</c:v>
                </c:pt>
                <c:pt idx="487">
                  <c:v>21.199661876799993</c:v>
                </c:pt>
                <c:pt idx="488">
                  <c:v>20.961026795199992</c:v>
                </c:pt>
                <c:pt idx="489">
                  <c:v>20.721394755199995</c:v>
                </c:pt>
                <c:pt idx="490">
                  <c:v>20.838161419199992</c:v>
                </c:pt>
                <c:pt idx="491">
                  <c:v>20.961026795199992</c:v>
                </c:pt>
                <c:pt idx="492">
                  <c:v>21.083385337599999</c:v>
                </c:pt>
                <c:pt idx="493">
                  <c:v>21.077542827199998</c:v>
                </c:pt>
                <c:pt idx="494">
                  <c:v>20.857621601599988</c:v>
                </c:pt>
                <c:pt idx="495">
                  <c:v>20.734277239999997</c:v>
                </c:pt>
                <c:pt idx="496">
                  <c:v>20.610409335999996</c:v>
                </c:pt>
                <c:pt idx="497">
                  <c:v>20.610409335999996</c:v>
                </c:pt>
                <c:pt idx="498">
                  <c:v>20.636770252799991</c:v>
                </c:pt>
                <c:pt idx="499">
                  <c:v>20.663014207999993</c:v>
                </c:pt>
                <c:pt idx="500">
                  <c:v>20.786247177599996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3-41F8-B1BC-9D93DE866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69504"/>
        <c:axId val="270175744"/>
      </c:lineChart>
      <c:catAx>
        <c:axId val="27016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75744"/>
        <c:crosses val="autoZero"/>
        <c:auto val="1"/>
        <c:lblAlgn val="ctr"/>
        <c:lblOffset val="100"/>
        <c:noMultiLvlLbl val="0"/>
      </c:catAx>
      <c:valAx>
        <c:axId val="2701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'2026-04-17_16-25-21_23_high'!$D$1</c:f>
              <c:strCache>
                <c:ptCount val="1"/>
                <c:pt idx="0">
                  <c:v>pfd_raw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'2026-04-17_16-25-21_23_high'!$D$2:$D$502</c:f>
              <c:numCache>
                <c:formatCode>General</c:formatCode>
                <c:ptCount val="501"/>
                <c:pt idx="0">
                  <c:v>8017</c:v>
                </c:pt>
                <c:pt idx="1">
                  <c:v>8042</c:v>
                </c:pt>
                <c:pt idx="2">
                  <c:v>8054</c:v>
                </c:pt>
                <c:pt idx="3">
                  <c:v>8048</c:v>
                </c:pt>
                <c:pt idx="4">
                  <c:v>8037</c:v>
                </c:pt>
                <c:pt idx="5">
                  <c:v>8042</c:v>
                </c:pt>
                <c:pt idx="6">
                  <c:v>8023</c:v>
                </c:pt>
                <c:pt idx="7">
                  <c:v>8030</c:v>
                </c:pt>
                <c:pt idx="8">
                  <c:v>8060</c:v>
                </c:pt>
                <c:pt idx="9">
                  <c:v>8030</c:v>
                </c:pt>
                <c:pt idx="10">
                  <c:v>8060</c:v>
                </c:pt>
                <c:pt idx="11">
                  <c:v>8048</c:v>
                </c:pt>
                <c:pt idx="12">
                  <c:v>8048</c:v>
                </c:pt>
                <c:pt idx="13">
                  <c:v>8017</c:v>
                </c:pt>
                <c:pt idx="14">
                  <c:v>8030</c:v>
                </c:pt>
                <c:pt idx="15">
                  <c:v>8048</c:v>
                </c:pt>
                <c:pt idx="16">
                  <c:v>8048</c:v>
                </c:pt>
                <c:pt idx="17">
                  <c:v>8042</c:v>
                </c:pt>
                <c:pt idx="18">
                  <c:v>8054</c:v>
                </c:pt>
                <c:pt idx="19">
                  <c:v>8048</c:v>
                </c:pt>
                <c:pt idx="20">
                  <c:v>8030</c:v>
                </c:pt>
                <c:pt idx="21">
                  <c:v>8048</c:v>
                </c:pt>
                <c:pt idx="22">
                  <c:v>8037</c:v>
                </c:pt>
                <c:pt idx="23">
                  <c:v>8042</c:v>
                </c:pt>
                <c:pt idx="24">
                  <c:v>8042</c:v>
                </c:pt>
                <c:pt idx="25">
                  <c:v>8030</c:v>
                </c:pt>
                <c:pt idx="26">
                  <c:v>8048</c:v>
                </c:pt>
                <c:pt idx="27">
                  <c:v>8048</c:v>
                </c:pt>
                <c:pt idx="28">
                  <c:v>8037</c:v>
                </c:pt>
                <c:pt idx="29">
                  <c:v>8037</c:v>
                </c:pt>
                <c:pt idx="30">
                  <c:v>8037</c:v>
                </c:pt>
                <c:pt idx="31">
                  <c:v>8048</c:v>
                </c:pt>
                <c:pt idx="32">
                  <c:v>8037</c:v>
                </c:pt>
                <c:pt idx="33">
                  <c:v>8048</c:v>
                </c:pt>
                <c:pt idx="34">
                  <c:v>8017</c:v>
                </c:pt>
                <c:pt idx="35">
                  <c:v>8017</c:v>
                </c:pt>
                <c:pt idx="36">
                  <c:v>8042</c:v>
                </c:pt>
                <c:pt idx="37">
                  <c:v>8037</c:v>
                </c:pt>
                <c:pt idx="38">
                  <c:v>8023</c:v>
                </c:pt>
                <c:pt idx="39">
                  <c:v>8037</c:v>
                </c:pt>
                <c:pt idx="40">
                  <c:v>8042</c:v>
                </c:pt>
                <c:pt idx="41">
                  <c:v>8023</c:v>
                </c:pt>
                <c:pt idx="42">
                  <c:v>8037</c:v>
                </c:pt>
                <c:pt idx="43">
                  <c:v>8071</c:v>
                </c:pt>
                <c:pt idx="44">
                  <c:v>8037</c:v>
                </c:pt>
                <c:pt idx="45">
                  <c:v>8037</c:v>
                </c:pt>
                <c:pt idx="46">
                  <c:v>8042</c:v>
                </c:pt>
                <c:pt idx="47">
                  <c:v>8065</c:v>
                </c:pt>
                <c:pt idx="48">
                  <c:v>8054</c:v>
                </c:pt>
                <c:pt idx="49">
                  <c:v>8037</c:v>
                </c:pt>
                <c:pt idx="50">
                  <c:v>8030</c:v>
                </c:pt>
                <c:pt idx="51">
                  <c:v>8054</c:v>
                </c:pt>
                <c:pt idx="52">
                  <c:v>8054</c:v>
                </c:pt>
                <c:pt idx="53">
                  <c:v>8037</c:v>
                </c:pt>
                <c:pt idx="54">
                  <c:v>8037</c:v>
                </c:pt>
                <c:pt idx="55">
                  <c:v>8037</c:v>
                </c:pt>
                <c:pt idx="56">
                  <c:v>8048</c:v>
                </c:pt>
                <c:pt idx="57">
                  <c:v>8054</c:v>
                </c:pt>
                <c:pt idx="58">
                  <c:v>8037</c:v>
                </c:pt>
                <c:pt idx="59">
                  <c:v>8042</c:v>
                </c:pt>
                <c:pt idx="60">
                  <c:v>8030</c:v>
                </c:pt>
                <c:pt idx="61">
                  <c:v>8060</c:v>
                </c:pt>
                <c:pt idx="62">
                  <c:v>8042</c:v>
                </c:pt>
                <c:pt idx="63">
                  <c:v>8017</c:v>
                </c:pt>
                <c:pt idx="64">
                  <c:v>8037</c:v>
                </c:pt>
                <c:pt idx="65">
                  <c:v>8030</c:v>
                </c:pt>
                <c:pt idx="66">
                  <c:v>8030</c:v>
                </c:pt>
                <c:pt idx="67">
                  <c:v>8030</c:v>
                </c:pt>
                <c:pt idx="68">
                  <c:v>8023</c:v>
                </c:pt>
                <c:pt idx="69">
                  <c:v>8042</c:v>
                </c:pt>
                <c:pt idx="70">
                  <c:v>8030</c:v>
                </c:pt>
                <c:pt idx="71">
                  <c:v>8023</c:v>
                </c:pt>
                <c:pt idx="72">
                  <c:v>8048</c:v>
                </c:pt>
                <c:pt idx="73">
                  <c:v>8042</c:v>
                </c:pt>
                <c:pt idx="74">
                  <c:v>8030</c:v>
                </c:pt>
                <c:pt idx="75">
                  <c:v>8030</c:v>
                </c:pt>
                <c:pt idx="76">
                  <c:v>8037</c:v>
                </c:pt>
                <c:pt idx="77">
                  <c:v>8054</c:v>
                </c:pt>
                <c:pt idx="78">
                  <c:v>8054</c:v>
                </c:pt>
                <c:pt idx="79">
                  <c:v>8048</c:v>
                </c:pt>
                <c:pt idx="80">
                  <c:v>8054</c:v>
                </c:pt>
                <c:pt idx="81">
                  <c:v>8054</c:v>
                </c:pt>
                <c:pt idx="82">
                  <c:v>8037</c:v>
                </c:pt>
                <c:pt idx="83">
                  <c:v>8037</c:v>
                </c:pt>
                <c:pt idx="84">
                  <c:v>8042</c:v>
                </c:pt>
                <c:pt idx="85">
                  <c:v>8054</c:v>
                </c:pt>
                <c:pt idx="86">
                  <c:v>8060</c:v>
                </c:pt>
                <c:pt idx="87">
                  <c:v>8042</c:v>
                </c:pt>
                <c:pt idx="88">
                  <c:v>8054</c:v>
                </c:pt>
                <c:pt idx="89">
                  <c:v>8048</c:v>
                </c:pt>
                <c:pt idx="90">
                  <c:v>8048</c:v>
                </c:pt>
                <c:pt idx="91">
                  <c:v>8054</c:v>
                </c:pt>
                <c:pt idx="92">
                  <c:v>8030</c:v>
                </c:pt>
                <c:pt idx="93">
                  <c:v>8048</c:v>
                </c:pt>
                <c:pt idx="94">
                  <c:v>8042</c:v>
                </c:pt>
                <c:pt idx="95">
                  <c:v>8037</c:v>
                </c:pt>
                <c:pt idx="96">
                  <c:v>8042</c:v>
                </c:pt>
                <c:pt idx="97">
                  <c:v>8042</c:v>
                </c:pt>
                <c:pt idx="98">
                  <c:v>8023</c:v>
                </c:pt>
                <c:pt idx="99">
                  <c:v>8023</c:v>
                </c:pt>
                <c:pt idx="100">
                  <c:v>8042</c:v>
                </c:pt>
                <c:pt idx="101">
                  <c:v>8023</c:v>
                </c:pt>
                <c:pt idx="102">
                  <c:v>8042</c:v>
                </c:pt>
                <c:pt idx="103">
                  <c:v>8048</c:v>
                </c:pt>
                <c:pt idx="104">
                  <c:v>8030</c:v>
                </c:pt>
                <c:pt idx="105">
                  <c:v>8054</c:v>
                </c:pt>
                <c:pt idx="106">
                  <c:v>8030</c:v>
                </c:pt>
                <c:pt idx="107">
                  <c:v>8048</c:v>
                </c:pt>
                <c:pt idx="108">
                  <c:v>8048</c:v>
                </c:pt>
                <c:pt idx="109">
                  <c:v>8030</c:v>
                </c:pt>
                <c:pt idx="110">
                  <c:v>8048</c:v>
                </c:pt>
                <c:pt idx="111">
                  <c:v>8037</c:v>
                </c:pt>
                <c:pt idx="112">
                  <c:v>8037</c:v>
                </c:pt>
                <c:pt idx="113">
                  <c:v>8048</c:v>
                </c:pt>
                <c:pt idx="114">
                  <c:v>8037</c:v>
                </c:pt>
                <c:pt idx="115">
                  <c:v>8042</c:v>
                </c:pt>
                <c:pt idx="116">
                  <c:v>8042</c:v>
                </c:pt>
                <c:pt idx="117">
                  <c:v>8037</c:v>
                </c:pt>
                <c:pt idx="118">
                  <c:v>8054</c:v>
                </c:pt>
                <c:pt idx="119">
                  <c:v>8017</c:v>
                </c:pt>
                <c:pt idx="120">
                  <c:v>8030</c:v>
                </c:pt>
                <c:pt idx="121">
                  <c:v>8048</c:v>
                </c:pt>
                <c:pt idx="122">
                  <c:v>8030</c:v>
                </c:pt>
                <c:pt idx="123">
                  <c:v>8037</c:v>
                </c:pt>
                <c:pt idx="124">
                  <c:v>8037</c:v>
                </c:pt>
                <c:pt idx="125">
                  <c:v>8048</c:v>
                </c:pt>
                <c:pt idx="126">
                  <c:v>8037</c:v>
                </c:pt>
                <c:pt idx="127">
                  <c:v>8065</c:v>
                </c:pt>
                <c:pt idx="128">
                  <c:v>8037</c:v>
                </c:pt>
                <c:pt idx="129">
                  <c:v>8023</c:v>
                </c:pt>
                <c:pt idx="130">
                  <c:v>8030</c:v>
                </c:pt>
                <c:pt idx="131">
                  <c:v>8065</c:v>
                </c:pt>
                <c:pt idx="132">
                  <c:v>8048</c:v>
                </c:pt>
                <c:pt idx="133">
                  <c:v>8048</c:v>
                </c:pt>
                <c:pt idx="134">
                  <c:v>8054</c:v>
                </c:pt>
                <c:pt idx="135">
                  <c:v>8037</c:v>
                </c:pt>
                <c:pt idx="136">
                  <c:v>8042</c:v>
                </c:pt>
                <c:pt idx="137">
                  <c:v>8054</c:v>
                </c:pt>
                <c:pt idx="138">
                  <c:v>8042</c:v>
                </c:pt>
                <c:pt idx="139">
                  <c:v>8065</c:v>
                </c:pt>
                <c:pt idx="140">
                  <c:v>8060</c:v>
                </c:pt>
                <c:pt idx="141">
                  <c:v>8042</c:v>
                </c:pt>
                <c:pt idx="142">
                  <c:v>8042</c:v>
                </c:pt>
                <c:pt idx="143">
                  <c:v>8042</c:v>
                </c:pt>
                <c:pt idx="144">
                  <c:v>8023</c:v>
                </c:pt>
                <c:pt idx="145">
                  <c:v>8054</c:v>
                </c:pt>
                <c:pt idx="146">
                  <c:v>8060</c:v>
                </c:pt>
                <c:pt idx="147">
                  <c:v>8042</c:v>
                </c:pt>
                <c:pt idx="148">
                  <c:v>8048</c:v>
                </c:pt>
                <c:pt idx="149">
                  <c:v>8023</c:v>
                </c:pt>
                <c:pt idx="150">
                  <c:v>8030</c:v>
                </c:pt>
                <c:pt idx="151">
                  <c:v>8048</c:v>
                </c:pt>
                <c:pt idx="152">
                  <c:v>8048</c:v>
                </c:pt>
                <c:pt idx="153">
                  <c:v>8037</c:v>
                </c:pt>
                <c:pt idx="154">
                  <c:v>8048</c:v>
                </c:pt>
                <c:pt idx="155">
                  <c:v>8060</c:v>
                </c:pt>
                <c:pt idx="156">
                  <c:v>8042</c:v>
                </c:pt>
                <c:pt idx="157">
                  <c:v>8023</c:v>
                </c:pt>
                <c:pt idx="158">
                  <c:v>8042</c:v>
                </c:pt>
                <c:pt idx="159">
                  <c:v>8030</c:v>
                </c:pt>
                <c:pt idx="160">
                  <c:v>8037</c:v>
                </c:pt>
                <c:pt idx="161">
                  <c:v>8023</c:v>
                </c:pt>
                <c:pt idx="162">
                  <c:v>8042</c:v>
                </c:pt>
                <c:pt idx="163">
                  <c:v>8023</c:v>
                </c:pt>
                <c:pt idx="164">
                  <c:v>8037</c:v>
                </c:pt>
                <c:pt idx="165">
                  <c:v>8030</c:v>
                </c:pt>
                <c:pt idx="166">
                  <c:v>8030</c:v>
                </c:pt>
                <c:pt idx="167">
                  <c:v>8042</c:v>
                </c:pt>
                <c:pt idx="168">
                  <c:v>8060</c:v>
                </c:pt>
                <c:pt idx="169">
                  <c:v>8030</c:v>
                </c:pt>
                <c:pt idx="170">
                  <c:v>8042</c:v>
                </c:pt>
                <c:pt idx="171">
                  <c:v>8037</c:v>
                </c:pt>
                <c:pt idx="172">
                  <c:v>8037</c:v>
                </c:pt>
                <c:pt idx="173">
                  <c:v>8023</c:v>
                </c:pt>
                <c:pt idx="174">
                  <c:v>8037</c:v>
                </c:pt>
                <c:pt idx="175">
                  <c:v>8030</c:v>
                </c:pt>
                <c:pt idx="176">
                  <c:v>8030</c:v>
                </c:pt>
                <c:pt idx="177">
                  <c:v>8054</c:v>
                </c:pt>
                <c:pt idx="178">
                  <c:v>8048</c:v>
                </c:pt>
                <c:pt idx="179">
                  <c:v>8042</c:v>
                </c:pt>
                <c:pt idx="180">
                  <c:v>8023</c:v>
                </c:pt>
                <c:pt idx="181">
                  <c:v>8054</c:v>
                </c:pt>
                <c:pt idx="182">
                  <c:v>8023</c:v>
                </c:pt>
                <c:pt idx="183">
                  <c:v>8037</c:v>
                </c:pt>
                <c:pt idx="184">
                  <c:v>8054</c:v>
                </c:pt>
                <c:pt idx="185">
                  <c:v>8030</c:v>
                </c:pt>
                <c:pt idx="186">
                  <c:v>8030</c:v>
                </c:pt>
                <c:pt idx="187">
                  <c:v>8048</c:v>
                </c:pt>
                <c:pt idx="188">
                  <c:v>8048</c:v>
                </c:pt>
                <c:pt idx="189">
                  <c:v>8037</c:v>
                </c:pt>
                <c:pt idx="190">
                  <c:v>8042</c:v>
                </c:pt>
                <c:pt idx="191">
                  <c:v>8042</c:v>
                </c:pt>
                <c:pt idx="192">
                  <c:v>8037</c:v>
                </c:pt>
                <c:pt idx="193">
                  <c:v>8042</c:v>
                </c:pt>
                <c:pt idx="194">
                  <c:v>8023</c:v>
                </c:pt>
                <c:pt idx="195">
                  <c:v>8042</c:v>
                </c:pt>
                <c:pt idx="196">
                  <c:v>8048</c:v>
                </c:pt>
                <c:pt idx="197">
                  <c:v>8030</c:v>
                </c:pt>
                <c:pt idx="198">
                  <c:v>8030</c:v>
                </c:pt>
                <c:pt idx="199">
                  <c:v>8048</c:v>
                </c:pt>
                <c:pt idx="200">
                  <c:v>8023</c:v>
                </c:pt>
                <c:pt idx="201">
                  <c:v>8048</c:v>
                </c:pt>
                <c:pt idx="202">
                  <c:v>8048</c:v>
                </c:pt>
                <c:pt idx="203">
                  <c:v>8023</c:v>
                </c:pt>
                <c:pt idx="204">
                  <c:v>8017</c:v>
                </c:pt>
                <c:pt idx="205">
                  <c:v>8037</c:v>
                </c:pt>
                <c:pt idx="206">
                  <c:v>8030</c:v>
                </c:pt>
                <c:pt idx="207">
                  <c:v>8042</c:v>
                </c:pt>
                <c:pt idx="208">
                  <c:v>8042</c:v>
                </c:pt>
                <c:pt idx="209">
                  <c:v>8054</c:v>
                </c:pt>
                <c:pt idx="210">
                  <c:v>8042</c:v>
                </c:pt>
                <c:pt idx="211">
                  <c:v>8048</c:v>
                </c:pt>
                <c:pt idx="212">
                  <c:v>8048</c:v>
                </c:pt>
                <c:pt idx="213">
                  <c:v>8037</c:v>
                </c:pt>
                <c:pt idx="214">
                  <c:v>8048</c:v>
                </c:pt>
                <c:pt idx="215">
                  <c:v>8054</c:v>
                </c:pt>
                <c:pt idx="216">
                  <c:v>8023</c:v>
                </c:pt>
                <c:pt idx="217">
                  <c:v>8048</c:v>
                </c:pt>
                <c:pt idx="218">
                  <c:v>8037</c:v>
                </c:pt>
                <c:pt idx="219">
                  <c:v>8037</c:v>
                </c:pt>
                <c:pt idx="220">
                  <c:v>8048</c:v>
                </c:pt>
                <c:pt idx="221">
                  <c:v>8030</c:v>
                </c:pt>
                <c:pt idx="222">
                  <c:v>8042</c:v>
                </c:pt>
                <c:pt idx="223">
                  <c:v>8060</c:v>
                </c:pt>
                <c:pt idx="224">
                  <c:v>8037</c:v>
                </c:pt>
                <c:pt idx="225">
                  <c:v>8030</c:v>
                </c:pt>
                <c:pt idx="226">
                  <c:v>8017</c:v>
                </c:pt>
                <c:pt idx="227">
                  <c:v>8048</c:v>
                </c:pt>
                <c:pt idx="228">
                  <c:v>8054</c:v>
                </c:pt>
                <c:pt idx="229">
                  <c:v>8030</c:v>
                </c:pt>
                <c:pt idx="230">
                  <c:v>8048</c:v>
                </c:pt>
                <c:pt idx="231">
                  <c:v>8042</c:v>
                </c:pt>
                <c:pt idx="232">
                  <c:v>8042</c:v>
                </c:pt>
                <c:pt idx="233">
                  <c:v>8042</c:v>
                </c:pt>
                <c:pt idx="234">
                  <c:v>8037</c:v>
                </c:pt>
                <c:pt idx="235">
                  <c:v>8042</c:v>
                </c:pt>
                <c:pt idx="236">
                  <c:v>8054</c:v>
                </c:pt>
                <c:pt idx="237">
                  <c:v>8023</c:v>
                </c:pt>
                <c:pt idx="238">
                  <c:v>8048</c:v>
                </c:pt>
                <c:pt idx="239">
                  <c:v>8037</c:v>
                </c:pt>
                <c:pt idx="240">
                  <c:v>8037</c:v>
                </c:pt>
                <c:pt idx="241">
                  <c:v>8054</c:v>
                </c:pt>
                <c:pt idx="242">
                  <c:v>8037</c:v>
                </c:pt>
                <c:pt idx="243">
                  <c:v>8030</c:v>
                </c:pt>
                <c:pt idx="244">
                  <c:v>8037</c:v>
                </c:pt>
                <c:pt idx="245">
                  <c:v>8054</c:v>
                </c:pt>
                <c:pt idx="246">
                  <c:v>8042</c:v>
                </c:pt>
                <c:pt idx="247">
                  <c:v>8037</c:v>
                </c:pt>
                <c:pt idx="248">
                  <c:v>8054</c:v>
                </c:pt>
                <c:pt idx="249">
                  <c:v>8037</c:v>
                </c:pt>
                <c:pt idx="250">
                  <c:v>8037</c:v>
                </c:pt>
                <c:pt idx="251">
                  <c:v>8054</c:v>
                </c:pt>
                <c:pt idx="252">
                  <c:v>8042</c:v>
                </c:pt>
                <c:pt idx="253">
                  <c:v>8030</c:v>
                </c:pt>
                <c:pt idx="254">
                  <c:v>8048</c:v>
                </c:pt>
                <c:pt idx="255">
                  <c:v>8037</c:v>
                </c:pt>
                <c:pt idx="256">
                  <c:v>8042</c:v>
                </c:pt>
                <c:pt idx="257">
                  <c:v>8060</c:v>
                </c:pt>
                <c:pt idx="258">
                  <c:v>8060</c:v>
                </c:pt>
                <c:pt idx="259">
                  <c:v>8037</c:v>
                </c:pt>
                <c:pt idx="260">
                  <c:v>8054</c:v>
                </c:pt>
                <c:pt idx="261">
                  <c:v>8060</c:v>
                </c:pt>
                <c:pt idx="262">
                  <c:v>8071</c:v>
                </c:pt>
                <c:pt idx="263">
                  <c:v>8054</c:v>
                </c:pt>
                <c:pt idx="264">
                  <c:v>8030</c:v>
                </c:pt>
                <c:pt idx="265">
                  <c:v>8042</c:v>
                </c:pt>
                <c:pt idx="266">
                  <c:v>8048</c:v>
                </c:pt>
                <c:pt idx="267">
                  <c:v>8023</c:v>
                </c:pt>
                <c:pt idx="268">
                  <c:v>8042</c:v>
                </c:pt>
                <c:pt idx="269">
                  <c:v>8054</c:v>
                </c:pt>
                <c:pt idx="270">
                  <c:v>8030</c:v>
                </c:pt>
                <c:pt idx="271">
                  <c:v>8023</c:v>
                </c:pt>
                <c:pt idx="272">
                  <c:v>8048</c:v>
                </c:pt>
                <c:pt idx="273">
                  <c:v>8017</c:v>
                </c:pt>
                <c:pt idx="274">
                  <c:v>8042</c:v>
                </c:pt>
                <c:pt idx="275">
                  <c:v>8037</c:v>
                </c:pt>
                <c:pt idx="276">
                  <c:v>8042</c:v>
                </c:pt>
                <c:pt idx="277">
                  <c:v>8030</c:v>
                </c:pt>
                <c:pt idx="278">
                  <c:v>8042</c:v>
                </c:pt>
                <c:pt idx="279">
                  <c:v>8030</c:v>
                </c:pt>
                <c:pt idx="280">
                  <c:v>8042</c:v>
                </c:pt>
                <c:pt idx="281">
                  <c:v>8042</c:v>
                </c:pt>
                <c:pt idx="282">
                  <c:v>8042</c:v>
                </c:pt>
                <c:pt idx="283">
                  <c:v>8023</c:v>
                </c:pt>
                <c:pt idx="284">
                  <c:v>8048</c:v>
                </c:pt>
                <c:pt idx="285">
                  <c:v>8054</c:v>
                </c:pt>
                <c:pt idx="286">
                  <c:v>8060</c:v>
                </c:pt>
                <c:pt idx="287">
                  <c:v>8042</c:v>
                </c:pt>
                <c:pt idx="288">
                  <c:v>8048</c:v>
                </c:pt>
                <c:pt idx="289">
                  <c:v>8037</c:v>
                </c:pt>
                <c:pt idx="290">
                  <c:v>8023</c:v>
                </c:pt>
                <c:pt idx="291">
                  <c:v>8048</c:v>
                </c:pt>
                <c:pt idx="292">
                  <c:v>8037</c:v>
                </c:pt>
                <c:pt idx="293">
                  <c:v>8048</c:v>
                </c:pt>
                <c:pt idx="294">
                  <c:v>8054</c:v>
                </c:pt>
                <c:pt idx="295">
                  <c:v>8037</c:v>
                </c:pt>
                <c:pt idx="296">
                  <c:v>8042</c:v>
                </c:pt>
                <c:pt idx="297">
                  <c:v>8054</c:v>
                </c:pt>
                <c:pt idx="298">
                  <c:v>8048</c:v>
                </c:pt>
                <c:pt idx="299">
                  <c:v>8037</c:v>
                </c:pt>
                <c:pt idx="300">
                  <c:v>8037</c:v>
                </c:pt>
                <c:pt idx="301">
                  <c:v>8042</c:v>
                </c:pt>
                <c:pt idx="302">
                  <c:v>8048</c:v>
                </c:pt>
                <c:pt idx="303">
                  <c:v>8037</c:v>
                </c:pt>
                <c:pt idx="304">
                  <c:v>8042</c:v>
                </c:pt>
                <c:pt idx="305">
                  <c:v>8042</c:v>
                </c:pt>
                <c:pt idx="306">
                  <c:v>8023</c:v>
                </c:pt>
                <c:pt idx="307">
                  <c:v>8017</c:v>
                </c:pt>
                <c:pt idx="308">
                  <c:v>8042</c:v>
                </c:pt>
                <c:pt idx="309">
                  <c:v>8030</c:v>
                </c:pt>
                <c:pt idx="310">
                  <c:v>8030</c:v>
                </c:pt>
                <c:pt idx="311">
                  <c:v>8023</c:v>
                </c:pt>
                <c:pt idx="312">
                  <c:v>8023</c:v>
                </c:pt>
                <c:pt idx="313">
                  <c:v>8017</c:v>
                </c:pt>
                <c:pt idx="314">
                  <c:v>8042</c:v>
                </c:pt>
                <c:pt idx="315">
                  <c:v>8042</c:v>
                </c:pt>
                <c:pt idx="316">
                  <c:v>8042</c:v>
                </c:pt>
                <c:pt idx="317">
                  <c:v>8042</c:v>
                </c:pt>
                <c:pt idx="318">
                  <c:v>8042</c:v>
                </c:pt>
                <c:pt idx="319">
                  <c:v>8054</c:v>
                </c:pt>
                <c:pt idx="320">
                  <c:v>8048</c:v>
                </c:pt>
                <c:pt idx="321">
                  <c:v>8048</c:v>
                </c:pt>
                <c:pt idx="322">
                  <c:v>8037</c:v>
                </c:pt>
                <c:pt idx="323">
                  <c:v>8023</c:v>
                </c:pt>
                <c:pt idx="324">
                  <c:v>8054</c:v>
                </c:pt>
                <c:pt idx="325">
                  <c:v>8054</c:v>
                </c:pt>
                <c:pt idx="326">
                  <c:v>8037</c:v>
                </c:pt>
                <c:pt idx="327">
                  <c:v>8048</c:v>
                </c:pt>
                <c:pt idx="328">
                  <c:v>8023</c:v>
                </c:pt>
                <c:pt idx="329">
                  <c:v>8048</c:v>
                </c:pt>
                <c:pt idx="330">
                  <c:v>8048</c:v>
                </c:pt>
                <c:pt idx="331">
                  <c:v>8042</c:v>
                </c:pt>
                <c:pt idx="332">
                  <c:v>8037</c:v>
                </c:pt>
                <c:pt idx="333">
                  <c:v>8042</c:v>
                </c:pt>
                <c:pt idx="334">
                  <c:v>8048</c:v>
                </c:pt>
                <c:pt idx="335">
                  <c:v>8037</c:v>
                </c:pt>
                <c:pt idx="336">
                  <c:v>8048</c:v>
                </c:pt>
                <c:pt idx="337">
                  <c:v>8060</c:v>
                </c:pt>
                <c:pt idx="338">
                  <c:v>8030</c:v>
                </c:pt>
                <c:pt idx="339">
                  <c:v>8023</c:v>
                </c:pt>
                <c:pt idx="340">
                  <c:v>8037</c:v>
                </c:pt>
                <c:pt idx="341">
                  <c:v>8054</c:v>
                </c:pt>
                <c:pt idx="342">
                  <c:v>8030</c:v>
                </c:pt>
                <c:pt idx="343">
                  <c:v>8023</c:v>
                </c:pt>
                <c:pt idx="344">
                  <c:v>8048</c:v>
                </c:pt>
                <c:pt idx="345">
                  <c:v>8060</c:v>
                </c:pt>
                <c:pt idx="346">
                  <c:v>8017</c:v>
                </c:pt>
                <c:pt idx="347">
                  <c:v>8037</c:v>
                </c:pt>
                <c:pt idx="348">
                  <c:v>8030</c:v>
                </c:pt>
                <c:pt idx="349">
                  <c:v>8023</c:v>
                </c:pt>
                <c:pt idx="350">
                  <c:v>8054</c:v>
                </c:pt>
                <c:pt idx="351">
                  <c:v>8030</c:v>
                </c:pt>
                <c:pt idx="352">
                  <c:v>8042</c:v>
                </c:pt>
                <c:pt idx="353">
                  <c:v>8048</c:v>
                </c:pt>
                <c:pt idx="354">
                  <c:v>8030</c:v>
                </c:pt>
                <c:pt idx="355">
                  <c:v>8023</c:v>
                </c:pt>
                <c:pt idx="356">
                  <c:v>8037</c:v>
                </c:pt>
                <c:pt idx="357">
                  <c:v>8037</c:v>
                </c:pt>
                <c:pt idx="358">
                  <c:v>8037</c:v>
                </c:pt>
                <c:pt idx="359">
                  <c:v>8042</c:v>
                </c:pt>
                <c:pt idx="360">
                  <c:v>8042</c:v>
                </c:pt>
                <c:pt idx="361">
                  <c:v>8037</c:v>
                </c:pt>
                <c:pt idx="362">
                  <c:v>8060</c:v>
                </c:pt>
                <c:pt idx="363">
                  <c:v>8048</c:v>
                </c:pt>
                <c:pt idx="364">
                  <c:v>8017</c:v>
                </c:pt>
                <c:pt idx="365">
                  <c:v>8030</c:v>
                </c:pt>
                <c:pt idx="366">
                  <c:v>8042</c:v>
                </c:pt>
                <c:pt idx="367">
                  <c:v>8030</c:v>
                </c:pt>
                <c:pt idx="368">
                  <c:v>8042</c:v>
                </c:pt>
                <c:pt idx="369">
                  <c:v>8048</c:v>
                </c:pt>
                <c:pt idx="370">
                  <c:v>8042</c:v>
                </c:pt>
                <c:pt idx="371">
                  <c:v>8030</c:v>
                </c:pt>
                <c:pt idx="372">
                  <c:v>8048</c:v>
                </c:pt>
                <c:pt idx="373">
                  <c:v>8048</c:v>
                </c:pt>
                <c:pt idx="374">
                  <c:v>8037</c:v>
                </c:pt>
                <c:pt idx="375">
                  <c:v>8023</c:v>
                </c:pt>
                <c:pt idx="376">
                  <c:v>8042</c:v>
                </c:pt>
                <c:pt idx="377">
                  <c:v>8042</c:v>
                </c:pt>
                <c:pt idx="378">
                  <c:v>8037</c:v>
                </c:pt>
                <c:pt idx="379">
                  <c:v>8030</c:v>
                </c:pt>
                <c:pt idx="380">
                  <c:v>8054</c:v>
                </c:pt>
                <c:pt idx="381">
                  <c:v>8042</c:v>
                </c:pt>
                <c:pt idx="382">
                  <c:v>8054</c:v>
                </c:pt>
                <c:pt idx="383">
                  <c:v>8030</c:v>
                </c:pt>
                <c:pt idx="384">
                  <c:v>8048</c:v>
                </c:pt>
                <c:pt idx="385">
                  <c:v>8037</c:v>
                </c:pt>
                <c:pt idx="386">
                  <c:v>8048</c:v>
                </c:pt>
                <c:pt idx="387">
                  <c:v>8037</c:v>
                </c:pt>
                <c:pt idx="388">
                  <c:v>8042</c:v>
                </c:pt>
                <c:pt idx="389">
                  <c:v>8030</c:v>
                </c:pt>
                <c:pt idx="390">
                  <c:v>8030</c:v>
                </c:pt>
                <c:pt idx="391">
                  <c:v>8030</c:v>
                </c:pt>
                <c:pt idx="392">
                  <c:v>8048</c:v>
                </c:pt>
                <c:pt idx="393">
                  <c:v>8060</c:v>
                </c:pt>
                <c:pt idx="394">
                  <c:v>8037</c:v>
                </c:pt>
                <c:pt idx="395">
                  <c:v>8042</c:v>
                </c:pt>
                <c:pt idx="396">
                  <c:v>8037</c:v>
                </c:pt>
                <c:pt idx="397">
                  <c:v>8030</c:v>
                </c:pt>
                <c:pt idx="398">
                  <c:v>8030</c:v>
                </c:pt>
                <c:pt idx="399">
                  <c:v>8042</c:v>
                </c:pt>
                <c:pt idx="400">
                  <c:v>8054</c:v>
                </c:pt>
                <c:pt idx="401">
                  <c:v>8060</c:v>
                </c:pt>
                <c:pt idx="402">
                  <c:v>8030</c:v>
                </c:pt>
                <c:pt idx="403">
                  <c:v>8037</c:v>
                </c:pt>
                <c:pt idx="404">
                  <c:v>8042</c:v>
                </c:pt>
                <c:pt idx="405">
                  <c:v>8054</c:v>
                </c:pt>
                <c:pt idx="406">
                  <c:v>8030</c:v>
                </c:pt>
                <c:pt idx="407">
                  <c:v>8048</c:v>
                </c:pt>
                <c:pt idx="408">
                  <c:v>8037</c:v>
                </c:pt>
                <c:pt idx="409">
                  <c:v>8023</c:v>
                </c:pt>
                <c:pt idx="410">
                  <c:v>8048</c:v>
                </c:pt>
                <c:pt idx="411">
                  <c:v>8054</c:v>
                </c:pt>
                <c:pt idx="412">
                  <c:v>8042</c:v>
                </c:pt>
                <c:pt idx="413">
                  <c:v>8048</c:v>
                </c:pt>
                <c:pt idx="414">
                  <c:v>8048</c:v>
                </c:pt>
                <c:pt idx="415">
                  <c:v>8042</c:v>
                </c:pt>
                <c:pt idx="416">
                  <c:v>8030</c:v>
                </c:pt>
                <c:pt idx="417">
                  <c:v>8042</c:v>
                </c:pt>
                <c:pt idx="418">
                  <c:v>8023</c:v>
                </c:pt>
                <c:pt idx="419">
                  <c:v>8037</c:v>
                </c:pt>
                <c:pt idx="420">
                  <c:v>8048</c:v>
                </c:pt>
                <c:pt idx="421">
                  <c:v>8048</c:v>
                </c:pt>
                <c:pt idx="422">
                  <c:v>8048</c:v>
                </c:pt>
                <c:pt idx="423">
                  <c:v>8042</c:v>
                </c:pt>
                <c:pt idx="424">
                  <c:v>8037</c:v>
                </c:pt>
                <c:pt idx="425">
                  <c:v>8030</c:v>
                </c:pt>
                <c:pt idx="426">
                  <c:v>8060</c:v>
                </c:pt>
                <c:pt idx="427">
                  <c:v>8042</c:v>
                </c:pt>
                <c:pt idx="428">
                  <c:v>8048</c:v>
                </c:pt>
                <c:pt idx="429">
                  <c:v>8048</c:v>
                </c:pt>
                <c:pt idx="430">
                  <c:v>8048</c:v>
                </c:pt>
                <c:pt idx="431">
                  <c:v>8023</c:v>
                </c:pt>
                <c:pt idx="432">
                  <c:v>8048</c:v>
                </c:pt>
                <c:pt idx="433">
                  <c:v>8042</c:v>
                </c:pt>
                <c:pt idx="434">
                  <c:v>8042</c:v>
                </c:pt>
                <c:pt idx="435">
                  <c:v>8037</c:v>
                </c:pt>
                <c:pt idx="436">
                  <c:v>8030</c:v>
                </c:pt>
                <c:pt idx="437">
                  <c:v>8030</c:v>
                </c:pt>
                <c:pt idx="438">
                  <c:v>8054</c:v>
                </c:pt>
                <c:pt idx="439">
                  <c:v>8037</c:v>
                </c:pt>
                <c:pt idx="440">
                  <c:v>8048</c:v>
                </c:pt>
                <c:pt idx="441">
                  <c:v>8017</c:v>
                </c:pt>
                <c:pt idx="442">
                  <c:v>8037</c:v>
                </c:pt>
                <c:pt idx="443">
                  <c:v>8037</c:v>
                </c:pt>
                <c:pt idx="444">
                  <c:v>8037</c:v>
                </c:pt>
                <c:pt idx="445">
                  <c:v>8042</c:v>
                </c:pt>
                <c:pt idx="446">
                  <c:v>8023</c:v>
                </c:pt>
                <c:pt idx="447">
                  <c:v>8023</c:v>
                </c:pt>
                <c:pt idx="448">
                  <c:v>8042</c:v>
                </c:pt>
                <c:pt idx="449">
                  <c:v>8037</c:v>
                </c:pt>
                <c:pt idx="450">
                  <c:v>8037</c:v>
                </c:pt>
                <c:pt idx="451">
                  <c:v>8030</c:v>
                </c:pt>
                <c:pt idx="452">
                  <c:v>8048</c:v>
                </c:pt>
                <c:pt idx="453">
                  <c:v>8054</c:v>
                </c:pt>
                <c:pt idx="454">
                  <c:v>8037</c:v>
                </c:pt>
                <c:pt idx="455">
                  <c:v>8042</c:v>
                </c:pt>
                <c:pt idx="456">
                  <c:v>8037</c:v>
                </c:pt>
                <c:pt idx="457">
                  <c:v>8042</c:v>
                </c:pt>
                <c:pt idx="458">
                  <c:v>8054</c:v>
                </c:pt>
                <c:pt idx="459">
                  <c:v>8042</c:v>
                </c:pt>
                <c:pt idx="460">
                  <c:v>8048</c:v>
                </c:pt>
                <c:pt idx="461">
                  <c:v>8037</c:v>
                </c:pt>
                <c:pt idx="462">
                  <c:v>8042</c:v>
                </c:pt>
                <c:pt idx="463">
                  <c:v>8042</c:v>
                </c:pt>
                <c:pt idx="464">
                  <c:v>8030</c:v>
                </c:pt>
                <c:pt idx="465">
                  <c:v>8037</c:v>
                </c:pt>
                <c:pt idx="466">
                  <c:v>8030</c:v>
                </c:pt>
                <c:pt idx="467">
                  <c:v>8042</c:v>
                </c:pt>
                <c:pt idx="468">
                  <c:v>8060</c:v>
                </c:pt>
                <c:pt idx="469">
                  <c:v>8037</c:v>
                </c:pt>
                <c:pt idx="470">
                  <c:v>8042</c:v>
                </c:pt>
                <c:pt idx="471">
                  <c:v>8042</c:v>
                </c:pt>
                <c:pt idx="472">
                  <c:v>8030</c:v>
                </c:pt>
                <c:pt idx="473">
                  <c:v>8048</c:v>
                </c:pt>
                <c:pt idx="474">
                  <c:v>8048</c:v>
                </c:pt>
                <c:pt idx="475">
                  <c:v>8048</c:v>
                </c:pt>
                <c:pt idx="476">
                  <c:v>8030</c:v>
                </c:pt>
                <c:pt idx="477">
                  <c:v>8048</c:v>
                </c:pt>
                <c:pt idx="478">
                  <c:v>8030</c:v>
                </c:pt>
                <c:pt idx="479">
                  <c:v>8037</c:v>
                </c:pt>
                <c:pt idx="480">
                  <c:v>8037</c:v>
                </c:pt>
                <c:pt idx="481">
                  <c:v>8048</c:v>
                </c:pt>
                <c:pt idx="482">
                  <c:v>8030</c:v>
                </c:pt>
                <c:pt idx="483">
                  <c:v>8030</c:v>
                </c:pt>
                <c:pt idx="484">
                  <c:v>8042</c:v>
                </c:pt>
                <c:pt idx="485">
                  <c:v>8048</c:v>
                </c:pt>
                <c:pt idx="486">
                  <c:v>8030</c:v>
                </c:pt>
                <c:pt idx="487">
                  <c:v>8048</c:v>
                </c:pt>
                <c:pt idx="488">
                  <c:v>8054</c:v>
                </c:pt>
                <c:pt idx="489">
                  <c:v>8030</c:v>
                </c:pt>
                <c:pt idx="490">
                  <c:v>8042</c:v>
                </c:pt>
                <c:pt idx="491">
                  <c:v>8048</c:v>
                </c:pt>
                <c:pt idx="492">
                  <c:v>8060</c:v>
                </c:pt>
                <c:pt idx="493">
                  <c:v>8037</c:v>
                </c:pt>
                <c:pt idx="494">
                  <c:v>8030</c:v>
                </c:pt>
                <c:pt idx="495">
                  <c:v>8030</c:v>
                </c:pt>
                <c:pt idx="496">
                  <c:v>8042</c:v>
                </c:pt>
                <c:pt idx="497">
                  <c:v>8048</c:v>
                </c:pt>
                <c:pt idx="498">
                  <c:v>8054</c:v>
                </c:pt>
                <c:pt idx="499">
                  <c:v>8030</c:v>
                </c:pt>
                <c:pt idx="500">
                  <c:v>8030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3-41BC-9783-F19C33A4B095}"/>
            </c:ext>
          </c:extLst>
        </c:ser>
        <c:ser>
          <c:idx val="1"/>
          <c:order val="1"/>
          <c:tx>
            <c:strRef>
              <c:f>'2026-04-17_16-25-21_23_high'!$E$1</c:f>
              <c:strCache>
                <c:ptCount val="1"/>
                <c:pt idx="0">
                  <c:v>p45_raw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'2026-04-17_16-25-21_23_high'!$E$2:$E$502</c:f>
              <c:numCache>
                <c:formatCode>General</c:formatCode>
                <c:ptCount val="501"/>
                <c:pt idx="0">
                  <c:v>8123</c:v>
                </c:pt>
                <c:pt idx="1">
                  <c:v>8093</c:v>
                </c:pt>
                <c:pt idx="2">
                  <c:v>8105</c:v>
                </c:pt>
                <c:pt idx="3">
                  <c:v>8158</c:v>
                </c:pt>
                <c:pt idx="4">
                  <c:v>8093</c:v>
                </c:pt>
                <c:pt idx="5">
                  <c:v>8099</c:v>
                </c:pt>
                <c:pt idx="6">
                  <c:v>8111</c:v>
                </c:pt>
                <c:pt idx="7">
                  <c:v>8099</c:v>
                </c:pt>
                <c:pt idx="8">
                  <c:v>8105</c:v>
                </c:pt>
                <c:pt idx="9">
                  <c:v>8111</c:v>
                </c:pt>
                <c:pt idx="10">
                  <c:v>8105</c:v>
                </c:pt>
                <c:pt idx="11">
                  <c:v>8111</c:v>
                </c:pt>
                <c:pt idx="12">
                  <c:v>8111</c:v>
                </c:pt>
                <c:pt idx="13">
                  <c:v>8111</c:v>
                </c:pt>
                <c:pt idx="14">
                  <c:v>8117</c:v>
                </c:pt>
                <c:pt idx="15">
                  <c:v>8105</c:v>
                </c:pt>
                <c:pt idx="16">
                  <c:v>8093</c:v>
                </c:pt>
                <c:pt idx="17">
                  <c:v>8099</c:v>
                </c:pt>
                <c:pt idx="18">
                  <c:v>8105</c:v>
                </c:pt>
                <c:pt idx="19">
                  <c:v>8093</c:v>
                </c:pt>
                <c:pt idx="20">
                  <c:v>8117</c:v>
                </c:pt>
                <c:pt idx="21">
                  <c:v>8111</c:v>
                </c:pt>
                <c:pt idx="22">
                  <c:v>8129</c:v>
                </c:pt>
                <c:pt idx="23">
                  <c:v>8111</c:v>
                </c:pt>
                <c:pt idx="24">
                  <c:v>8111</c:v>
                </c:pt>
                <c:pt idx="25">
                  <c:v>8129</c:v>
                </c:pt>
                <c:pt idx="26">
                  <c:v>8111</c:v>
                </c:pt>
                <c:pt idx="27">
                  <c:v>8140</c:v>
                </c:pt>
                <c:pt idx="28">
                  <c:v>8129</c:v>
                </c:pt>
                <c:pt idx="29">
                  <c:v>8140</c:v>
                </c:pt>
                <c:pt idx="30">
                  <c:v>8123</c:v>
                </c:pt>
                <c:pt idx="31">
                  <c:v>8105</c:v>
                </c:pt>
                <c:pt idx="32">
                  <c:v>8093</c:v>
                </c:pt>
                <c:pt idx="33">
                  <c:v>8105</c:v>
                </c:pt>
                <c:pt idx="34">
                  <c:v>8129</c:v>
                </c:pt>
                <c:pt idx="35">
                  <c:v>8111</c:v>
                </c:pt>
                <c:pt idx="36">
                  <c:v>8117</c:v>
                </c:pt>
                <c:pt idx="37">
                  <c:v>8111</c:v>
                </c:pt>
                <c:pt idx="38">
                  <c:v>8093</c:v>
                </c:pt>
                <c:pt idx="39">
                  <c:v>8105</c:v>
                </c:pt>
                <c:pt idx="40">
                  <c:v>8111</c:v>
                </c:pt>
                <c:pt idx="41">
                  <c:v>8105</c:v>
                </c:pt>
                <c:pt idx="42">
                  <c:v>8111</c:v>
                </c:pt>
                <c:pt idx="43">
                  <c:v>8105</c:v>
                </c:pt>
                <c:pt idx="44">
                  <c:v>8111</c:v>
                </c:pt>
                <c:pt idx="45">
                  <c:v>8105</c:v>
                </c:pt>
                <c:pt idx="46">
                  <c:v>8087</c:v>
                </c:pt>
                <c:pt idx="47">
                  <c:v>8105</c:v>
                </c:pt>
                <c:pt idx="48">
                  <c:v>8093</c:v>
                </c:pt>
                <c:pt idx="49">
                  <c:v>8111</c:v>
                </c:pt>
                <c:pt idx="50">
                  <c:v>8093</c:v>
                </c:pt>
                <c:pt idx="51">
                  <c:v>8105</c:v>
                </c:pt>
                <c:pt idx="52">
                  <c:v>8117</c:v>
                </c:pt>
                <c:pt idx="53">
                  <c:v>8117</c:v>
                </c:pt>
                <c:pt idx="54">
                  <c:v>8099</c:v>
                </c:pt>
                <c:pt idx="55">
                  <c:v>8099</c:v>
                </c:pt>
                <c:pt idx="56">
                  <c:v>8099</c:v>
                </c:pt>
                <c:pt idx="57">
                  <c:v>8105</c:v>
                </c:pt>
                <c:pt idx="58">
                  <c:v>8111</c:v>
                </c:pt>
                <c:pt idx="59">
                  <c:v>8099</c:v>
                </c:pt>
                <c:pt idx="60">
                  <c:v>8129</c:v>
                </c:pt>
                <c:pt idx="61">
                  <c:v>8105</c:v>
                </c:pt>
                <c:pt idx="62">
                  <c:v>8099</c:v>
                </c:pt>
                <c:pt idx="63">
                  <c:v>8117</c:v>
                </c:pt>
                <c:pt idx="64">
                  <c:v>8099</c:v>
                </c:pt>
                <c:pt idx="65">
                  <c:v>8117</c:v>
                </c:pt>
                <c:pt idx="66">
                  <c:v>8105</c:v>
                </c:pt>
                <c:pt idx="67">
                  <c:v>8099</c:v>
                </c:pt>
                <c:pt idx="68">
                  <c:v>8099</c:v>
                </c:pt>
                <c:pt idx="69">
                  <c:v>8123</c:v>
                </c:pt>
                <c:pt idx="70">
                  <c:v>8093</c:v>
                </c:pt>
                <c:pt idx="71">
                  <c:v>8146</c:v>
                </c:pt>
                <c:pt idx="72">
                  <c:v>8111</c:v>
                </c:pt>
                <c:pt idx="73">
                  <c:v>8099</c:v>
                </c:pt>
                <c:pt idx="74">
                  <c:v>8117</c:v>
                </c:pt>
                <c:pt idx="75">
                  <c:v>8093</c:v>
                </c:pt>
                <c:pt idx="76">
                  <c:v>8105</c:v>
                </c:pt>
                <c:pt idx="77">
                  <c:v>8105</c:v>
                </c:pt>
                <c:pt idx="78">
                  <c:v>8099</c:v>
                </c:pt>
                <c:pt idx="79">
                  <c:v>8123</c:v>
                </c:pt>
                <c:pt idx="80">
                  <c:v>8111</c:v>
                </c:pt>
                <c:pt idx="81">
                  <c:v>8105</c:v>
                </c:pt>
                <c:pt idx="82">
                  <c:v>8087</c:v>
                </c:pt>
                <c:pt idx="83">
                  <c:v>8111</c:v>
                </c:pt>
                <c:pt idx="84">
                  <c:v>8123</c:v>
                </c:pt>
                <c:pt idx="85">
                  <c:v>8123</c:v>
                </c:pt>
                <c:pt idx="86">
                  <c:v>8093</c:v>
                </c:pt>
                <c:pt idx="87">
                  <c:v>8087</c:v>
                </c:pt>
                <c:pt idx="88">
                  <c:v>8087</c:v>
                </c:pt>
                <c:pt idx="89">
                  <c:v>8093</c:v>
                </c:pt>
                <c:pt idx="90">
                  <c:v>8123</c:v>
                </c:pt>
                <c:pt idx="91">
                  <c:v>8105</c:v>
                </c:pt>
                <c:pt idx="92">
                  <c:v>8111</c:v>
                </c:pt>
                <c:pt idx="93">
                  <c:v>8111</c:v>
                </c:pt>
                <c:pt idx="94">
                  <c:v>8117</c:v>
                </c:pt>
                <c:pt idx="95">
                  <c:v>8117</c:v>
                </c:pt>
                <c:pt idx="96">
                  <c:v>8134</c:v>
                </c:pt>
                <c:pt idx="97">
                  <c:v>8129</c:v>
                </c:pt>
                <c:pt idx="98">
                  <c:v>8105</c:v>
                </c:pt>
                <c:pt idx="99">
                  <c:v>8105</c:v>
                </c:pt>
                <c:pt idx="100">
                  <c:v>8093</c:v>
                </c:pt>
                <c:pt idx="101">
                  <c:v>8117</c:v>
                </c:pt>
                <c:pt idx="102">
                  <c:v>8105</c:v>
                </c:pt>
                <c:pt idx="103">
                  <c:v>8117</c:v>
                </c:pt>
                <c:pt idx="104">
                  <c:v>8087</c:v>
                </c:pt>
                <c:pt idx="105">
                  <c:v>8111</c:v>
                </c:pt>
                <c:pt idx="106">
                  <c:v>8111</c:v>
                </c:pt>
                <c:pt idx="107">
                  <c:v>8105</c:v>
                </c:pt>
                <c:pt idx="108">
                  <c:v>8111</c:v>
                </c:pt>
                <c:pt idx="109">
                  <c:v>8105</c:v>
                </c:pt>
                <c:pt idx="110">
                  <c:v>8099</c:v>
                </c:pt>
                <c:pt idx="111">
                  <c:v>8117</c:v>
                </c:pt>
                <c:pt idx="112">
                  <c:v>8129</c:v>
                </c:pt>
                <c:pt idx="113">
                  <c:v>8129</c:v>
                </c:pt>
                <c:pt idx="114">
                  <c:v>8123</c:v>
                </c:pt>
                <c:pt idx="115">
                  <c:v>8105</c:v>
                </c:pt>
                <c:pt idx="116">
                  <c:v>8099</c:v>
                </c:pt>
                <c:pt idx="117">
                  <c:v>8105</c:v>
                </c:pt>
                <c:pt idx="118">
                  <c:v>8117</c:v>
                </c:pt>
                <c:pt idx="119">
                  <c:v>8099</c:v>
                </c:pt>
                <c:pt idx="120">
                  <c:v>8105</c:v>
                </c:pt>
                <c:pt idx="121">
                  <c:v>8087</c:v>
                </c:pt>
                <c:pt idx="122">
                  <c:v>8105</c:v>
                </c:pt>
                <c:pt idx="123">
                  <c:v>8099</c:v>
                </c:pt>
                <c:pt idx="124">
                  <c:v>8123</c:v>
                </c:pt>
                <c:pt idx="125">
                  <c:v>8099</c:v>
                </c:pt>
                <c:pt idx="126">
                  <c:v>8111</c:v>
                </c:pt>
                <c:pt idx="127">
                  <c:v>8117</c:v>
                </c:pt>
                <c:pt idx="128">
                  <c:v>8099</c:v>
                </c:pt>
                <c:pt idx="129">
                  <c:v>8105</c:v>
                </c:pt>
                <c:pt idx="130">
                  <c:v>8105</c:v>
                </c:pt>
                <c:pt idx="131">
                  <c:v>8111</c:v>
                </c:pt>
                <c:pt idx="132">
                  <c:v>8111</c:v>
                </c:pt>
                <c:pt idx="133">
                  <c:v>8111</c:v>
                </c:pt>
                <c:pt idx="134">
                  <c:v>8111</c:v>
                </c:pt>
                <c:pt idx="135">
                  <c:v>8087</c:v>
                </c:pt>
                <c:pt idx="136">
                  <c:v>8117</c:v>
                </c:pt>
                <c:pt idx="137">
                  <c:v>8117</c:v>
                </c:pt>
                <c:pt idx="138">
                  <c:v>8129</c:v>
                </c:pt>
                <c:pt idx="139">
                  <c:v>8093</c:v>
                </c:pt>
                <c:pt idx="140">
                  <c:v>8099</c:v>
                </c:pt>
                <c:pt idx="141">
                  <c:v>8117</c:v>
                </c:pt>
                <c:pt idx="142">
                  <c:v>8123</c:v>
                </c:pt>
                <c:pt idx="143">
                  <c:v>8099</c:v>
                </c:pt>
                <c:pt idx="144">
                  <c:v>8117</c:v>
                </c:pt>
                <c:pt idx="145">
                  <c:v>8111</c:v>
                </c:pt>
                <c:pt idx="146">
                  <c:v>8117</c:v>
                </c:pt>
                <c:pt idx="147">
                  <c:v>8099</c:v>
                </c:pt>
                <c:pt idx="148">
                  <c:v>8105</c:v>
                </c:pt>
                <c:pt idx="149">
                  <c:v>8129</c:v>
                </c:pt>
                <c:pt idx="150">
                  <c:v>8105</c:v>
                </c:pt>
                <c:pt idx="151">
                  <c:v>8105</c:v>
                </c:pt>
                <c:pt idx="152">
                  <c:v>8111</c:v>
                </c:pt>
                <c:pt idx="153">
                  <c:v>8111</c:v>
                </c:pt>
                <c:pt idx="154">
                  <c:v>8099</c:v>
                </c:pt>
                <c:pt idx="155">
                  <c:v>8099</c:v>
                </c:pt>
                <c:pt idx="156">
                  <c:v>8111</c:v>
                </c:pt>
                <c:pt idx="157">
                  <c:v>8087</c:v>
                </c:pt>
                <c:pt idx="158">
                  <c:v>8105</c:v>
                </c:pt>
                <c:pt idx="159">
                  <c:v>8105</c:v>
                </c:pt>
                <c:pt idx="160">
                  <c:v>8105</c:v>
                </c:pt>
                <c:pt idx="161">
                  <c:v>8093</c:v>
                </c:pt>
                <c:pt idx="162">
                  <c:v>8105</c:v>
                </c:pt>
                <c:pt idx="163">
                  <c:v>8099</c:v>
                </c:pt>
                <c:pt idx="164">
                  <c:v>8111</c:v>
                </c:pt>
                <c:pt idx="165">
                  <c:v>8099</c:v>
                </c:pt>
                <c:pt idx="166">
                  <c:v>8099</c:v>
                </c:pt>
                <c:pt idx="167">
                  <c:v>8111</c:v>
                </c:pt>
                <c:pt idx="168">
                  <c:v>8099</c:v>
                </c:pt>
                <c:pt idx="169">
                  <c:v>8099</c:v>
                </c:pt>
                <c:pt idx="170">
                  <c:v>8152</c:v>
                </c:pt>
                <c:pt idx="171">
                  <c:v>8111</c:v>
                </c:pt>
                <c:pt idx="172">
                  <c:v>8117</c:v>
                </c:pt>
                <c:pt idx="173">
                  <c:v>8105</c:v>
                </c:pt>
                <c:pt idx="174">
                  <c:v>8117</c:v>
                </c:pt>
                <c:pt idx="175">
                  <c:v>8105</c:v>
                </c:pt>
                <c:pt idx="176">
                  <c:v>8105</c:v>
                </c:pt>
                <c:pt idx="177">
                  <c:v>8105</c:v>
                </c:pt>
                <c:pt idx="178">
                  <c:v>8111</c:v>
                </c:pt>
                <c:pt idx="179">
                  <c:v>8117</c:v>
                </c:pt>
                <c:pt idx="180">
                  <c:v>8123</c:v>
                </c:pt>
                <c:pt idx="181">
                  <c:v>8140</c:v>
                </c:pt>
                <c:pt idx="182">
                  <c:v>8129</c:v>
                </c:pt>
                <c:pt idx="183">
                  <c:v>8117</c:v>
                </c:pt>
                <c:pt idx="184">
                  <c:v>8117</c:v>
                </c:pt>
                <c:pt idx="185">
                  <c:v>8129</c:v>
                </c:pt>
                <c:pt idx="186">
                  <c:v>8105</c:v>
                </c:pt>
                <c:pt idx="187">
                  <c:v>8105</c:v>
                </c:pt>
                <c:pt idx="188">
                  <c:v>8111</c:v>
                </c:pt>
                <c:pt idx="189">
                  <c:v>8087</c:v>
                </c:pt>
                <c:pt idx="190">
                  <c:v>8087</c:v>
                </c:pt>
                <c:pt idx="191">
                  <c:v>8093</c:v>
                </c:pt>
                <c:pt idx="192">
                  <c:v>8111</c:v>
                </c:pt>
                <c:pt idx="193">
                  <c:v>8099</c:v>
                </c:pt>
                <c:pt idx="194">
                  <c:v>8123</c:v>
                </c:pt>
                <c:pt idx="195">
                  <c:v>8123</c:v>
                </c:pt>
                <c:pt idx="196">
                  <c:v>8117</c:v>
                </c:pt>
                <c:pt idx="197">
                  <c:v>8111</c:v>
                </c:pt>
                <c:pt idx="198">
                  <c:v>8093</c:v>
                </c:pt>
                <c:pt idx="199">
                  <c:v>8117</c:v>
                </c:pt>
                <c:pt idx="200">
                  <c:v>8111</c:v>
                </c:pt>
                <c:pt idx="201">
                  <c:v>8099</c:v>
                </c:pt>
                <c:pt idx="202">
                  <c:v>8129</c:v>
                </c:pt>
                <c:pt idx="203">
                  <c:v>8140</c:v>
                </c:pt>
                <c:pt idx="204">
                  <c:v>8134</c:v>
                </c:pt>
                <c:pt idx="205">
                  <c:v>8111</c:v>
                </c:pt>
                <c:pt idx="206">
                  <c:v>8146</c:v>
                </c:pt>
                <c:pt idx="207">
                  <c:v>8134</c:v>
                </c:pt>
                <c:pt idx="208">
                  <c:v>8105</c:v>
                </c:pt>
                <c:pt idx="209">
                  <c:v>8134</c:v>
                </c:pt>
                <c:pt idx="210">
                  <c:v>8105</c:v>
                </c:pt>
                <c:pt idx="211">
                  <c:v>8111</c:v>
                </c:pt>
                <c:pt idx="212">
                  <c:v>8117</c:v>
                </c:pt>
                <c:pt idx="213">
                  <c:v>8093</c:v>
                </c:pt>
                <c:pt idx="214">
                  <c:v>8129</c:v>
                </c:pt>
                <c:pt idx="215">
                  <c:v>8081</c:v>
                </c:pt>
                <c:pt idx="216">
                  <c:v>8117</c:v>
                </c:pt>
                <c:pt idx="217">
                  <c:v>8111</c:v>
                </c:pt>
                <c:pt idx="218">
                  <c:v>8099</c:v>
                </c:pt>
                <c:pt idx="219">
                  <c:v>8111</c:v>
                </c:pt>
                <c:pt idx="220">
                  <c:v>8123</c:v>
                </c:pt>
                <c:pt idx="221">
                  <c:v>8111</c:v>
                </c:pt>
                <c:pt idx="222">
                  <c:v>8105</c:v>
                </c:pt>
                <c:pt idx="223">
                  <c:v>8099</c:v>
                </c:pt>
                <c:pt idx="224">
                  <c:v>8111</c:v>
                </c:pt>
                <c:pt idx="225">
                  <c:v>8105</c:v>
                </c:pt>
                <c:pt idx="226">
                  <c:v>8140</c:v>
                </c:pt>
                <c:pt idx="227">
                  <c:v>8105</c:v>
                </c:pt>
                <c:pt idx="228">
                  <c:v>8099</c:v>
                </c:pt>
                <c:pt idx="229">
                  <c:v>8099</c:v>
                </c:pt>
                <c:pt idx="230">
                  <c:v>8099</c:v>
                </c:pt>
                <c:pt idx="231">
                  <c:v>8129</c:v>
                </c:pt>
                <c:pt idx="232">
                  <c:v>8093</c:v>
                </c:pt>
                <c:pt idx="233">
                  <c:v>8105</c:v>
                </c:pt>
                <c:pt idx="234">
                  <c:v>8105</c:v>
                </c:pt>
                <c:pt idx="235">
                  <c:v>8099</c:v>
                </c:pt>
                <c:pt idx="236">
                  <c:v>8105</c:v>
                </c:pt>
                <c:pt idx="237">
                  <c:v>8111</c:v>
                </c:pt>
                <c:pt idx="238">
                  <c:v>8129</c:v>
                </c:pt>
                <c:pt idx="239">
                  <c:v>8093</c:v>
                </c:pt>
                <c:pt idx="240">
                  <c:v>8105</c:v>
                </c:pt>
                <c:pt idx="241">
                  <c:v>8105</c:v>
                </c:pt>
                <c:pt idx="242">
                  <c:v>8117</c:v>
                </c:pt>
                <c:pt idx="243">
                  <c:v>8111</c:v>
                </c:pt>
                <c:pt idx="244">
                  <c:v>8099</c:v>
                </c:pt>
                <c:pt idx="245">
                  <c:v>8093</c:v>
                </c:pt>
                <c:pt idx="246">
                  <c:v>8111</c:v>
                </c:pt>
                <c:pt idx="247">
                  <c:v>8117</c:v>
                </c:pt>
                <c:pt idx="248">
                  <c:v>8099</c:v>
                </c:pt>
                <c:pt idx="249">
                  <c:v>8111</c:v>
                </c:pt>
                <c:pt idx="250">
                  <c:v>8105</c:v>
                </c:pt>
                <c:pt idx="251">
                  <c:v>8105</c:v>
                </c:pt>
                <c:pt idx="252">
                  <c:v>8099</c:v>
                </c:pt>
                <c:pt idx="253">
                  <c:v>8117</c:v>
                </c:pt>
                <c:pt idx="254">
                  <c:v>8117</c:v>
                </c:pt>
                <c:pt idx="255">
                  <c:v>8111</c:v>
                </c:pt>
                <c:pt idx="256">
                  <c:v>8105</c:v>
                </c:pt>
                <c:pt idx="257">
                  <c:v>8093</c:v>
                </c:pt>
                <c:pt idx="258">
                  <c:v>8111</c:v>
                </c:pt>
                <c:pt idx="259">
                  <c:v>8099</c:v>
                </c:pt>
                <c:pt idx="260">
                  <c:v>8081</c:v>
                </c:pt>
                <c:pt idx="261">
                  <c:v>8111</c:v>
                </c:pt>
                <c:pt idx="262">
                  <c:v>8099</c:v>
                </c:pt>
                <c:pt idx="263">
                  <c:v>8140</c:v>
                </c:pt>
                <c:pt idx="264">
                  <c:v>8105</c:v>
                </c:pt>
                <c:pt idx="265">
                  <c:v>8111</c:v>
                </c:pt>
                <c:pt idx="266">
                  <c:v>8105</c:v>
                </c:pt>
                <c:pt idx="267">
                  <c:v>8093</c:v>
                </c:pt>
                <c:pt idx="268">
                  <c:v>8081</c:v>
                </c:pt>
                <c:pt idx="269">
                  <c:v>8075</c:v>
                </c:pt>
                <c:pt idx="270">
                  <c:v>8087</c:v>
                </c:pt>
                <c:pt idx="271">
                  <c:v>8093</c:v>
                </c:pt>
                <c:pt idx="272">
                  <c:v>8099</c:v>
                </c:pt>
                <c:pt idx="273">
                  <c:v>8117</c:v>
                </c:pt>
                <c:pt idx="274">
                  <c:v>8105</c:v>
                </c:pt>
                <c:pt idx="275">
                  <c:v>8117</c:v>
                </c:pt>
                <c:pt idx="276">
                  <c:v>8099</c:v>
                </c:pt>
                <c:pt idx="277">
                  <c:v>8093</c:v>
                </c:pt>
                <c:pt idx="278">
                  <c:v>8140</c:v>
                </c:pt>
                <c:pt idx="279">
                  <c:v>8099</c:v>
                </c:pt>
                <c:pt idx="280">
                  <c:v>8087</c:v>
                </c:pt>
                <c:pt idx="281">
                  <c:v>8099</c:v>
                </c:pt>
                <c:pt idx="282">
                  <c:v>8111</c:v>
                </c:pt>
                <c:pt idx="283">
                  <c:v>8093</c:v>
                </c:pt>
                <c:pt idx="284">
                  <c:v>8093</c:v>
                </c:pt>
                <c:pt idx="285">
                  <c:v>8105</c:v>
                </c:pt>
                <c:pt idx="286">
                  <c:v>8087</c:v>
                </c:pt>
                <c:pt idx="287">
                  <c:v>8105</c:v>
                </c:pt>
                <c:pt idx="288">
                  <c:v>8105</c:v>
                </c:pt>
                <c:pt idx="289">
                  <c:v>8087</c:v>
                </c:pt>
                <c:pt idx="290">
                  <c:v>8105</c:v>
                </c:pt>
                <c:pt idx="291">
                  <c:v>8093</c:v>
                </c:pt>
                <c:pt idx="292">
                  <c:v>8105</c:v>
                </c:pt>
                <c:pt idx="293">
                  <c:v>8111</c:v>
                </c:pt>
                <c:pt idx="294">
                  <c:v>8111</c:v>
                </c:pt>
                <c:pt idx="295">
                  <c:v>8093</c:v>
                </c:pt>
                <c:pt idx="296">
                  <c:v>8105</c:v>
                </c:pt>
                <c:pt idx="297">
                  <c:v>8111</c:v>
                </c:pt>
                <c:pt idx="298">
                  <c:v>8105</c:v>
                </c:pt>
                <c:pt idx="299">
                  <c:v>8117</c:v>
                </c:pt>
                <c:pt idx="300">
                  <c:v>8111</c:v>
                </c:pt>
                <c:pt idx="301">
                  <c:v>8134</c:v>
                </c:pt>
                <c:pt idx="302">
                  <c:v>8129</c:v>
                </c:pt>
                <c:pt idx="303">
                  <c:v>8111</c:v>
                </c:pt>
                <c:pt idx="304">
                  <c:v>8105</c:v>
                </c:pt>
                <c:pt idx="305">
                  <c:v>8105</c:v>
                </c:pt>
                <c:pt idx="306">
                  <c:v>8134</c:v>
                </c:pt>
                <c:pt idx="307">
                  <c:v>8099</c:v>
                </c:pt>
                <c:pt idx="308">
                  <c:v>8111</c:v>
                </c:pt>
                <c:pt idx="309">
                  <c:v>8123</c:v>
                </c:pt>
                <c:pt idx="310">
                  <c:v>8117</c:v>
                </c:pt>
                <c:pt idx="311">
                  <c:v>8111</c:v>
                </c:pt>
                <c:pt idx="312">
                  <c:v>8099</c:v>
                </c:pt>
                <c:pt idx="313">
                  <c:v>8105</c:v>
                </c:pt>
                <c:pt idx="314">
                  <c:v>8111</c:v>
                </c:pt>
                <c:pt idx="315">
                  <c:v>8099</c:v>
                </c:pt>
                <c:pt idx="316">
                  <c:v>8129</c:v>
                </c:pt>
                <c:pt idx="317">
                  <c:v>8099</c:v>
                </c:pt>
                <c:pt idx="318">
                  <c:v>8075</c:v>
                </c:pt>
                <c:pt idx="319">
                  <c:v>8081</c:v>
                </c:pt>
                <c:pt idx="320">
                  <c:v>8105</c:v>
                </c:pt>
                <c:pt idx="321">
                  <c:v>8123</c:v>
                </c:pt>
                <c:pt idx="322">
                  <c:v>8105</c:v>
                </c:pt>
                <c:pt idx="323">
                  <c:v>8081</c:v>
                </c:pt>
                <c:pt idx="324">
                  <c:v>8111</c:v>
                </c:pt>
                <c:pt idx="325">
                  <c:v>8111</c:v>
                </c:pt>
                <c:pt idx="326">
                  <c:v>8093</c:v>
                </c:pt>
                <c:pt idx="327">
                  <c:v>8105</c:v>
                </c:pt>
                <c:pt idx="328">
                  <c:v>8111</c:v>
                </c:pt>
                <c:pt idx="329">
                  <c:v>8099</c:v>
                </c:pt>
                <c:pt idx="330">
                  <c:v>8105</c:v>
                </c:pt>
                <c:pt idx="331">
                  <c:v>8105</c:v>
                </c:pt>
                <c:pt idx="332">
                  <c:v>8111</c:v>
                </c:pt>
                <c:pt idx="333">
                  <c:v>8111</c:v>
                </c:pt>
                <c:pt idx="334">
                  <c:v>8111</c:v>
                </c:pt>
                <c:pt idx="335">
                  <c:v>8123</c:v>
                </c:pt>
                <c:pt idx="336">
                  <c:v>8129</c:v>
                </c:pt>
                <c:pt idx="337">
                  <c:v>8105</c:v>
                </c:pt>
                <c:pt idx="338">
                  <c:v>8123</c:v>
                </c:pt>
                <c:pt idx="339">
                  <c:v>8099</c:v>
                </c:pt>
                <c:pt idx="340">
                  <c:v>8099</c:v>
                </c:pt>
                <c:pt idx="341">
                  <c:v>8134</c:v>
                </c:pt>
                <c:pt idx="342">
                  <c:v>8099</c:v>
                </c:pt>
                <c:pt idx="343">
                  <c:v>8111</c:v>
                </c:pt>
                <c:pt idx="344">
                  <c:v>8105</c:v>
                </c:pt>
                <c:pt idx="345">
                  <c:v>8093</c:v>
                </c:pt>
                <c:pt idx="346">
                  <c:v>8105</c:v>
                </c:pt>
                <c:pt idx="347">
                  <c:v>8081</c:v>
                </c:pt>
                <c:pt idx="348">
                  <c:v>8123</c:v>
                </c:pt>
                <c:pt idx="349">
                  <c:v>8111</c:v>
                </c:pt>
                <c:pt idx="350">
                  <c:v>8093</c:v>
                </c:pt>
                <c:pt idx="351">
                  <c:v>8099</c:v>
                </c:pt>
                <c:pt idx="352">
                  <c:v>8099</c:v>
                </c:pt>
                <c:pt idx="353">
                  <c:v>8105</c:v>
                </c:pt>
                <c:pt idx="354">
                  <c:v>8111</c:v>
                </c:pt>
                <c:pt idx="355">
                  <c:v>8164</c:v>
                </c:pt>
                <c:pt idx="356">
                  <c:v>8117</c:v>
                </c:pt>
                <c:pt idx="357">
                  <c:v>8111</c:v>
                </c:pt>
                <c:pt idx="358">
                  <c:v>8117</c:v>
                </c:pt>
                <c:pt idx="359">
                  <c:v>8129</c:v>
                </c:pt>
                <c:pt idx="360">
                  <c:v>8117</c:v>
                </c:pt>
                <c:pt idx="361">
                  <c:v>8105</c:v>
                </c:pt>
                <c:pt idx="362">
                  <c:v>8093</c:v>
                </c:pt>
                <c:pt idx="363">
                  <c:v>8117</c:v>
                </c:pt>
                <c:pt idx="364">
                  <c:v>8140</c:v>
                </c:pt>
                <c:pt idx="365">
                  <c:v>8105</c:v>
                </c:pt>
                <c:pt idx="366">
                  <c:v>8099</c:v>
                </c:pt>
                <c:pt idx="367">
                  <c:v>8111</c:v>
                </c:pt>
                <c:pt idx="368">
                  <c:v>8099</c:v>
                </c:pt>
                <c:pt idx="369">
                  <c:v>8105</c:v>
                </c:pt>
                <c:pt idx="370">
                  <c:v>8105</c:v>
                </c:pt>
                <c:pt idx="371">
                  <c:v>8111</c:v>
                </c:pt>
                <c:pt idx="372">
                  <c:v>8123</c:v>
                </c:pt>
                <c:pt idx="373">
                  <c:v>8099</c:v>
                </c:pt>
                <c:pt idx="374">
                  <c:v>8123</c:v>
                </c:pt>
                <c:pt idx="375">
                  <c:v>8134</c:v>
                </c:pt>
                <c:pt idx="376">
                  <c:v>8111</c:v>
                </c:pt>
                <c:pt idx="377">
                  <c:v>8105</c:v>
                </c:pt>
                <c:pt idx="378">
                  <c:v>8111</c:v>
                </c:pt>
                <c:pt idx="379">
                  <c:v>8111</c:v>
                </c:pt>
                <c:pt idx="380">
                  <c:v>8129</c:v>
                </c:pt>
                <c:pt idx="381">
                  <c:v>8105</c:v>
                </c:pt>
                <c:pt idx="382">
                  <c:v>8105</c:v>
                </c:pt>
                <c:pt idx="383">
                  <c:v>8123</c:v>
                </c:pt>
                <c:pt idx="384">
                  <c:v>8093</c:v>
                </c:pt>
                <c:pt idx="385">
                  <c:v>8111</c:v>
                </c:pt>
                <c:pt idx="386">
                  <c:v>8099</c:v>
                </c:pt>
                <c:pt idx="387">
                  <c:v>8129</c:v>
                </c:pt>
                <c:pt idx="388">
                  <c:v>8117</c:v>
                </c:pt>
                <c:pt idx="389">
                  <c:v>8111</c:v>
                </c:pt>
                <c:pt idx="390">
                  <c:v>8129</c:v>
                </c:pt>
                <c:pt idx="391">
                  <c:v>8111</c:v>
                </c:pt>
                <c:pt idx="392">
                  <c:v>8081</c:v>
                </c:pt>
                <c:pt idx="393">
                  <c:v>8105</c:v>
                </c:pt>
                <c:pt idx="394">
                  <c:v>8129</c:v>
                </c:pt>
                <c:pt idx="395">
                  <c:v>8117</c:v>
                </c:pt>
                <c:pt idx="396">
                  <c:v>8123</c:v>
                </c:pt>
                <c:pt idx="397">
                  <c:v>8117</c:v>
                </c:pt>
                <c:pt idx="398">
                  <c:v>8087</c:v>
                </c:pt>
                <c:pt idx="399">
                  <c:v>8111</c:v>
                </c:pt>
                <c:pt idx="400">
                  <c:v>8105</c:v>
                </c:pt>
                <c:pt idx="401">
                  <c:v>8123</c:v>
                </c:pt>
                <c:pt idx="402">
                  <c:v>8152</c:v>
                </c:pt>
                <c:pt idx="403">
                  <c:v>8111</c:v>
                </c:pt>
                <c:pt idx="404">
                  <c:v>8099</c:v>
                </c:pt>
                <c:pt idx="405">
                  <c:v>8105</c:v>
                </c:pt>
                <c:pt idx="406">
                  <c:v>8117</c:v>
                </c:pt>
                <c:pt idx="407">
                  <c:v>8093</c:v>
                </c:pt>
                <c:pt idx="408">
                  <c:v>8117</c:v>
                </c:pt>
                <c:pt idx="409">
                  <c:v>8117</c:v>
                </c:pt>
                <c:pt idx="410">
                  <c:v>8111</c:v>
                </c:pt>
                <c:pt idx="411">
                  <c:v>8123</c:v>
                </c:pt>
                <c:pt idx="412">
                  <c:v>8129</c:v>
                </c:pt>
                <c:pt idx="413">
                  <c:v>8117</c:v>
                </c:pt>
                <c:pt idx="414">
                  <c:v>8093</c:v>
                </c:pt>
                <c:pt idx="415">
                  <c:v>8099</c:v>
                </c:pt>
                <c:pt idx="416">
                  <c:v>8105</c:v>
                </c:pt>
                <c:pt idx="417">
                  <c:v>8099</c:v>
                </c:pt>
                <c:pt idx="418">
                  <c:v>8087</c:v>
                </c:pt>
                <c:pt idx="419">
                  <c:v>8099</c:v>
                </c:pt>
                <c:pt idx="420">
                  <c:v>8111</c:v>
                </c:pt>
                <c:pt idx="421">
                  <c:v>8117</c:v>
                </c:pt>
                <c:pt idx="422">
                  <c:v>8111</c:v>
                </c:pt>
                <c:pt idx="423">
                  <c:v>8152</c:v>
                </c:pt>
                <c:pt idx="424">
                  <c:v>8123</c:v>
                </c:pt>
                <c:pt idx="425">
                  <c:v>8105</c:v>
                </c:pt>
                <c:pt idx="426">
                  <c:v>8099</c:v>
                </c:pt>
                <c:pt idx="427">
                  <c:v>8099</c:v>
                </c:pt>
                <c:pt idx="428">
                  <c:v>8105</c:v>
                </c:pt>
                <c:pt idx="429">
                  <c:v>8111</c:v>
                </c:pt>
                <c:pt idx="430">
                  <c:v>8105</c:v>
                </c:pt>
                <c:pt idx="431">
                  <c:v>8123</c:v>
                </c:pt>
                <c:pt idx="432">
                  <c:v>8093</c:v>
                </c:pt>
                <c:pt idx="433">
                  <c:v>8111</c:v>
                </c:pt>
                <c:pt idx="434">
                  <c:v>8111</c:v>
                </c:pt>
                <c:pt idx="435">
                  <c:v>8111</c:v>
                </c:pt>
                <c:pt idx="436">
                  <c:v>8117</c:v>
                </c:pt>
                <c:pt idx="437">
                  <c:v>8117</c:v>
                </c:pt>
                <c:pt idx="438">
                  <c:v>8123</c:v>
                </c:pt>
                <c:pt idx="439">
                  <c:v>8117</c:v>
                </c:pt>
                <c:pt idx="440">
                  <c:v>8105</c:v>
                </c:pt>
                <c:pt idx="441">
                  <c:v>8105</c:v>
                </c:pt>
                <c:pt idx="442">
                  <c:v>8087</c:v>
                </c:pt>
                <c:pt idx="443">
                  <c:v>8087</c:v>
                </c:pt>
                <c:pt idx="444">
                  <c:v>8087</c:v>
                </c:pt>
                <c:pt idx="445">
                  <c:v>8117</c:v>
                </c:pt>
                <c:pt idx="446">
                  <c:v>8111</c:v>
                </c:pt>
                <c:pt idx="447">
                  <c:v>8093</c:v>
                </c:pt>
                <c:pt idx="448">
                  <c:v>8117</c:v>
                </c:pt>
                <c:pt idx="449">
                  <c:v>8140</c:v>
                </c:pt>
                <c:pt idx="450">
                  <c:v>8111</c:v>
                </c:pt>
                <c:pt idx="451">
                  <c:v>8093</c:v>
                </c:pt>
                <c:pt idx="452">
                  <c:v>8129</c:v>
                </c:pt>
                <c:pt idx="453">
                  <c:v>8105</c:v>
                </c:pt>
                <c:pt idx="454">
                  <c:v>8117</c:v>
                </c:pt>
                <c:pt idx="455">
                  <c:v>8111</c:v>
                </c:pt>
                <c:pt idx="456">
                  <c:v>8105</c:v>
                </c:pt>
                <c:pt idx="457">
                  <c:v>8093</c:v>
                </c:pt>
                <c:pt idx="458">
                  <c:v>8123</c:v>
                </c:pt>
                <c:pt idx="459">
                  <c:v>8105</c:v>
                </c:pt>
                <c:pt idx="460">
                  <c:v>8105</c:v>
                </c:pt>
                <c:pt idx="461">
                  <c:v>8093</c:v>
                </c:pt>
                <c:pt idx="462">
                  <c:v>8105</c:v>
                </c:pt>
                <c:pt idx="463">
                  <c:v>8164</c:v>
                </c:pt>
                <c:pt idx="464">
                  <c:v>8105</c:v>
                </c:pt>
                <c:pt idx="465">
                  <c:v>8111</c:v>
                </c:pt>
                <c:pt idx="466">
                  <c:v>8134</c:v>
                </c:pt>
                <c:pt idx="467">
                  <c:v>8123</c:v>
                </c:pt>
                <c:pt idx="468">
                  <c:v>8111</c:v>
                </c:pt>
                <c:pt idx="469">
                  <c:v>8123</c:v>
                </c:pt>
                <c:pt idx="470">
                  <c:v>8117</c:v>
                </c:pt>
                <c:pt idx="471">
                  <c:v>8117</c:v>
                </c:pt>
                <c:pt idx="472">
                  <c:v>8111</c:v>
                </c:pt>
                <c:pt idx="473">
                  <c:v>8087</c:v>
                </c:pt>
                <c:pt idx="474">
                  <c:v>8123</c:v>
                </c:pt>
                <c:pt idx="475">
                  <c:v>8093</c:v>
                </c:pt>
                <c:pt idx="476">
                  <c:v>8093</c:v>
                </c:pt>
                <c:pt idx="477">
                  <c:v>8105</c:v>
                </c:pt>
                <c:pt idx="478">
                  <c:v>8123</c:v>
                </c:pt>
                <c:pt idx="479">
                  <c:v>8111</c:v>
                </c:pt>
                <c:pt idx="480">
                  <c:v>8099</c:v>
                </c:pt>
                <c:pt idx="481">
                  <c:v>8111</c:v>
                </c:pt>
                <c:pt idx="482">
                  <c:v>8105</c:v>
                </c:pt>
                <c:pt idx="483">
                  <c:v>8105</c:v>
                </c:pt>
                <c:pt idx="484">
                  <c:v>8105</c:v>
                </c:pt>
                <c:pt idx="485">
                  <c:v>8134</c:v>
                </c:pt>
                <c:pt idx="486">
                  <c:v>8111</c:v>
                </c:pt>
                <c:pt idx="487">
                  <c:v>8111</c:v>
                </c:pt>
                <c:pt idx="488">
                  <c:v>8111</c:v>
                </c:pt>
                <c:pt idx="489">
                  <c:v>8099</c:v>
                </c:pt>
                <c:pt idx="490">
                  <c:v>8099</c:v>
                </c:pt>
                <c:pt idx="491">
                  <c:v>8099</c:v>
                </c:pt>
                <c:pt idx="492">
                  <c:v>8075</c:v>
                </c:pt>
                <c:pt idx="493">
                  <c:v>8117</c:v>
                </c:pt>
                <c:pt idx="494">
                  <c:v>8099</c:v>
                </c:pt>
                <c:pt idx="495">
                  <c:v>8117</c:v>
                </c:pt>
                <c:pt idx="496">
                  <c:v>8105</c:v>
                </c:pt>
                <c:pt idx="497">
                  <c:v>8111</c:v>
                </c:pt>
                <c:pt idx="498">
                  <c:v>8111</c:v>
                </c:pt>
                <c:pt idx="499">
                  <c:v>8111</c:v>
                </c:pt>
                <c:pt idx="500">
                  <c:v>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3-41BC-9783-F19C33A4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98304"/>
        <c:axId val="270199744"/>
      </c:lineChart>
      <c:catAx>
        <c:axId val="2701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99744"/>
        <c:crosses val="autoZero"/>
        <c:auto val="1"/>
        <c:lblAlgn val="ctr"/>
        <c:lblOffset val="100"/>
        <c:noMultiLvlLbl val="0"/>
      </c:catAx>
      <c:valAx>
        <c:axId val="2701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9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64770</xdr:rowOff>
    </xdr:from>
    <xdr:to>
      <xdr:col>5</xdr:col>
      <xdr:colOff>68580</xdr:colOff>
      <xdr:row>27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50684-903A-FE7C-0369-29C6D893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12</xdr:row>
      <xdr:rowOff>118110</xdr:rowOff>
    </xdr:from>
    <xdr:to>
      <xdr:col>10</xdr:col>
      <xdr:colOff>190500</xdr:colOff>
      <xdr:row>27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8C759-3D3B-A86C-8941-569C67D96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220980</xdr:colOff>
      <xdr:row>27</xdr:row>
      <xdr:rowOff>140970</xdr:rowOff>
    </xdr:from>
    <xdr:to>
      <xdr:col>4</xdr:col>
      <xdr:colOff>937260</xdr:colOff>
      <xdr:row>42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2A5289-51CC-9A61-5FFC-7FE0085C8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60960</xdr:colOff>
      <xdr:row>27</xdr:row>
      <xdr:rowOff>179070</xdr:rowOff>
    </xdr:from>
    <xdr:to>
      <xdr:col>8</xdr:col>
      <xdr:colOff>320040</xdr:colOff>
      <xdr:row>42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78A0E-5933-BD70-3451-83E55395F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304226</xdr:colOff>
      <xdr:row>4</xdr:row>
      <xdr:rowOff>121948</xdr:rowOff>
    </xdr:from>
    <xdr:to>
      <xdr:col>26</xdr:col>
      <xdr:colOff>606735</xdr:colOff>
      <xdr:row>19</xdr:row>
      <xdr:rowOff>121948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65EDA-E214-24B4-162F-86E1D8A2A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548640</xdr:colOff>
      <xdr:row>4</xdr:row>
      <xdr:rowOff>125730</xdr:rowOff>
    </xdr:from>
    <xdr:to>
      <xdr:col>19</xdr:col>
      <xdr:colOff>243840</xdr:colOff>
      <xdr:row>19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FF58E-0E5D-1383-6466-A52DB238B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3E895A0B-7F87-4677-BD92-C67D76DA6FC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381B0868-5CB8-428C-B3B9-7D2318B5828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7" xr16:uid="{04B32C25-28CE-4933-A0E3-829E88E0CC47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1A2D3650-BD1A-483C-8F47-BE4EF2BC2816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574C2C81-11EE-4F74-B6B6-AC8B5F56CCF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520DE611-1FD7-46FB-A7F0-D261D752234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CFB3416D-0109-45E2-807B-E668FA556949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354FFFAD-09A3-4C5B-A5AC-96F254F344F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691766B3-C287-48DE-A924-0509EF6F1E6B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5474E6C-0DF8-40EB-B93C-C7FC484CB761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F9CCA58B-F977-4E3A-95DA-7217FD3849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569D005-9B53-4C09-B869-836D69D44E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3F788E0-2F0B-421C-8F9B-FEA724C7890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0D1B15B-817C-48C0-A918-4F4FBCB2072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2F41AB0-A43B-4174-BF53-AD87553D16D4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A71332-961C-4F57-96D7-3053B3956D89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  <queryTableField id="11" dataBound="0" tableColumnId="11"/>
      <queryTableField id="12" dataBound="0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0569DF-1CB2-4837-B77D-D5836B34A2A5}" name="Table18" displayName="Table18" ref="A1:H11" totalsRowShown="0">
  <autoFilter ref="A1:H11" xr:uid="{E90569DF-1CB2-4837-B77D-D5836B34A2A5}"/>
  <tableColumns count="8">
    <tableColumn id="1" xr3:uid="{F3493AEE-6699-4ECD-82D6-C2F332A4A7F7}" name="angle"/>
    <tableColumn id="2" xr3:uid="{C776B506-DEBF-42AC-8130-EEADA39B3113}" name="pfwd_filt_mean"/>
    <tableColumn id="3" xr3:uid="{589CCD64-EA9D-4050-8B86-147291725B64}" name="p45_filt_mean"/>
    <tableColumn id="4" xr3:uid="{BD7A8F8A-F91E-4E7C-8996-C1341FEA91FD}" name="pfwd_filt_median"/>
    <tableColumn id="5" xr3:uid="{41591598-AF6C-48CC-9CD3-0CABA77D5AEE}" name="p45_filt_median"/>
    <tableColumn id="6" xr3:uid="{93027C87-5D8A-4445-BD6E-28B1A1E334E7}" name="coeff_mean"/>
    <tableColumn id="7" xr3:uid="{E59EC160-EE2A-4918-8FDC-E81FE5F9EE1C}" name="coeff_median"/>
    <tableColumn id="9" xr3:uid="{FA1632B3-65B0-45CF-995A-DB7B6ABFCE38}" name="predicted_angle_mean" dataDxfId="2">
      <calculatedColumnFormula xml:space="preserve"> -66.186 *Table18[[#This Row],[coeff_mean]] + 72.445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1EC333-0C97-4986-9F4B-1D28EFC70893}" name="_2026_04_17_16_42_00__22_high" displayName="_2026_04_17_16_42_00__22_high" ref="A1:J502" tableType="queryTable" totalsRowShown="0">
  <autoFilter ref="A1:J502" xr:uid="{A11EC333-0C97-4986-9F4B-1D28EFC70893}"/>
  <tableColumns count="10">
    <tableColumn id="1" xr3:uid="{5FEFDEA1-9147-4053-80E2-D5E0C07F428F}" uniqueName="1" name="count" queryTableFieldId="1"/>
    <tableColumn id="2" xr3:uid="{122D4C3D-5CE5-4AEE-89A7-3C2F8AEA0F8A}" uniqueName="2" name="timestamp_ms" queryTableFieldId="2"/>
    <tableColumn id="3" xr3:uid="{C0AD3097-D59C-4F76-81D3-D1E9DEB6FF6B}" uniqueName="3" name="aoa_valid" queryTableFieldId="3"/>
    <tableColumn id="4" xr3:uid="{061D09E3-3A4F-4C3C-BF82-DB2A287E475E}" uniqueName="4" name="pfd_raw" queryTableFieldId="4"/>
    <tableColumn id="5" xr3:uid="{3BE3A789-801D-43FD-B7D1-662D565B6F34}" uniqueName="5" name="p45_raw" queryTableFieldId="5"/>
    <tableColumn id="6" xr3:uid="{78C1630C-DBA7-4E68-9CFF-1E1C0105A995}" uniqueName="6" name="pfwd_filt" queryTableFieldId="6"/>
    <tableColumn id="7" xr3:uid="{7BBED7EB-28AF-486B-B87E-020408F484A7}" uniqueName="7" name="p45_filt" queryTableFieldId="7"/>
    <tableColumn id="8" xr3:uid="{719F6EF3-C565-4F4F-B739-47336BDAE10F}" uniqueName="8" name="coeff" queryTableFieldId="8"/>
    <tableColumn id="9" xr3:uid="{C37D4A47-619D-4F25-993D-3FEEE7BCF3BB}" uniqueName="9" name="aoa_raw" queryTableFieldId="9"/>
    <tableColumn id="10" xr3:uid="{C72865CA-8C10-4D50-BCDF-997B5117B29A}" uniqueName="10" name="aoa_fil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964CDD-9F0A-4B45-A28E-45B3DDBD8E02}" name="_2026_04_17_16_41_07__19_high" displayName="_2026_04_17_16_41_07__19_high" ref="A1:J502" tableType="queryTable" totalsRowShown="0">
  <autoFilter ref="A1:J502" xr:uid="{FC964CDD-9F0A-4B45-A28E-45B3DDBD8E02}"/>
  <tableColumns count="10">
    <tableColumn id="1" xr3:uid="{9A9B08BE-A7D9-4E21-98FC-23552CCA7430}" uniqueName="1" name="count" queryTableFieldId="1"/>
    <tableColumn id="2" xr3:uid="{0DEBAC0B-5F6C-47B5-9518-BBBA80DA54A4}" uniqueName="2" name="timestamp_ms" queryTableFieldId="2"/>
    <tableColumn id="3" xr3:uid="{C9FC1321-054D-4786-A644-380FFF19488D}" uniqueName="3" name="aoa_valid" queryTableFieldId="3"/>
    <tableColumn id="4" xr3:uid="{25A900AE-2582-42B8-9000-401DDC7BBCE4}" uniqueName="4" name="pfd_raw" queryTableFieldId="4"/>
    <tableColumn id="5" xr3:uid="{EBB31F77-EB17-4264-98F8-71B3C751A373}" uniqueName="5" name="p45_raw" queryTableFieldId="5"/>
    <tableColumn id="6" xr3:uid="{DFBF2508-0EFF-4C22-9D31-63FC91AA31DF}" uniqueName="6" name="pfwd_filt" queryTableFieldId="6"/>
    <tableColumn id="7" xr3:uid="{12DFD7E8-9920-458F-A2DF-ADAD32AD5D97}" uniqueName="7" name="p45_filt" queryTableFieldId="7"/>
    <tableColumn id="8" xr3:uid="{97AD6FE8-921F-4B99-B507-0AD56AF3CC23}" uniqueName="8" name="coeff" queryTableFieldId="8"/>
    <tableColumn id="9" xr3:uid="{F4D89B97-E289-4024-B825-5E5B977B8C9A}" uniqueName="9" name="aoa_raw" queryTableFieldId="9"/>
    <tableColumn id="10" xr3:uid="{878A9745-7AA7-467B-89FE-5359D2E6049C}" uniqueName="10" name="aoa_filt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569464-3775-47BB-8095-E2B98A3C4139}" name="_2026_04_17_16_43_51__14_high" displayName="_2026_04_17_16_43_51__14_high" ref="A1:J502" tableType="queryTable" totalsRowShown="0">
  <autoFilter ref="A1:J502" xr:uid="{D8569464-3775-47BB-8095-E2B98A3C4139}"/>
  <tableColumns count="10">
    <tableColumn id="1" xr3:uid="{272E85D6-3824-4899-AEFC-72A1D78776CF}" uniqueName="1" name="count" queryTableFieldId="1"/>
    <tableColumn id="2" xr3:uid="{55F3FAE5-0F69-4517-8C76-A3CA74E87DCD}" uniqueName="2" name="timestamp_ms" queryTableFieldId="2"/>
    <tableColumn id="3" xr3:uid="{FAB4F428-DD0D-4F8C-AD8D-8DD3E4254676}" uniqueName="3" name="aoa_valid" queryTableFieldId="3"/>
    <tableColumn id="4" xr3:uid="{EE214A52-8593-4884-9ADC-122197DF27E4}" uniqueName="4" name="pfd_raw" queryTableFieldId="4"/>
    <tableColumn id="5" xr3:uid="{1B97D0F1-4963-4A1B-A1D2-567805886F8C}" uniqueName="5" name="p45_raw" queryTableFieldId="5"/>
    <tableColumn id="6" xr3:uid="{348D0C91-2FE5-4C8E-8925-4CF8F2818FF3}" uniqueName="6" name="pfwd_filt" queryTableFieldId="6"/>
    <tableColumn id="7" xr3:uid="{67F45708-9287-45EA-86F7-BB4ACC2BB768}" uniqueName="7" name="p45_filt" queryTableFieldId="7"/>
    <tableColumn id="8" xr3:uid="{0B6807F8-3D22-4601-821E-2260FDC83ED7}" uniqueName="8" name="coeff" queryTableFieldId="8"/>
    <tableColumn id="9" xr3:uid="{FC7232D9-4480-45B5-8F23-34FF2052EC73}" uniqueName="9" name="aoa_raw" queryTableFieldId="9"/>
    <tableColumn id="10" xr3:uid="{FC6ABAA1-E065-4C22-85EA-8135B773029E}" uniqueName="10" name="aoa_filt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2075E0-3E89-41E1-9937-502B9F971F5B}" name="_2026_04_17_16_40_13__12_high" displayName="_2026_04_17_16_40_13__12_high" ref="A1:J502" tableType="queryTable" totalsRowShown="0">
  <autoFilter ref="A1:J502" xr:uid="{2D2075E0-3E89-41E1-9937-502B9F971F5B}"/>
  <tableColumns count="10">
    <tableColumn id="1" xr3:uid="{F7D133AF-BA89-401B-9BD0-D23DE236A0C4}" uniqueName="1" name="count" queryTableFieldId="1"/>
    <tableColumn id="2" xr3:uid="{D6937718-D5E0-47F9-A67D-7E3B1E410716}" uniqueName="2" name="timestamp_ms" queryTableFieldId="2"/>
    <tableColumn id="3" xr3:uid="{7DE13CBC-8A31-456D-94F3-901A8B4E4760}" uniqueName="3" name="aoa_valid" queryTableFieldId="3"/>
    <tableColumn id="4" xr3:uid="{92B03A8C-7AB1-4E35-96FB-713F6200F7F9}" uniqueName="4" name="pfd_raw" queryTableFieldId="4"/>
    <tableColumn id="5" xr3:uid="{E96FF091-67E8-4860-BD49-47F214B1B084}" uniqueName="5" name="p45_raw" queryTableFieldId="5"/>
    <tableColumn id="6" xr3:uid="{A3CB76D6-FB7E-4BC2-99C0-54D2C56C470F}" uniqueName="6" name="pfwd_filt" queryTableFieldId="6"/>
    <tableColumn id="7" xr3:uid="{0809A39C-7296-4028-89B4-7DF513C64E02}" uniqueName="7" name="p45_filt" queryTableFieldId="7"/>
    <tableColumn id="8" xr3:uid="{EE210835-7DED-4B1C-91E1-F6FFC744DB2F}" uniqueName="8" name="coeff" queryTableFieldId="8"/>
    <tableColumn id="9" xr3:uid="{D765C272-160E-49C9-858E-EEE47B978275}" uniqueName="9" name="aoa_raw" queryTableFieldId="9"/>
    <tableColumn id="10" xr3:uid="{9747BBE0-F8B7-455B-93BD-F9DCF8C5EFF4}" uniqueName="10" name="aoa_filt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A948E0-B7EF-4654-9251-5A1D3ADE1240}" name="_2026_04_17_16_38_14__7_high" displayName="_2026_04_17_16_38_14__7_high" ref="A1:J502" tableType="queryTable" totalsRowShown="0">
  <autoFilter ref="A1:J502" xr:uid="{A7A948E0-B7EF-4654-9251-5A1D3ADE1240}"/>
  <tableColumns count="10">
    <tableColumn id="1" xr3:uid="{CAAFF6A0-8E87-4A49-9CC6-665ADB1A1FD8}" uniqueName="1" name="count" queryTableFieldId="1"/>
    <tableColumn id="2" xr3:uid="{CCF9162A-7496-4C4D-A5E8-BF00243C3FED}" uniqueName="2" name="timestamp_ms" queryTableFieldId="2"/>
    <tableColumn id="3" xr3:uid="{7B07B8E5-8675-4CF7-9506-2C8D6364C6B7}" uniqueName="3" name="aoa_valid" queryTableFieldId="3"/>
    <tableColumn id="4" xr3:uid="{F54F7922-2DDA-451E-B01C-26C8B95CF980}" uniqueName="4" name="pfd_raw" queryTableFieldId="4"/>
    <tableColumn id="5" xr3:uid="{8D7808F8-821E-45FA-A8D9-7A68EB632665}" uniqueName="5" name="p45_raw" queryTableFieldId="5"/>
    <tableColumn id="6" xr3:uid="{4AFDC496-9DCE-493F-8C8C-664D877BFB79}" uniqueName="6" name="pfwd_filt" queryTableFieldId="6"/>
    <tableColumn id="7" xr3:uid="{EC84C978-D8D2-4B26-8FDF-5EA7CE97254D}" uniqueName="7" name="p45_filt" queryTableFieldId="7"/>
    <tableColumn id="8" xr3:uid="{554A3B08-6C6C-48C0-8C16-746CA0B1A6F3}" uniqueName="8" name="coeff" queryTableFieldId="8"/>
    <tableColumn id="9" xr3:uid="{5117A7B3-7739-4488-9C7A-78833F1CE52F}" uniqueName="9" name="aoa_raw" queryTableFieldId="9"/>
    <tableColumn id="10" xr3:uid="{9B92D2F5-6ADE-40DC-A000-1037749EA175}" uniqueName="10" name="aoa_filt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0C15AF-CC39-44A9-B9F2-019B967BEFB9}" name="_2026_04_17_16_36_46__5_high" displayName="_2026_04_17_16_36_46__5_high" ref="A1:J502" tableType="queryTable" totalsRowShown="0">
  <autoFilter ref="A1:J502" xr:uid="{4B0C15AF-CC39-44A9-B9F2-019B967BEFB9}"/>
  <tableColumns count="10">
    <tableColumn id="1" xr3:uid="{DA06A7F8-2F18-4908-9398-7EE5BE86312C}" uniqueName="1" name="count" queryTableFieldId="1"/>
    <tableColumn id="2" xr3:uid="{81F85893-CDB1-4904-9EB4-1067C55BA689}" uniqueName="2" name="timestamp_ms" queryTableFieldId="2"/>
    <tableColumn id="3" xr3:uid="{2A89F1FD-80FB-4238-BD1F-AFDEDC1E0408}" uniqueName="3" name="aoa_valid" queryTableFieldId="3"/>
    <tableColumn id="4" xr3:uid="{C5824D40-DCF4-4E31-8C68-79F156B90A2C}" uniqueName="4" name="pfd_raw" queryTableFieldId="4"/>
    <tableColumn id="5" xr3:uid="{30DB8DA2-A08C-4F1E-A064-21CCA7EAABFB}" uniqueName="5" name="p45_raw" queryTableFieldId="5"/>
    <tableColumn id="6" xr3:uid="{630B356D-2136-44EA-AB29-BE10A20EBBED}" uniqueName="6" name="pfwd_filt" queryTableFieldId="6"/>
    <tableColumn id="7" xr3:uid="{5FA033DE-FDDF-4E37-87FA-8ADC6BA2C0C3}" uniqueName="7" name="p45_filt" queryTableFieldId="7"/>
    <tableColumn id="8" xr3:uid="{96B2CC2C-7203-43BE-BF60-1EB799CA5DDE}" uniqueName="8" name="coeff" queryTableFieldId="8"/>
    <tableColumn id="9" xr3:uid="{8F863E5C-7375-43DB-A5BD-1BC49A9F98FD}" uniqueName="9" name="aoa_raw" queryTableFieldId="9"/>
    <tableColumn id="10" xr3:uid="{8223606E-2D43-4B14-B6DB-D613D6E7D69E}" uniqueName="10" name="aoa_filt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AB920C-6F52-4B61-A862-CDA78BE16D1D}" name="_2026_04_17_16_35_28__2_high" displayName="_2026_04_17_16_35_28__2_high" ref="A1:J502" tableType="queryTable" totalsRowShown="0">
  <autoFilter ref="A1:J502" xr:uid="{76AB920C-6F52-4B61-A862-CDA78BE16D1D}"/>
  <tableColumns count="10">
    <tableColumn id="1" xr3:uid="{0883F901-A063-412E-A7BB-9D30BE8BC2F5}" uniqueName="1" name="count" queryTableFieldId="1"/>
    <tableColumn id="2" xr3:uid="{C094537F-9175-45A9-B0B2-DBEF150C25E1}" uniqueName="2" name="timestamp_ms" queryTableFieldId="2"/>
    <tableColumn id="3" xr3:uid="{4723767A-5A01-4593-8F11-2426780CEBA2}" uniqueName="3" name="aoa_valid" queryTableFieldId="3"/>
    <tableColumn id="4" xr3:uid="{D64D5756-AC4C-4875-84E7-A01495242C1D}" uniqueName="4" name="pfd_raw" queryTableFieldId="4"/>
    <tableColumn id="5" xr3:uid="{E2A8026D-4699-44D0-88E6-4E6FC873D41C}" uniqueName="5" name="p45_raw" queryTableFieldId="5"/>
    <tableColumn id="6" xr3:uid="{FF08E420-425C-4A3D-BE5F-0867E45C054D}" uniqueName="6" name="pfwd_filt" queryTableFieldId="6"/>
    <tableColumn id="7" xr3:uid="{6ADAA385-22AF-46C8-8B68-590569F53FC8}" uniqueName="7" name="p45_filt" queryTableFieldId="7"/>
    <tableColumn id="8" xr3:uid="{68704E6E-BEF0-4A23-9B81-13A217B630AD}" uniqueName="8" name="coeff" queryTableFieldId="8"/>
    <tableColumn id="9" xr3:uid="{D213F861-196C-4381-85C9-8442EDCC4879}" uniqueName="9" name="aoa_raw" queryTableFieldId="9"/>
    <tableColumn id="10" xr3:uid="{DAACA2C9-DD96-48FB-96E6-6CE664A77AC0}" uniqueName="10" name="aoa_filt" queryTableField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68E6AC-36F7-4A0E-B995-EE2B2AE4B43A}" name="_2026_04_17_16_32_27_0_high" displayName="_2026_04_17_16_32_27_0_high" ref="A1:J502" tableType="queryTable" totalsRowShown="0">
  <autoFilter ref="A1:J502" xr:uid="{6168E6AC-36F7-4A0E-B995-EE2B2AE4B43A}"/>
  <tableColumns count="10">
    <tableColumn id="1" xr3:uid="{9BDA639D-4F87-4E77-A700-4D6D49A50640}" uniqueName="1" name="count" queryTableFieldId="1"/>
    <tableColumn id="2" xr3:uid="{7B0A8DC4-0335-4AC4-93FF-AD98838C8C1A}" uniqueName="2" name="timestamp_ms" queryTableFieldId="2"/>
    <tableColumn id="3" xr3:uid="{18507CFB-E9C9-4F86-AB9D-8C153C76FD64}" uniqueName="3" name="aoa_valid" queryTableFieldId="3"/>
    <tableColumn id="4" xr3:uid="{C334BEA1-E9EA-4B18-8933-A8C01A6720F4}" uniqueName="4" name="pfd_raw" queryTableFieldId="4"/>
    <tableColumn id="5" xr3:uid="{9E1AED6A-92FD-4340-819B-AAF83E5F4E8A}" uniqueName="5" name="p45_raw" queryTableFieldId="5"/>
    <tableColumn id="6" xr3:uid="{014D4330-036D-421E-9628-CD26D8D0153A}" uniqueName="6" name="pfwd_filt" queryTableFieldId="6"/>
    <tableColumn id="7" xr3:uid="{0794F741-7C24-4975-A21A-1AF8FB8685E4}" uniqueName="7" name="p45_filt" queryTableFieldId="7"/>
    <tableColumn id="8" xr3:uid="{60BE1DCA-0190-45AF-B6B1-86DDD79022EA}" uniqueName="8" name="coeff" queryTableFieldId="8"/>
    <tableColumn id="9" xr3:uid="{78E77989-0380-43F9-9BE4-DC3BA42F1246}" uniqueName="9" name="aoa_raw" queryTableFieldId="9"/>
    <tableColumn id="10" xr3:uid="{30EF1DA7-5D5A-4319-AE42-26680A7F6E8F}" uniqueName="10" name="aoa_filt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F11FFE-AE1B-495F-A81E-AC474F7490A4}" name="_2026_04_17_16_31_51_5_high" displayName="_2026_04_17_16_31_51_5_high" ref="A1:J502" tableType="queryTable" totalsRowShown="0">
  <autoFilter ref="A1:J502" xr:uid="{15F11FFE-AE1B-495F-A81E-AC474F7490A4}"/>
  <tableColumns count="10">
    <tableColumn id="1" xr3:uid="{2AE26EE6-D88D-45B6-AC35-F47B3458088F}" uniqueName="1" name="count" queryTableFieldId="1"/>
    <tableColumn id="2" xr3:uid="{ED2F4F4B-32C7-4D52-B814-F918EC2FF611}" uniqueName="2" name="timestamp_ms" queryTableFieldId="2"/>
    <tableColumn id="3" xr3:uid="{CD91BF31-795C-4A49-A64C-D5F7B2E0B9B7}" uniqueName="3" name="aoa_valid" queryTableFieldId="3"/>
    <tableColumn id="4" xr3:uid="{BE201EBD-043C-4A70-9741-3F34EBCC125F}" uniqueName="4" name="pfd_raw" queryTableFieldId="4"/>
    <tableColumn id="5" xr3:uid="{3393B7D5-E0D6-4F9C-A661-797F8FDDBD92}" uniqueName="5" name="p45_raw" queryTableFieldId="5"/>
    <tableColumn id="6" xr3:uid="{D56CE0D0-4EAB-4F8B-9F68-5568EAAC5871}" uniqueName="6" name="pfwd_filt" queryTableFieldId="6"/>
    <tableColumn id="7" xr3:uid="{E8E99302-0A9E-4650-8658-E8539741029E}" uniqueName="7" name="p45_filt" queryTableFieldId="7"/>
    <tableColumn id="8" xr3:uid="{F61FB454-0F4C-4FA2-AF3E-E8317B110A3A}" uniqueName="8" name="coeff" queryTableFieldId="8"/>
    <tableColumn id="9" xr3:uid="{20543BF7-C06A-405A-AA93-9D80DC26FA55}" uniqueName="9" name="aoa_raw" queryTableFieldId="9"/>
    <tableColumn id="10" xr3:uid="{71276CE0-7851-4560-8E28-DED769D8F579}" uniqueName="10" name="aoa_filt" queryTableField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635EC5-E8D1-46C7-A942-31908DCE6C9D}" name="_2026_04_17_16_31_16_7_high" displayName="_2026_04_17_16_31_16_7_high" ref="A1:J502" tableType="queryTable" totalsRowShown="0">
  <autoFilter ref="A1:J502" xr:uid="{B6635EC5-E8D1-46C7-A942-31908DCE6C9D}"/>
  <tableColumns count="10">
    <tableColumn id="1" xr3:uid="{06BE4A96-7172-460C-97EC-DF6634C48F8E}" uniqueName="1" name="count" queryTableFieldId="1"/>
    <tableColumn id="2" xr3:uid="{E4A01DF7-E010-4A04-B158-4D530CA31033}" uniqueName="2" name="timestamp_ms" queryTableFieldId="2"/>
    <tableColumn id="3" xr3:uid="{8B900823-C275-49BF-965D-3053453777F9}" uniqueName="3" name="aoa_valid" queryTableFieldId="3"/>
    <tableColumn id="4" xr3:uid="{537A3D84-C637-43A8-9923-401291D96274}" uniqueName="4" name="pfd_raw" queryTableFieldId="4"/>
    <tableColumn id="5" xr3:uid="{53AF5F8C-B9AC-497E-AAC7-8418552CCCE8}" uniqueName="5" name="p45_raw" queryTableFieldId="5"/>
    <tableColumn id="6" xr3:uid="{4EB2642E-772D-4F70-AAFC-F80E6CE56C0B}" uniqueName="6" name="pfwd_filt" queryTableFieldId="6"/>
    <tableColumn id="7" xr3:uid="{069069F3-D226-418A-8EF1-4ACE757C226A}" uniqueName="7" name="p45_filt" queryTableFieldId="7"/>
    <tableColumn id="8" xr3:uid="{FC858ACE-A2B0-48CA-964A-5DA6B9467A73}" uniqueName="8" name="coeff" queryTableFieldId="8"/>
    <tableColumn id="9" xr3:uid="{2B9C1E75-CE18-4F68-A866-037FDE7E123E}" uniqueName="9" name="aoa_raw" queryTableFieldId="9"/>
    <tableColumn id="10" xr3:uid="{9367F971-55D9-44EA-B775-428601C2A463}" uniqueName="10" name="aoa_filt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B3BCF0-7278-4B13-A71B-E868BB4215F1}" name="_2026_04_17_16_30_28_9_high" displayName="_2026_04_17_16_30_28_9_high" ref="A1:J502" tableType="queryTable" totalsRowShown="0">
  <autoFilter ref="A1:J502" xr:uid="{83B3BCF0-7278-4B13-A71B-E868BB4215F1}"/>
  <tableColumns count="10">
    <tableColumn id="1" xr3:uid="{C1D699BF-2FA7-48A6-96D9-8A6016EEFD16}" uniqueName="1" name="count" queryTableFieldId="1"/>
    <tableColumn id="2" xr3:uid="{35C909C0-0C5D-4BCD-B9D8-BEA426EACBDE}" uniqueName="2" name="timestamp_ms" queryTableFieldId="2"/>
    <tableColumn id="3" xr3:uid="{E20C0DA6-B135-4E25-BA1A-2CD53D31890F}" uniqueName="3" name="aoa_valid" queryTableFieldId="3"/>
    <tableColumn id="4" xr3:uid="{F090165F-74E4-48A0-BFC7-1FA811F3A370}" uniqueName="4" name="pfd_raw" queryTableFieldId="4"/>
    <tableColumn id="5" xr3:uid="{8F44EFB9-91DF-4CDD-B15E-06C79DB17F25}" uniqueName="5" name="p45_raw" queryTableFieldId="5"/>
    <tableColumn id="6" xr3:uid="{3D25B5F6-50C0-406B-A28C-1BC93CA18655}" uniqueName="6" name="pfwd_filt" queryTableFieldId="6"/>
    <tableColumn id="7" xr3:uid="{3289D4FE-795C-4994-9EDE-465B06D5BED4}" uniqueName="7" name="p45_filt" queryTableFieldId="7"/>
    <tableColumn id="8" xr3:uid="{A86A3C61-D2A1-4982-8D61-1DC2E7347BD2}" uniqueName="8" name="coeff" queryTableFieldId="8"/>
    <tableColumn id="9" xr3:uid="{4CAE4E31-79B6-43CB-BCDD-14E5381F20C3}" uniqueName="9" name="aoa_raw" queryTableFieldId="9"/>
    <tableColumn id="10" xr3:uid="{6F06DDC6-0CBB-4C31-BB03-EACEF2F5DB5B}" uniqueName="10" name="aoa_filt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7F7E6E-ECCA-4886-9AAA-02D6ADF2D9E4}" name="_2026_04_17_16_29_45_13_high" displayName="_2026_04_17_16_29_45_13_high" ref="A1:J502" tableType="queryTable" totalsRowShown="0">
  <autoFilter ref="A1:J502" xr:uid="{277F7E6E-ECCA-4886-9AAA-02D6ADF2D9E4}"/>
  <tableColumns count="10">
    <tableColumn id="1" xr3:uid="{2CCD9F2B-1004-4BFE-BA39-AE3E6E383412}" uniqueName="1" name="count" queryTableFieldId="1"/>
    <tableColumn id="2" xr3:uid="{9DCA7DB6-B03F-4354-9C48-3790B455855B}" uniqueName="2" name="timestamp_ms" queryTableFieldId="2"/>
    <tableColumn id="3" xr3:uid="{4962F62C-0617-4053-B5C3-F1A2EA8A6090}" uniqueName="3" name="aoa_valid" queryTableFieldId="3"/>
    <tableColumn id="4" xr3:uid="{FC57C9E7-58CB-418E-905E-066AD70A7FF1}" uniqueName="4" name="pfd_raw" queryTableFieldId="4"/>
    <tableColumn id="5" xr3:uid="{EF9DD1ED-05E3-47CD-A1A7-FA27E74AE744}" uniqueName="5" name="p45_raw" queryTableFieldId="5"/>
    <tableColumn id="6" xr3:uid="{B4435608-331B-42BD-A1A5-2AC5A6CEC455}" uniqueName="6" name="pfwd_filt" queryTableFieldId="6"/>
    <tableColumn id="7" xr3:uid="{B1687BA4-7AC4-4120-8E8D-AD2FCD7259C4}" uniqueName="7" name="p45_filt" queryTableFieldId="7"/>
    <tableColumn id="8" xr3:uid="{3D056CB4-490C-4052-B8B2-7225FDDC6575}" uniqueName="8" name="coeff" queryTableFieldId="8"/>
    <tableColumn id="9" xr3:uid="{B3F81F29-C0B5-4840-B436-D377783A719A}" uniqueName="9" name="aoa_raw" queryTableFieldId="9"/>
    <tableColumn id="10" xr3:uid="{83D2E904-9D8C-4CAE-A7AF-DBF97F2A5C69}" uniqueName="10" name="aoa_filt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1A31F-3245-4E0F-A863-9B91B3D78515}" name="_2026_04_17_16_29_05_14_high" displayName="_2026_04_17_16_29_05_14_high" ref="A1:J502" tableType="queryTable" totalsRowShown="0">
  <autoFilter ref="A1:J502" xr:uid="{7751A31F-3245-4E0F-A863-9B91B3D78515}"/>
  <tableColumns count="10">
    <tableColumn id="1" xr3:uid="{3CE4E3E6-A562-4A49-AEF8-62EF5CAC984B}" uniqueName="1" name="count" queryTableFieldId="1"/>
    <tableColumn id="2" xr3:uid="{C2694783-DC44-4B86-A7F3-FE1EBF93B3EC}" uniqueName="2" name="timestamp_ms" queryTableFieldId="2"/>
    <tableColumn id="3" xr3:uid="{925ABC44-95C9-4675-B71F-345445C9DEE4}" uniqueName="3" name="aoa_valid" queryTableFieldId="3"/>
    <tableColumn id="4" xr3:uid="{DD33D92A-4862-4D99-B292-86344C03305D}" uniqueName="4" name="pfd_raw" queryTableFieldId="4"/>
    <tableColumn id="5" xr3:uid="{2BA71A54-C2E2-4A47-A5A9-F5CE2EBF08EB}" uniqueName="5" name="p45_raw" queryTableFieldId="5"/>
    <tableColumn id="6" xr3:uid="{287111F2-A765-4ECC-8E4F-CADE61C5A5BB}" uniqueName="6" name="pfwd_filt" queryTableFieldId="6"/>
    <tableColumn id="7" xr3:uid="{C3116210-E41F-46BA-BF11-EC363EB90C96}" uniqueName="7" name="p45_filt" queryTableFieldId="7"/>
    <tableColumn id="8" xr3:uid="{78ECECF0-AC49-486B-98F5-3F9248AAF74D}" uniqueName="8" name="coeff" queryTableFieldId="8"/>
    <tableColumn id="9" xr3:uid="{6563478E-588B-46DC-A3F2-778FCC2FA0E8}" uniqueName="9" name="aoa_raw" queryTableFieldId="9"/>
    <tableColumn id="10" xr3:uid="{44061CE1-9879-439E-938D-C4FDB221669A}" uniqueName="10" name="aoa_filt" queryTableField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C16C3A-613B-45A3-9208-81A16D5C5E36}" name="_2026_04_17_16_28_20_16_high" displayName="_2026_04_17_16_28_20_16_high" ref="A1:J502" tableType="queryTable" totalsRowShown="0">
  <autoFilter ref="A1:J502" xr:uid="{15C16C3A-613B-45A3-9208-81A16D5C5E36}"/>
  <tableColumns count="10">
    <tableColumn id="1" xr3:uid="{AAEFF784-A65D-4495-9EEB-F8E790A947E7}" uniqueName="1" name="count" queryTableFieldId="1"/>
    <tableColumn id="2" xr3:uid="{EB9CD30B-8809-4171-ADA8-1958FFA335C2}" uniqueName="2" name="timestamp_ms" queryTableFieldId="2"/>
    <tableColumn id="3" xr3:uid="{C1804B77-69E2-44A4-A671-5C183989F7B4}" uniqueName="3" name="aoa_valid" queryTableFieldId="3"/>
    <tableColumn id="4" xr3:uid="{27E986EB-9AEC-45E6-B69A-2416F0938399}" uniqueName="4" name="pfd_raw" queryTableFieldId="4"/>
    <tableColumn id="5" xr3:uid="{67356BF1-1C38-4065-8BB6-82B28EE9BA99}" uniqueName="5" name="p45_raw" queryTableFieldId="5"/>
    <tableColumn id="6" xr3:uid="{F16A60C7-0A7A-434D-9002-E0FED89EE4A7}" uniqueName="6" name="pfwd_filt" queryTableFieldId="6"/>
    <tableColumn id="7" xr3:uid="{145C614E-24E8-4445-A63B-0B147147BE90}" uniqueName="7" name="p45_filt" queryTableFieldId="7"/>
    <tableColumn id="8" xr3:uid="{204C2A2E-C580-425D-8640-98B85B06F909}" uniqueName="8" name="coeff" queryTableFieldId="8"/>
    <tableColumn id="9" xr3:uid="{EF130E7F-D977-43E9-B330-970B0C886990}" uniqueName="9" name="aoa_raw" queryTableFieldId="9"/>
    <tableColumn id="10" xr3:uid="{3EE22329-BA64-4D6F-8565-DA845D20C45A}" uniqueName="10" name="aoa_filt" queryTableField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24220-46E3-4D60-ACA8-A2AF3793B546}" name="_2026_04_17_16_26_30_19_high" displayName="_2026_04_17_16_26_30_19_high" ref="A1:J502" tableType="queryTable" totalsRowShown="0">
  <autoFilter ref="A1:J502" xr:uid="{A8224220-46E3-4D60-ACA8-A2AF3793B546}"/>
  <tableColumns count="10">
    <tableColumn id="1" xr3:uid="{FEC04CDA-2BF1-44EF-90A6-20D5C0BEF4F3}" uniqueName="1" name="count" queryTableFieldId="1"/>
    <tableColumn id="2" xr3:uid="{56D9EB01-57F1-418B-B4D6-0251640F95B1}" uniqueName="2" name="timestamp_ms" queryTableFieldId="2"/>
    <tableColumn id="3" xr3:uid="{4210359D-395D-4EF7-A567-FAAD088BA9F3}" uniqueName="3" name="aoa_valid" queryTableFieldId="3"/>
    <tableColumn id="4" xr3:uid="{25B0DCB2-DBD0-486A-B935-A83EE3648A42}" uniqueName="4" name="pfd_raw" queryTableFieldId="4"/>
    <tableColumn id="5" xr3:uid="{4E0678C1-8DAD-4A4F-A5FB-5F0E76A72F73}" uniqueName="5" name="p45_raw" queryTableFieldId="5"/>
    <tableColumn id="6" xr3:uid="{2DBEFF86-6B18-4354-9601-1D297FF587C8}" uniqueName="6" name="pfwd_filt" queryTableFieldId="6"/>
    <tableColumn id="7" xr3:uid="{7EE3ADC3-3B00-4BED-B923-E008D28552D4}" uniqueName="7" name="p45_filt" queryTableFieldId="7"/>
    <tableColumn id="8" xr3:uid="{D4BD5447-C987-4D2A-B5DC-DC3AC23605B9}" uniqueName="8" name="coeff" queryTableFieldId="8"/>
    <tableColumn id="9" xr3:uid="{D433DE34-2794-440D-94E9-44E8A7BF5E4A}" uniqueName="9" name="aoa_raw" queryTableFieldId="9"/>
    <tableColumn id="10" xr3:uid="{E6717426-0ADB-400B-A9D0-414477904B22}" uniqueName="10" name="aoa_filt" queryTableFieldId="1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264C8-DFC3-44C2-A71A-645EA66D71F0}" name="_2026_04_17_16_25_21_23_high" displayName="_2026_04_17_16_25_21_23_high" ref="A1:L502" tableType="queryTable" totalsRowShown="0">
  <autoFilter ref="A1:L502" xr:uid="{642264C8-DFC3-44C2-A71A-645EA66D71F0}"/>
  <tableColumns count="12">
    <tableColumn id="1" xr3:uid="{947EBD83-2758-4273-BF58-B4C89F3E0AE5}" uniqueName="1" name="count" queryTableFieldId="1"/>
    <tableColumn id="2" xr3:uid="{78D1E392-9CB5-4D89-B93F-9C5EEC969866}" uniqueName="2" name="timestamp_ms" queryTableFieldId="2"/>
    <tableColumn id="3" xr3:uid="{94CE3766-27F1-4B03-92B1-14990CDA31B7}" uniqueName="3" name="aoa_valid" queryTableFieldId="3"/>
    <tableColumn id="4" xr3:uid="{FF5BDCAF-A3C2-4D7F-BB6C-D0916A1D5247}" uniqueName="4" name="pfd_raw" queryTableFieldId="4"/>
    <tableColumn id="5" xr3:uid="{B495A30F-1357-45F1-87EE-8C4D8DC92C5A}" uniqueName="5" name="p45_raw" queryTableFieldId="5"/>
    <tableColumn id="6" xr3:uid="{46DD8505-5080-49E4-AE92-C464114EE276}" uniqueName="6" name="pfwd_filt" queryTableFieldId="6"/>
    <tableColumn id="7" xr3:uid="{353D2286-2968-40DA-A487-FCCF2C5A1C5B}" uniqueName="7" name="p45_filt" queryTableFieldId="7"/>
    <tableColumn id="8" xr3:uid="{0D42DDF1-4FA5-464B-9686-DB404DAC948B}" uniqueName="8" name="coeff" queryTableFieldId="8"/>
    <tableColumn id="9" xr3:uid="{98C02632-B2CD-4A0A-A713-CECC81CC0B79}" uniqueName="9" name="aoa_raw" queryTableFieldId="9"/>
    <tableColumn id="10" xr3:uid="{CD02D085-2125-4885-A05C-AE1C85F06AFC}" uniqueName="10" name="aoa_filt" queryTableFieldId="10"/>
    <tableColumn id="11" xr3:uid="{8CB55200-280A-49FA-B484-8B44702B1BE3}" uniqueName="11" name="new_aoa" queryTableFieldId="11" dataDxfId="1">
      <calculatedColumnFormula xml:space="preserve"> -55.696 * _2026_04_17_16_25_21_23_high[[#This Row],[coeff]] + 79.57</calculatedColumnFormula>
    </tableColumn>
    <tableColumn id="12" xr3:uid="{6D9434DF-0B32-4646-A381-8B9BEBEA427B}" uniqueName="12" name="moving_aoa" queryTableFieldId="12" dataDxfId="0">
      <calculatedColumnFormula xml:space="preserve"> -55.696 * _2026_04_17_16_25_21_23_high[[#This Row],[coeff]] + 79.57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F91D-291F-4F64-9DC1-297448E85CBA}">
  <dimension ref="A1:R11"/>
  <sheetViews>
    <sheetView workbookViewId="0">
      <selection activeCell="H6" sqref="H6"/>
    </sheetView>
  </sheetViews>
  <sheetFormatPr defaultRowHeight="14.4" x14ac:dyDescent="0.3"/>
  <cols>
    <col min="2" max="2" width="15.5546875" customWidth="1"/>
    <col min="3" max="3" width="14.5546875" bestFit="1" customWidth="1"/>
    <col min="4" max="4" width="17.21875" customWidth="1"/>
    <col min="5" max="5" width="16.21875" customWidth="1"/>
    <col min="6" max="6" width="12.44140625" customWidth="1"/>
    <col min="7" max="7" width="14.109375" customWidth="1"/>
    <col min="8" max="8" width="22.44140625" customWidth="1"/>
  </cols>
  <sheetData>
    <row r="1" spans="1:18" x14ac:dyDescent="0.3">
      <c r="A1" t="s">
        <v>10</v>
      </c>
      <c r="B1" t="s">
        <v>11</v>
      </c>
      <c r="C1" t="s">
        <v>15</v>
      </c>
      <c r="D1" t="s">
        <v>12</v>
      </c>
      <c r="E1" t="s">
        <v>13</v>
      </c>
      <c r="F1" t="s">
        <v>16</v>
      </c>
      <c r="G1" t="s">
        <v>14</v>
      </c>
      <c r="H1" t="s">
        <v>17</v>
      </c>
    </row>
    <row r="2" spans="1:18" x14ac:dyDescent="0.3">
      <c r="H2">
        <f xml:space="preserve"> -55.696 * Table18[[#This Row],[coeff_mean]] + 79.57</f>
        <v>79.569999999999993</v>
      </c>
      <c r="J2" s="1">
        <v>-21</v>
      </c>
      <c r="K2" s="2">
        <f>AVERAGE(_2026_04_17_16_42_00__22_high[pfwd_filt])</f>
        <v>299.01166880239538</v>
      </c>
      <c r="L2" s="2">
        <f>AVERAGE(_2026_04_17_16_42_00__22_high[p45_filt])</f>
        <v>221.43194784431159</v>
      </c>
      <c r="M2" s="2">
        <f>MEDIAN(_2026_04_17_16_42_00__22_high[pfwd_filt])</f>
        <v>298.93331999999998</v>
      </c>
      <c r="N2" s="2">
        <f>MEDIAN(_2026_04_17_16_42_00__22_high[p45_filt])</f>
        <v>221.13333</v>
      </c>
      <c r="O2" s="2">
        <f>AVERAGE(_2026_04_17_16_42_00__22_high[coeff])</f>
        <v>1.3507106273453102</v>
      </c>
      <c r="P2" s="2">
        <f>MEDIAN(_2026_04_17_16_42_00__22_high[coeff])</f>
        <v>1.3516847000000001</v>
      </c>
      <c r="Q2" s="2">
        <f xml:space="preserve"> -84.534 *Table18[[#This Row],[coeff_median]] + 87.249</f>
        <v>87.248999999999995</v>
      </c>
      <c r="R2" s="3">
        <f xml:space="preserve"> -66.186 *Table18[[#This Row],[coeff_mean]] + 72.445</f>
        <v>72.444999999999993</v>
      </c>
    </row>
    <row r="3" spans="1:18" x14ac:dyDescent="0.3">
      <c r="H3">
        <f xml:space="preserve"> -55.696 * Table18[[#This Row],[coeff_mean]] + 79.57</f>
        <v>79.569999999999993</v>
      </c>
      <c r="J3" s="4">
        <v>-16</v>
      </c>
      <c r="K3" s="5">
        <f>AVERAGE(_2026_04_17_16_43_51__14_high[pfwd_filt])</f>
        <v>283.2049297804395</v>
      </c>
      <c r="L3" s="5">
        <f>AVERAGE(_2026_04_17_16_43_51__14_high[p45_filt])</f>
        <v>217.42684604790409</v>
      </c>
      <c r="M3" s="5">
        <f>MEDIAN(_2026_04_17_16_43_51__14_high[pfwd_filt])</f>
        <v>282.26666</v>
      </c>
      <c r="N3" s="5">
        <f>MEDIAN(_2026_04_17_16_43_51__14_high[p45_filt])</f>
        <v>217.33332999999999</v>
      </c>
      <c r="O3" s="5">
        <f>AVERAGE(_2026_04_17_16_43_51__14_high[coeff])</f>
        <v>1.3027647528942103</v>
      </c>
      <c r="P3" s="5">
        <f>MEDIAN(_2026_04_17_16_43_51__14_high[coeff])</f>
        <v>1.3033878000000001</v>
      </c>
      <c r="Q3" s="5">
        <f xml:space="preserve"> -84.534 *Table18[[#This Row],[coeff_median]] + 87.249</f>
        <v>87.248999999999995</v>
      </c>
      <c r="R3" s="6">
        <f xml:space="preserve"> -66.186 *Table18[[#This Row],[coeff_mean]] + 72.445</f>
        <v>72.444999999999993</v>
      </c>
    </row>
    <row r="4" spans="1:18" x14ac:dyDescent="0.3">
      <c r="H4">
        <f xml:space="preserve"> -55.696 * Table18[[#This Row],[coeff_mean]] + 79.57</f>
        <v>79.569999999999993</v>
      </c>
      <c r="J4" s="1">
        <v>-10</v>
      </c>
      <c r="K4" s="2">
        <f>AVERAGE(_2026_04_17_16_40_13__12_high[pfwd_filt])</f>
        <v>227.08862145708571</v>
      </c>
      <c r="L4" s="2">
        <f>AVERAGE(_2026_04_17_16_40_13__12_high[p45_filt])</f>
        <v>211.46880752495011</v>
      </c>
      <c r="M4" s="2">
        <f>MEDIAN(_2026_04_17_16_40_13__12_high[pfwd_filt])</f>
        <v>227.46665999999999</v>
      </c>
      <c r="N4" s="2">
        <f>MEDIAN(_2026_04_17_16_40_13__12_high[p45_filt])</f>
        <v>212.13333</v>
      </c>
      <c r="O4" s="2">
        <f>AVERAGE(_2026_04_17_16_40_13__12_high[coeff])</f>
        <v>1.0745197871457095</v>
      </c>
      <c r="P4" s="2">
        <f>MEDIAN(_2026_04_17_16_40_13__12_high[coeff])</f>
        <v>1.0753512000000001</v>
      </c>
      <c r="Q4" s="2">
        <f xml:space="preserve"> -84.534 *Table18[[#This Row],[coeff_median]] + 87.249</f>
        <v>87.248999999999995</v>
      </c>
      <c r="R4" s="3">
        <f xml:space="preserve"> -66.186 *Table18[[#This Row],[coeff_mean]] + 72.445</f>
        <v>72.444999999999993</v>
      </c>
    </row>
    <row r="5" spans="1:18" x14ac:dyDescent="0.3">
      <c r="H5">
        <f xml:space="preserve"> -55.696 * Table18[[#This Row],[coeff_mean]] + 79.57</f>
        <v>79.569999999999993</v>
      </c>
      <c r="J5" s="4">
        <v>-5</v>
      </c>
      <c r="K5" s="5">
        <f>AVERAGE(_2026_04_17_16_36_46__5_high[pfwd_filt])</f>
        <v>231.8616300598803</v>
      </c>
      <c r="L5" s="5">
        <f>AVERAGE(_2026_04_17_16_36_46__5_high[p45_filt])</f>
        <v>221.62458970059885</v>
      </c>
      <c r="M5" s="5">
        <f>MEDIAN(_2026_04_17_16_36_46__5_high[pfwd_filt])</f>
        <v>231.4</v>
      </c>
      <c r="N5" s="5">
        <f>MEDIAN(_2026_04_17_16_36_46__5_high[p45_filt])</f>
        <v>221.93333000000001</v>
      </c>
      <c r="O5" s="5">
        <f>AVERAGE(_2026_04_17_16_36_46__5_high[coeff])</f>
        <v>1.046729068682634</v>
      </c>
      <c r="P5" s="5">
        <f>MEDIAN(_2026_04_17_16_36_46__5_high[coeff])</f>
        <v>1.0452026000000001</v>
      </c>
      <c r="Q5" s="5">
        <f xml:space="preserve"> -84.534 *Table18[[#This Row],[coeff_median]] + 87.249</f>
        <v>87.248999999999995</v>
      </c>
      <c r="R5" s="6">
        <f xml:space="preserve"> -66.186 *Table18[[#This Row],[coeff_mean]] + 72.445</f>
        <v>72.444999999999993</v>
      </c>
    </row>
    <row r="6" spans="1:18" x14ac:dyDescent="0.3">
      <c r="A6">
        <v>-1</v>
      </c>
      <c r="B6">
        <f>AVERAGE(_2026_04_17_16_32_27_0_high[pfwd_filt])</f>
        <v>279.08199640718561</v>
      </c>
      <c r="C6">
        <f>AVERAGE(_2026_04_17_16_32_27_0_high[p45_filt])</f>
        <v>192.95117371257476</v>
      </c>
      <c r="D6">
        <f>MEDIAN(_2026_04_17_16_32_27_0_high[pfwd_filt])</f>
        <v>278.73334</v>
      </c>
      <c r="E6">
        <f>MEDIAN(_2026_04_17_16_32_27_0_high[p45_filt])</f>
        <v>192.8</v>
      </c>
      <c r="F6">
        <f>AVERAGE(_2026_04_17_16_32_27_0_high[coeff])</f>
        <v>1.4468463321357268</v>
      </c>
      <c r="G6">
        <f>MEDIAN(_2026_04_17_16_32_27_0_high[coeff])</f>
        <v>1.4424562000000001</v>
      </c>
      <c r="H6">
        <f xml:space="preserve"> -55.696 * Table18[[#This Row],[coeff_mean]] + 79.57</f>
        <v>-1.0135533146314373</v>
      </c>
    </row>
    <row r="7" spans="1:18" x14ac:dyDescent="0.3">
      <c r="A7">
        <v>5</v>
      </c>
      <c r="B7">
        <f>AVERAGE(_2026_04_17_16_31_51_5_high[pfwd_filt])</f>
        <v>261.08453808383211</v>
      </c>
      <c r="C7">
        <f>AVERAGE(_2026_04_17_16_31_51_5_high[p45_filt])</f>
        <v>193.96578968063881</v>
      </c>
      <c r="D7">
        <f>MEDIAN(_2026_04_17_16_31_51_5_high[pfwd_filt])</f>
        <v>261.60000000000002</v>
      </c>
      <c r="E7">
        <f>MEDIAN(_2026_04_17_16_31_51_5_high[p45_filt])</f>
        <v>193.2</v>
      </c>
      <c r="F7">
        <f>AVERAGE(_2026_04_17_16_31_51_5_high[coeff])</f>
        <v>1.346448580439122</v>
      </c>
      <c r="G7">
        <f>MEDIAN(_2026_04_17_16_31_51_5_high[coeff])</f>
        <v>1.3534303999999999</v>
      </c>
      <c r="H7">
        <f xml:space="preserve"> -55.696 * Table18[[#This Row],[coeff_mean]] + 79.57</f>
        <v>4.5781998638626646</v>
      </c>
    </row>
    <row r="8" spans="1:18" x14ac:dyDescent="0.3">
      <c r="A8">
        <v>10</v>
      </c>
      <c r="B8">
        <f>AVERAGE(_2026_04_17_16_30_28_9_high[pfwd_filt])</f>
        <v>238.04183910179637</v>
      </c>
      <c r="C8">
        <f>AVERAGE(_2026_04_17_16_30_28_9_high[p45_filt])</f>
        <v>193.62204980039928</v>
      </c>
      <c r="D8">
        <f>MEDIAN(_2026_04_17_16_30_28_9_high[pfwd_filt])</f>
        <v>238.6</v>
      </c>
      <c r="E8">
        <f>MEDIAN(_2026_04_17_16_30_28_9_high[p45_filt])</f>
        <v>193.2</v>
      </c>
      <c r="F8">
        <f>AVERAGE(_2026_04_17_16_30_28_9_high[coeff])</f>
        <v>1.2300752548902194</v>
      </c>
      <c r="G8">
        <f>MEDIAN(_2026_04_17_16_30_28_9_high[coeff])</f>
        <v>1.2315004000000001</v>
      </c>
      <c r="H8">
        <f xml:space="preserve"> -55.696 * Table18[[#This Row],[coeff_mean]] + 79.57</f>
        <v>11.059728603634341</v>
      </c>
    </row>
    <row r="9" spans="1:18" x14ac:dyDescent="0.3">
      <c r="A9">
        <v>15</v>
      </c>
      <c r="B9">
        <f>AVERAGE(_2026_04_17_16_29_05_14_high[pfwd_filt])</f>
        <v>220.2970717564867</v>
      </c>
      <c r="C9">
        <f>AVERAGE(_2026_04_17_16_29_05_14_high[p45_filt])</f>
        <v>188.51742632734536</v>
      </c>
      <c r="D9">
        <f>MEDIAN(_2026_04_17_16_29_05_14_high[pfwd_filt])</f>
        <v>220.86667</v>
      </c>
      <c r="E9">
        <f>MEDIAN(_2026_04_17_16_29_05_14_high[p45_filt])</f>
        <v>188.4</v>
      </c>
      <c r="F9">
        <f>AVERAGE(_2026_04_17_16_29_05_14_high[coeff])</f>
        <v>1.1692435730538917</v>
      </c>
      <c r="G9">
        <f>MEDIAN(_2026_04_17_16_29_05_14_high[coeff])</f>
        <v>1.1718534</v>
      </c>
      <c r="H9">
        <f xml:space="preserve"> -55.696 * Table18[[#This Row],[coeff_mean]] + 79.57</f>
        <v>14.447809955190436</v>
      </c>
    </row>
    <row r="10" spans="1:18" x14ac:dyDescent="0.3">
      <c r="A10">
        <v>20</v>
      </c>
      <c r="B10">
        <f>AVERAGE(_2026_04_17_16_26_30_19_high[pfwd_filt])</f>
        <v>204.71259225548931</v>
      </c>
      <c r="C10">
        <f>AVERAGE(_2026_04_17_16_26_30_19_high[p45_filt])</f>
        <v>191.95005972055901</v>
      </c>
      <c r="D10">
        <f>MEDIAN(_2026_04_17_16_26_30_19_high[pfwd_filt])</f>
        <v>205.2</v>
      </c>
      <c r="E10">
        <f>MEDIAN(_2026_04_17_16_26_30_19_high[p45_filt])</f>
        <v>192</v>
      </c>
      <c r="F10">
        <f>AVERAGE(_2026_04_17_16_26_30_19_high[coeff])</f>
        <v>1.0668804583832345</v>
      </c>
      <c r="G10">
        <f>MEDIAN(_2026_04_17_16_26_30_19_high[coeff])</f>
        <v>1.0694444000000001</v>
      </c>
      <c r="H10">
        <f xml:space="preserve"> -55.696 * Table18[[#This Row],[coeff_mean]] + 79.57</f>
        <v>20.149025989887363</v>
      </c>
    </row>
    <row r="11" spans="1:18" x14ac:dyDescent="0.3">
      <c r="A11">
        <v>22</v>
      </c>
      <c r="B11">
        <f>AVERAGE(_2026_04_17_16_25_21_23_high[pfwd_filt])</f>
        <v>200.40656968063874</v>
      </c>
      <c r="C11">
        <f>AVERAGE(_2026_04_17_16_25_21_23_high[p45_filt])</f>
        <v>193.24538762475046</v>
      </c>
      <c r="D11">
        <f>MEDIAN(_2026_04_17_16_25_21_23_high[pfwd_filt])</f>
        <v>200.33332999999999</v>
      </c>
      <c r="E11">
        <f>MEDIAN(_2026_04_17_16_25_21_23_high[p45_filt])</f>
        <v>193.2</v>
      </c>
      <c r="F11">
        <f>AVERAGE(_2026_04_17_16_25_21_23_high[coeff])</f>
        <v>1.037635571536925</v>
      </c>
      <c r="G11">
        <f>MEDIAN(_2026_04_17_16_25_21_23_high[coeff])</f>
        <v>1.0363636000000001</v>
      </c>
      <c r="H11">
        <f xml:space="preserve"> -55.696 * Table18[[#This Row],[coeff_mean]] + 79.57</f>
        <v>21.777849207679424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3D1E-0431-4B4C-A4D3-7A9C96D8B6B7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8175</v>
      </c>
      <c r="E2">
        <v>8146</v>
      </c>
      <c r="F2">
        <v>335</v>
      </c>
      <c r="G2">
        <v>231</v>
      </c>
      <c r="H2">
        <v>1.4502164</v>
      </c>
      <c r="I2">
        <v>-0.45021644</v>
      </c>
      <c r="J2">
        <v>0.40812722000000001</v>
      </c>
    </row>
    <row r="3" spans="1:10" x14ac:dyDescent="0.3">
      <c r="A3">
        <v>1</v>
      </c>
      <c r="B3">
        <v>25</v>
      </c>
      <c r="C3" t="b">
        <v>1</v>
      </c>
      <c r="D3">
        <v>8140</v>
      </c>
      <c r="E3">
        <v>8164</v>
      </c>
      <c r="F3">
        <v>335</v>
      </c>
      <c r="G3">
        <v>240</v>
      </c>
      <c r="H3">
        <v>1.3958333999999999</v>
      </c>
      <c r="I3">
        <v>-0.39583333999999998</v>
      </c>
      <c r="J3">
        <v>0.41739130000000002</v>
      </c>
    </row>
    <row r="4" spans="1:10" x14ac:dyDescent="0.3">
      <c r="A4">
        <v>2</v>
      </c>
      <c r="B4">
        <v>42</v>
      </c>
      <c r="C4" t="b">
        <v>1</v>
      </c>
      <c r="D4">
        <v>8129</v>
      </c>
      <c r="E4">
        <v>8140</v>
      </c>
      <c r="F4">
        <v>323.33334000000002</v>
      </c>
      <c r="G4">
        <v>237</v>
      </c>
      <c r="H4">
        <v>1.3642757000000001</v>
      </c>
      <c r="I4">
        <v>-0.36427572000000003</v>
      </c>
      <c r="J4">
        <v>0.42296250000000002</v>
      </c>
    </row>
    <row r="5" spans="1:10" x14ac:dyDescent="0.3">
      <c r="A5">
        <v>3</v>
      </c>
      <c r="B5">
        <v>58</v>
      </c>
      <c r="C5" t="b">
        <v>1</v>
      </c>
      <c r="D5">
        <v>8140</v>
      </c>
      <c r="E5">
        <v>8146</v>
      </c>
      <c r="F5">
        <v>317.5</v>
      </c>
      <c r="G5">
        <v>235.5</v>
      </c>
      <c r="H5">
        <v>1.3481953</v>
      </c>
      <c r="I5">
        <v>-0.34819529999999999</v>
      </c>
      <c r="J5">
        <v>0.42585894000000002</v>
      </c>
    </row>
    <row r="6" spans="1:10" x14ac:dyDescent="0.3">
      <c r="A6">
        <v>4</v>
      </c>
      <c r="B6">
        <v>74</v>
      </c>
      <c r="C6" t="b">
        <v>1</v>
      </c>
      <c r="D6">
        <v>8111</v>
      </c>
      <c r="E6">
        <v>8134</v>
      </c>
      <c r="F6">
        <v>314</v>
      </c>
      <c r="G6">
        <v>234.6</v>
      </c>
      <c r="H6">
        <v>1.3384484000000001</v>
      </c>
      <c r="I6">
        <v>-0.33844837999999999</v>
      </c>
      <c r="J6">
        <v>0.42763400000000001</v>
      </c>
    </row>
    <row r="7" spans="1:10" x14ac:dyDescent="0.3">
      <c r="A7">
        <v>5</v>
      </c>
      <c r="B7">
        <v>89</v>
      </c>
      <c r="C7" t="b">
        <v>1</v>
      </c>
      <c r="D7">
        <v>8163</v>
      </c>
      <c r="E7">
        <v>8134</v>
      </c>
      <c r="F7">
        <v>311.66665999999998</v>
      </c>
      <c r="G7">
        <v>233</v>
      </c>
      <c r="H7">
        <v>1.3376250999999999</v>
      </c>
      <c r="I7">
        <v>-0.33762514999999998</v>
      </c>
      <c r="J7">
        <v>0.42778462</v>
      </c>
    </row>
    <row r="8" spans="1:10" x14ac:dyDescent="0.3">
      <c r="A8">
        <v>6</v>
      </c>
      <c r="B8">
        <v>105</v>
      </c>
      <c r="C8" t="b">
        <v>1</v>
      </c>
      <c r="D8">
        <v>8140</v>
      </c>
      <c r="E8">
        <v>8146</v>
      </c>
      <c r="F8">
        <v>310</v>
      </c>
      <c r="G8">
        <v>231.85714999999999</v>
      </c>
      <c r="H8">
        <v>1.3370302000000001</v>
      </c>
      <c r="I8">
        <v>-0.33703017000000002</v>
      </c>
      <c r="J8">
        <v>0.42789346</v>
      </c>
    </row>
    <row r="9" spans="1:10" x14ac:dyDescent="0.3">
      <c r="A9">
        <v>7</v>
      </c>
      <c r="B9">
        <v>121</v>
      </c>
      <c r="C9" t="b">
        <v>1</v>
      </c>
      <c r="D9">
        <v>8158</v>
      </c>
      <c r="E9">
        <v>8129</v>
      </c>
      <c r="F9">
        <v>308.75</v>
      </c>
      <c r="G9">
        <v>230.25</v>
      </c>
      <c r="H9">
        <v>1.3409338</v>
      </c>
      <c r="I9">
        <v>-0.34093377000000002</v>
      </c>
      <c r="J9">
        <v>0.42717996000000003</v>
      </c>
    </row>
    <row r="10" spans="1:10" x14ac:dyDescent="0.3">
      <c r="A10">
        <v>8</v>
      </c>
      <c r="B10">
        <v>137</v>
      </c>
      <c r="C10" t="b">
        <v>1</v>
      </c>
      <c r="D10">
        <v>8169</v>
      </c>
      <c r="E10">
        <v>8134</v>
      </c>
      <c r="F10">
        <v>309.77776999999998</v>
      </c>
      <c r="G10">
        <v>229</v>
      </c>
      <c r="H10">
        <v>1.3527414</v>
      </c>
      <c r="I10">
        <v>-0.35274136</v>
      </c>
      <c r="J10">
        <v>0.42503609999999997</v>
      </c>
    </row>
    <row r="11" spans="1:10" x14ac:dyDescent="0.3">
      <c r="A11">
        <v>9</v>
      </c>
      <c r="B11">
        <v>152</v>
      </c>
      <c r="C11" t="b">
        <v>1</v>
      </c>
      <c r="D11">
        <v>8163</v>
      </c>
      <c r="E11">
        <v>8123</v>
      </c>
      <c r="F11">
        <v>311.10000000000002</v>
      </c>
      <c r="G11">
        <v>228</v>
      </c>
      <c r="H11">
        <v>1.3644737</v>
      </c>
      <c r="I11">
        <v>-0.36447370000000001</v>
      </c>
      <c r="J11">
        <v>0.4229271</v>
      </c>
    </row>
    <row r="12" spans="1:10" x14ac:dyDescent="0.3">
      <c r="A12">
        <v>10</v>
      </c>
      <c r="B12">
        <v>184</v>
      </c>
      <c r="C12" t="b">
        <v>1</v>
      </c>
      <c r="D12">
        <v>8140</v>
      </c>
      <c r="E12">
        <v>8164</v>
      </c>
      <c r="F12">
        <v>311.72726</v>
      </c>
      <c r="G12">
        <v>227.18181999999999</v>
      </c>
      <c r="H12">
        <v>1.3721487999999999</v>
      </c>
      <c r="I12">
        <v>-0.37214878000000001</v>
      </c>
      <c r="J12">
        <v>0.42155873999999999</v>
      </c>
    </row>
    <row r="13" spans="1:10" x14ac:dyDescent="0.3">
      <c r="A13">
        <v>11</v>
      </c>
      <c r="B13">
        <v>215</v>
      </c>
      <c r="C13" t="b">
        <v>1</v>
      </c>
      <c r="D13">
        <v>8140</v>
      </c>
      <c r="E13">
        <v>8129</v>
      </c>
      <c r="F13">
        <v>312.25</v>
      </c>
      <c r="G13">
        <v>226.08332999999999</v>
      </c>
      <c r="H13">
        <v>1.3811279999999999</v>
      </c>
      <c r="I13">
        <v>-0.38112792000000001</v>
      </c>
      <c r="J13">
        <v>0.41996905000000001</v>
      </c>
    </row>
    <row r="14" spans="1:10" x14ac:dyDescent="0.3">
      <c r="A14">
        <v>12</v>
      </c>
      <c r="B14">
        <v>247</v>
      </c>
      <c r="C14" t="b">
        <v>1</v>
      </c>
      <c r="D14">
        <v>8123</v>
      </c>
      <c r="E14">
        <v>8152</v>
      </c>
      <c r="F14">
        <v>311.30768</v>
      </c>
      <c r="G14">
        <v>225.53846999999999</v>
      </c>
      <c r="H14">
        <v>1.3802863000000001</v>
      </c>
      <c r="I14">
        <v>-0.38028640000000002</v>
      </c>
      <c r="J14">
        <v>0.42011753000000002</v>
      </c>
    </row>
    <row r="15" spans="1:10" x14ac:dyDescent="0.3">
      <c r="A15">
        <v>13</v>
      </c>
      <c r="B15">
        <v>279</v>
      </c>
      <c r="C15" t="b">
        <v>1</v>
      </c>
      <c r="D15">
        <v>8192</v>
      </c>
      <c r="E15">
        <v>8146</v>
      </c>
      <c r="F15">
        <v>310.5</v>
      </c>
      <c r="G15">
        <v>225.92857000000001</v>
      </c>
      <c r="H15">
        <v>1.3743281000000001</v>
      </c>
      <c r="I15">
        <v>-0.37432817000000002</v>
      </c>
      <c r="J15">
        <v>0.42117175000000001</v>
      </c>
    </row>
    <row r="16" spans="1:10" x14ac:dyDescent="0.3">
      <c r="A16">
        <v>14</v>
      </c>
      <c r="B16">
        <v>295</v>
      </c>
      <c r="C16" t="b">
        <v>1</v>
      </c>
      <c r="D16">
        <v>8100</v>
      </c>
      <c r="E16">
        <v>8117</v>
      </c>
      <c r="F16">
        <v>309.8</v>
      </c>
      <c r="G16">
        <v>226.26666</v>
      </c>
      <c r="H16">
        <v>1.3691808999999999</v>
      </c>
      <c r="I16">
        <v>-0.36918089999999998</v>
      </c>
      <c r="J16">
        <v>0.42208679999999998</v>
      </c>
    </row>
    <row r="17" spans="1:10" x14ac:dyDescent="0.3">
      <c r="A17">
        <v>15</v>
      </c>
      <c r="B17">
        <v>311</v>
      </c>
      <c r="C17" t="b">
        <v>1</v>
      </c>
      <c r="D17">
        <v>8123</v>
      </c>
      <c r="E17">
        <v>8129</v>
      </c>
      <c r="F17">
        <v>306.33334000000002</v>
      </c>
      <c r="G17">
        <v>225.13333</v>
      </c>
      <c r="H17">
        <v>1.3606752</v>
      </c>
      <c r="I17">
        <v>-0.36067522000000002</v>
      </c>
      <c r="J17">
        <v>0.42360762000000002</v>
      </c>
    </row>
    <row r="18" spans="1:10" x14ac:dyDescent="0.3">
      <c r="A18">
        <v>16</v>
      </c>
      <c r="B18">
        <v>327</v>
      </c>
      <c r="C18" t="b">
        <v>1</v>
      </c>
      <c r="D18">
        <v>8123</v>
      </c>
      <c r="E18">
        <v>8152</v>
      </c>
      <c r="F18">
        <v>302.86667</v>
      </c>
      <c r="G18">
        <v>223.93333000000001</v>
      </c>
      <c r="H18">
        <v>1.3524859</v>
      </c>
      <c r="I18">
        <v>-0.35248586999999998</v>
      </c>
      <c r="J18">
        <v>0.42508226999999998</v>
      </c>
    </row>
    <row r="19" spans="1:10" x14ac:dyDescent="0.3">
      <c r="A19">
        <v>17</v>
      </c>
      <c r="B19">
        <v>342</v>
      </c>
      <c r="C19" t="b">
        <v>1</v>
      </c>
      <c r="D19">
        <v>8123</v>
      </c>
      <c r="E19">
        <v>8146</v>
      </c>
      <c r="F19">
        <v>301.73334</v>
      </c>
      <c r="G19">
        <v>223.93333000000001</v>
      </c>
      <c r="H19">
        <v>1.3474249</v>
      </c>
      <c r="I19">
        <v>-0.34742483000000002</v>
      </c>
      <c r="J19">
        <v>0.42599872</v>
      </c>
    </row>
    <row r="20" spans="1:10" x14ac:dyDescent="0.3">
      <c r="A20">
        <v>18</v>
      </c>
      <c r="B20">
        <v>358</v>
      </c>
      <c r="C20" t="b">
        <v>1</v>
      </c>
      <c r="D20">
        <v>8169</v>
      </c>
      <c r="E20">
        <v>8146</v>
      </c>
      <c r="F20">
        <v>300.60000000000002</v>
      </c>
      <c r="G20">
        <v>223.93333000000001</v>
      </c>
      <c r="H20">
        <v>1.3423638</v>
      </c>
      <c r="I20">
        <v>-0.34236382999999998</v>
      </c>
      <c r="J20">
        <v>0.42691916000000002</v>
      </c>
    </row>
    <row r="21" spans="1:10" x14ac:dyDescent="0.3">
      <c r="A21">
        <v>19</v>
      </c>
      <c r="B21">
        <v>374</v>
      </c>
      <c r="C21" t="b">
        <v>1</v>
      </c>
      <c r="D21">
        <v>8186</v>
      </c>
      <c r="E21">
        <v>8146</v>
      </c>
      <c r="F21">
        <v>299.46667000000002</v>
      </c>
      <c r="G21">
        <v>223.93333000000001</v>
      </c>
      <c r="H21">
        <v>1.3373028</v>
      </c>
      <c r="I21">
        <v>-0.33730280000000001</v>
      </c>
      <c r="J21">
        <v>0.42784357000000001</v>
      </c>
    </row>
    <row r="22" spans="1:10" x14ac:dyDescent="0.3">
      <c r="A22">
        <v>20</v>
      </c>
      <c r="B22">
        <v>390</v>
      </c>
      <c r="C22" t="b">
        <v>1</v>
      </c>
      <c r="D22">
        <v>8198</v>
      </c>
      <c r="E22">
        <v>8164</v>
      </c>
      <c r="F22">
        <v>301.39999999999998</v>
      </c>
      <c r="G22">
        <v>224.33332999999999</v>
      </c>
      <c r="H22">
        <v>1.3435364000000001</v>
      </c>
      <c r="I22">
        <v>-0.34353640000000002</v>
      </c>
      <c r="J22">
        <v>0.42670553999999999</v>
      </c>
    </row>
    <row r="23" spans="1:10" x14ac:dyDescent="0.3">
      <c r="A23">
        <v>21</v>
      </c>
      <c r="B23">
        <v>406</v>
      </c>
      <c r="C23" t="b">
        <v>1</v>
      </c>
      <c r="D23">
        <v>8158</v>
      </c>
      <c r="E23">
        <v>8140</v>
      </c>
      <c r="F23">
        <v>303.33334000000002</v>
      </c>
      <c r="G23">
        <v>224.73334</v>
      </c>
      <c r="H23">
        <v>1.3497478999999999</v>
      </c>
      <c r="I23">
        <v>-0.34974787000000002</v>
      </c>
      <c r="J23">
        <v>0.4255776</v>
      </c>
    </row>
    <row r="24" spans="1:10" x14ac:dyDescent="0.3">
      <c r="A24">
        <v>22</v>
      </c>
      <c r="B24">
        <v>421</v>
      </c>
      <c r="C24" t="b">
        <v>1</v>
      </c>
      <c r="D24">
        <v>8152</v>
      </c>
      <c r="E24">
        <v>8123</v>
      </c>
      <c r="F24">
        <v>305.26666</v>
      </c>
      <c r="G24">
        <v>225.53334000000001</v>
      </c>
      <c r="H24">
        <v>1.3535322999999999</v>
      </c>
      <c r="I24">
        <v>-0.35353230000000002</v>
      </c>
      <c r="J24">
        <v>0.42489325999999999</v>
      </c>
    </row>
    <row r="25" spans="1:10" x14ac:dyDescent="0.3">
      <c r="A25">
        <v>23</v>
      </c>
      <c r="B25">
        <v>437</v>
      </c>
      <c r="C25" t="b">
        <v>1</v>
      </c>
      <c r="D25">
        <v>8140</v>
      </c>
      <c r="E25">
        <v>8123</v>
      </c>
      <c r="F25">
        <v>305.26666</v>
      </c>
      <c r="G25">
        <v>225.93333000000001</v>
      </c>
      <c r="H25">
        <v>1.3511359999999999</v>
      </c>
      <c r="I25">
        <v>-0.351136</v>
      </c>
      <c r="J25">
        <v>0.42532629999999999</v>
      </c>
    </row>
    <row r="26" spans="1:10" x14ac:dyDescent="0.3">
      <c r="A26">
        <v>24</v>
      </c>
      <c r="B26">
        <v>453</v>
      </c>
      <c r="C26" t="b">
        <v>1</v>
      </c>
      <c r="D26">
        <v>8146</v>
      </c>
      <c r="E26">
        <v>8140</v>
      </c>
      <c r="F26">
        <v>304.53332999999998</v>
      </c>
      <c r="G26">
        <v>226.33332999999999</v>
      </c>
      <c r="H26">
        <v>1.3455081</v>
      </c>
      <c r="I26">
        <v>-0.34550809999999998</v>
      </c>
      <c r="J26">
        <v>0.42634686999999999</v>
      </c>
    </row>
    <row r="27" spans="1:10" x14ac:dyDescent="0.3">
      <c r="A27">
        <v>25</v>
      </c>
      <c r="B27">
        <v>469</v>
      </c>
      <c r="C27" t="b">
        <v>1</v>
      </c>
      <c r="D27">
        <v>8129</v>
      </c>
      <c r="E27">
        <v>8140</v>
      </c>
      <c r="F27">
        <v>303.73334</v>
      </c>
      <c r="G27">
        <v>226.73334</v>
      </c>
      <c r="H27">
        <v>1.3396060000000001</v>
      </c>
      <c r="I27">
        <v>-0.33960600000000002</v>
      </c>
      <c r="J27">
        <v>0.42742239999999998</v>
      </c>
    </row>
    <row r="28" spans="1:10" x14ac:dyDescent="0.3">
      <c r="A28">
        <v>26</v>
      </c>
      <c r="B28">
        <v>485</v>
      </c>
      <c r="C28" t="b">
        <v>1</v>
      </c>
      <c r="D28">
        <v>8146</v>
      </c>
      <c r="E28">
        <v>8146</v>
      </c>
      <c r="F28">
        <v>302.93331999999998</v>
      </c>
      <c r="G28">
        <v>227.46665999999999</v>
      </c>
      <c r="H28">
        <v>1.3317702</v>
      </c>
      <c r="I28">
        <v>-0.33177020000000002</v>
      </c>
      <c r="J28">
        <v>0.42885873000000002</v>
      </c>
    </row>
    <row r="29" spans="1:10" x14ac:dyDescent="0.3">
      <c r="A29">
        <v>27</v>
      </c>
      <c r="B29">
        <v>501</v>
      </c>
      <c r="C29" t="b">
        <v>1</v>
      </c>
      <c r="D29">
        <v>8152</v>
      </c>
      <c r="E29">
        <v>8152</v>
      </c>
      <c r="F29">
        <v>303.33334000000002</v>
      </c>
      <c r="G29">
        <v>227.86667</v>
      </c>
      <c r="H29">
        <v>1.3311877999999999</v>
      </c>
      <c r="I29">
        <v>-0.33118787</v>
      </c>
      <c r="J29">
        <v>0.42896587000000003</v>
      </c>
    </row>
    <row r="30" spans="1:10" x14ac:dyDescent="0.3">
      <c r="A30">
        <v>28</v>
      </c>
      <c r="B30">
        <v>517</v>
      </c>
      <c r="C30" t="b">
        <v>1</v>
      </c>
      <c r="D30">
        <v>8129</v>
      </c>
      <c r="E30">
        <v>8146</v>
      </c>
      <c r="F30">
        <v>303.73334</v>
      </c>
      <c r="G30">
        <v>227.86667</v>
      </c>
      <c r="H30">
        <v>1.3329432000000001</v>
      </c>
      <c r="I30">
        <v>-0.33294326000000002</v>
      </c>
      <c r="J30">
        <v>0.4286431</v>
      </c>
    </row>
    <row r="31" spans="1:10" x14ac:dyDescent="0.3">
      <c r="A31">
        <v>29</v>
      </c>
      <c r="B31">
        <v>549</v>
      </c>
      <c r="C31" t="b">
        <v>1</v>
      </c>
      <c r="D31">
        <v>8146</v>
      </c>
      <c r="E31">
        <v>8129</v>
      </c>
      <c r="F31">
        <v>304.13333</v>
      </c>
      <c r="G31">
        <v>227.86667</v>
      </c>
      <c r="H31">
        <v>1.3346986999999999</v>
      </c>
      <c r="I31">
        <v>-0.33469864999999999</v>
      </c>
      <c r="J31">
        <v>0.4283208</v>
      </c>
    </row>
    <row r="32" spans="1:10" x14ac:dyDescent="0.3">
      <c r="A32">
        <v>30</v>
      </c>
      <c r="B32">
        <v>580</v>
      </c>
      <c r="C32" t="b">
        <v>1</v>
      </c>
      <c r="D32">
        <v>8135</v>
      </c>
      <c r="E32">
        <v>8140</v>
      </c>
      <c r="F32">
        <v>305.66665999999998</v>
      </c>
      <c r="G32">
        <v>229</v>
      </c>
      <c r="H32">
        <v>1.3347888999999999</v>
      </c>
      <c r="I32">
        <v>-0.3347889</v>
      </c>
      <c r="J32">
        <v>0.42830427999999998</v>
      </c>
    </row>
    <row r="33" spans="1:10" x14ac:dyDescent="0.3">
      <c r="A33">
        <v>31</v>
      </c>
      <c r="B33">
        <v>613</v>
      </c>
      <c r="C33" t="b">
        <v>1</v>
      </c>
      <c r="D33">
        <v>8175</v>
      </c>
      <c r="E33">
        <v>8134</v>
      </c>
      <c r="F33">
        <v>307.2</v>
      </c>
      <c r="G33">
        <v>228.6</v>
      </c>
      <c r="H33">
        <v>1.3438319999999999</v>
      </c>
      <c r="I33">
        <v>-0.34383205</v>
      </c>
      <c r="J33">
        <v>0.42665172000000001</v>
      </c>
    </row>
    <row r="34" spans="1:10" x14ac:dyDescent="0.3">
      <c r="A34">
        <v>32</v>
      </c>
      <c r="B34">
        <v>645</v>
      </c>
      <c r="C34" t="b">
        <v>1</v>
      </c>
      <c r="D34">
        <v>8140</v>
      </c>
      <c r="E34">
        <v>8134</v>
      </c>
      <c r="F34">
        <v>308.33334000000002</v>
      </c>
      <c r="G34">
        <v>227.8</v>
      </c>
      <c r="H34">
        <v>1.3535265000000001</v>
      </c>
      <c r="I34">
        <v>-0.35352650000000002</v>
      </c>
      <c r="J34">
        <v>0.42489427000000002</v>
      </c>
    </row>
    <row r="35" spans="1:10" x14ac:dyDescent="0.3">
      <c r="A35">
        <v>33</v>
      </c>
      <c r="B35">
        <v>676</v>
      </c>
      <c r="C35" t="b">
        <v>1</v>
      </c>
      <c r="D35">
        <v>8135</v>
      </c>
      <c r="E35">
        <v>8134</v>
      </c>
      <c r="F35">
        <v>309.46667000000002</v>
      </c>
      <c r="G35">
        <v>227</v>
      </c>
      <c r="H35">
        <v>1.3632894</v>
      </c>
      <c r="I35">
        <v>-0.36328933000000002</v>
      </c>
      <c r="J35">
        <v>0.42313907000000001</v>
      </c>
    </row>
    <row r="36" spans="1:10" x14ac:dyDescent="0.3">
      <c r="A36">
        <v>34</v>
      </c>
      <c r="B36">
        <v>692</v>
      </c>
      <c r="C36" t="b">
        <v>1</v>
      </c>
      <c r="D36">
        <v>8175</v>
      </c>
      <c r="E36">
        <v>8140</v>
      </c>
      <c r="F36">
        <v>310.60000000000002</v>
      </c>
      <c r="G36">
        <v>226.2</v>
      </c>
      <c r="H36">
        <v>1.3731211000000001</v>
      </c>
      <c r="I36">
        <v>-0.37312117</v>
      </c>
      <c r="J36">
        <v>0.42138599999999998</v>
      </c>
    </row>
    <row r="37" spans="1:10" x14ac:dyDescent="0.3">
      <c r="A37">
        <v>35</v>
      </c>
      <c r="B37">
        <v>707</v>
      </c>
      <c r="C37" t="b">
        <v>1</v>
      </c>
      <c r="D37">
        <v>8152</v>
      </c>
      <c r="E37">
        <v>8146</v>
      </c>
      <c r="F37">
        <v>309.46667000000002</v>
      </c>
      <c r="G37">
        <v>225.4</v>
      </c>
      <c r="H37">
        <v>1.3729666</v>
      </c>
      <c r="I37">
        <v>-0.37296665000000001</v>
      </c>
      <c r="J37">
        <v>0.42141339999999999</v>
      </c>
    </row>
    <row r="38" spans="1:10" x14ac:dyDescent="0.3">
      <c r="A38">
        <v>36</v>
      </c>
      <c r="B38">
        <v>723</v>
      </c>
      <c r="C38" t="b">
        <v>1</v>
      </c>
      <c r="D38">
        <v>8100</v>
      </c>
      <c r="E38">
        <v>8134</v>
      </c>
      <c r="F38">
        <v>307.53332999999998</v>
      </c>
      <c r="G38">
        <v>224.6</v>
      </c>
      <c r="H38">
        <v>1.3692489999999999</v>
      </c>
      <c r="I38">
        <v>-0.36924896000000001</v>
      </c>
      <c r="J38">
        <v>0.42207470000000002</v>
      </c>
    </row>
    <row r="39" spans="1:10" x14ac:dyDescent="0.3">
      <c r="A39">
        <v>37</v>
      </c>
      <c r="B39">
        <v>739</v>
      </c>
      <c r="C39" t="b">
        <v>1</v>
      </c>
      <c r="D39">
        <v>8158</v>
      </c>
      <c r="E39">
        <v>8158</v>
      </c>
      <c r="F39">
        <v>306.39999999999998</v>
      </c>
      <c r="G39">
        <v>224.2</v>
      </c>
      <c r="H39">
        <v>1.3666369</v>
      </c>
      <c r="I39">
        <v>-0.36663693000000003</v>
      </c>
      <c r="J39">
        <v>0.42254055000000001</v>
      </c>
    </row>
    <row r="40" spans="1:10" x14ac:dyDescent="0.3">
      <c r="A40">
        <v>38</v>
      </c>
      <c r="B40">
        <v>755</v>
      </c>
      <c r="C40" t="b">
        <v>1</v>
      </c>
      <c r="D40">
        <v>8169</v>
      </c>
      <c r="E40">
        <v>8134</v>
      </c>
      <c r="F40">
        <v>306.39999999999998</v>
      </c>
      <c r="G40">
        <v>224.2</v>
      </c>
      <c r="H40">
        <v>1.3666369</v>
      </c>
      <c r="I40">
        <v>-0.36663693000000003</v>
      </c>
      <c r="J40">
        <v>0.42254055000000001</v>
      </c>
    </row>
    <row r="41" spans="1:10" x14ac:dyDescent="0.3">
      <c r="A41">
        <v>39</v>
      </c>
      <c r="B41">
        <v>770</v>
      </c>
      <c r="C41" t="b">
        <v>1</v>
      </c>
      <c r="D41">
        <v>8146</v>
      </c>
      <c r="E41">
        <v>8129</v>
      </c>
      <c r="F41">
        <v>306.39999999999998</v>
      </c>
      <c r="G41">
        <v>223.8</v>
      </c>
      <c r="H41">
        <v>1.3690795</v>
      </c>
      <c r="I41">
        <v>-0.3690795</v>
      </c>
      <c r="J41">
        <v>0.42210487000000002</v>
      </c>
    </row>
    <row r="42" spans="1:10" x14ac:dyDescent="0.3">
      <c r="A42">
        <v>40</v>
      </c>
      <c r="B42">
        <v>786</v>
      </c>
      <c r="C42" t="b">
        <v>1</v>
      </c>
      <c r="D42">
        <v>8135</v>
      </c>
      <c r="E42">
        <v>8105</v>
      </c>
      <c r="F42">
        <v>306.39999999999998</v>
      </c>
      <c r="G42">
        <v>223.4</v>
      </c>
      <c r="H42">
        <v>1.3715309</v>
      </c>
      <c r="I42">
        <v>-0.3715309</v>
      </c>
      <c r="J42">
        <v>0.42166856000000003</v>
      </c>
    </row>
    <row r="43" spans="1:10" x14ac:dyDescent="0.3">
      <c r="A43">
        <v>41</v>
      </c>
      <c r="B43">
        <v>802</v>
      </c>
      <c r="C43" t="b">
        <v>1</v>
      </c>
      <c r="D43">
        <v>8111</v>
      </c>
      <c r="E43">
        <v>8134</v>
      </c>
      <c r="F43">
        <v>306.39999999999998</v>
      </c>
      <c r="G43">
        <v>223</v>
      </c>
      <c r="H43">
        <v>1.373991</v>
      </c>
      <c r="I43">
        <v>-0.37399100000000002</v>
      </c>
      <c r="J43">
        <v>0.42123157</v>
      </c>
    </row>
    <row r="44" spans="1:10" x14ac:dyDescent="0.3">
      <c r="A44">
        <v>42</v>
      </c>
      <c r="B44">
        <v>833</v>
      </c>
      <c r="C44" t="b">
        <v>1</v>
      </c>
      <c r="D44">
        <v>8140</v>
      </c>
      <c r="E44">
        <v>8105</v>
      </c>
      <c r="F44">
        <v>306</v>
      </c>
      <c r="G44">
        <v>222.26666</v>
      </c>
      <c r="H44">
        <v>1.3767247</v>
      </c>
      <c r="I44">
        <v>-0.37672470000000002</v>
      </c>
      <c r="J44">
        <v>0.42074709999999998</v>
      </c>
    </row>
    <row r="45" spans="1:10" x14ac:dyDescent="0.3">
      <c r="A45">
        <v>43</v>
      </c>
      <c r="B45">
        <v>864</v>
      </c>
      <c r="C45" t="b">
        <v>1</v>
      </c>
      <c r="D45">
        <v>8140</v>
      </c>
      <c r="E45">
        <v>8117</v>
      </c>
      <c r="F45">
        <v>305.60000000000002</v>
      </c>
      <c r="G45">
        <v>220.33332999999999</v>
      </c>
      <c r="H45">
        <v>1.3869895000000001</v>
      </c>
      <c r="I45">
        <v>-0.38698947</v>
      </c>
      <c r="J45">
        <v>0.41893774</v>
      </c>
    </row>
    <row r="46" spans="1:10" x14ac:dyDescent="0.3">
      <c r="A46">
        <v>44</v>
      </c>
      <c r="B46">
        <v>896</v>
      </c>
      <c r="C46" t="b">
        <v>1</v>
      </c>
      <c r="D46">
        <v>8169</v>
      </c>
      <c r="E46">
        <v>8152</v>
      </c>
      <c r="F46">
        <v>305.2</v>
      </c>
      <c r="G46">
        <v>218.4</v>
      </c>
      <c r="H46">
        <v>1.3974359999999999</v>
      </c>
      <c r="I46">
        <v>-0.39743600000000001</v>
      </c>
      <c r="J46">
        <v>0.41711231999999998</v>
      </c>
    </row>
    <row r="47" spans="1:10" x14ac:dyDescent="0.3">
      <c r="A47">
        <v>45</v>
      </c>
      <c r="B47">
        <v>928</v>
      </c>
      <c r="C47" t="b">
        <v>1</v>
      </c>
      <c r="D47">
        <v>8117</v>
      </c>
      <c r="E47">
        <v>8134</v>
      </c>
      <c r="F47">
        <v>304.8</v>
      </c>
      <c r="G47">
        <v>217.6</v>
      </c>
      <c r="H47">
        <v>1.4007350999999999</v>
      </c>
      <c r="I47">
        <v>-0.40073520000000001</v>
      </c>
      <c r="J47">
        <v>0.41653904000000003</v>
      </c>
    </row>
    <row r="48" spans="1:10" x14ac:dyDescent="0.3">
      <c r="A48">
        <v>46</v>
      </c>
      <c r="B48">
        <v>943</v>
      </c>
      <c r="C48" t="b">
        <v>1</v>
      </c>
      <c r="D48">
        <v>8169</v>
      </c>
      <c r="E48">
        <v>8152</v>
      </c>
      <c r="F48">
        <v>304.39999999999998</v>
      </c>
      <c r="G48">
        <v>217.2</v>
      </c>
      <c r="H48">
        <v>1.4014732999999999</v>
      </c>
      <c r="I48">
        <v>-0.40147327999999999</v>
      </c>
      <c r="J48">
        <v>0.41641104000000001</v>
      </c>
    </row>
    <row r="49" spans="1:10" x14ac:dyDescent="0.3">
      <c r="A49">
        <v>47</v>
      </c>
      <c r="B49">
        <v>959</v>
      </c>
      <c r="C49" t="b">
        <v>1</v>
      </c>
      <c r="D49">
        <v>8146</v>
      </c>
      <c r="E49">
        <v>8140</v>
      </c>
      <c r="F49">
        <v>304.8</v>
      </c>
      <c r="G49">
        <v>217.6</v>
      </c>
      <c r="H49">
        <v>1.4007350999999999</v>
      </c>
      <c r="I49">
        <v>-0.40073520000000001</v>
      </c>
      <c r="J49">
        <v>0.41653904000000003</v>
      </c>
    </row>
    <row r="50" spans="1:10" x14ac:dyDescent="0.3">
      <c r="A50">
        <v>48</v>
      </c>
      <c r="B50">
        <v>975</v>
      </c>
      <c r="C50" t="b">
        <v>1</v>
      </c>
      <c r="D50">
        <v>8135</v>
      </c>
      <c r="E50">
        <v>8140</v>
      </c>
      <c r="F50">
        <v>305.2</v>
      </c>
      <c r="G50">
        <v>218</v>
      </c>
      <c r="H50">
        <v>1.4000001</v>
      </c>
      <c r="I50">
        <v>-0.40000006999999999</v>
      </c>
      <c r="J50">
        <v>0.41666666000000002</v>
      </c>
    </row>
    <row r="51" spans="1:10" x14ac:dyDescent="0.3">
      <c r="A51">
        <v>49</v>
      </c>
      <c r="B51">
        <v>991</v>
      </c>
      <c r="C51" t="b">
        <v>1</v>
      </c>
      <c r="D51">
        <v>8135</v>
      </c>
      <c r="E51">
        <v>8140</v>
      </c>
      <c r="F51">
        <v>304.86667</v>
      </c>
      <c r="G51">
        <v>218.4</v>
      </c>
      <c r="H51">
        <v>1.3959097</v>
      </c>
      <c r="I51">
        <v>-0.39590969999999998</v>
      </c>
      <c r="J51">
        <v>0.41737800000000003</v>
      </c>
    </row>
    <row r="52" spans="1:10" x14ac:dyDescent="0.3">
      <c r="A52">
        <v>50</v>
      </c>
      <c r="B52">
        <v>1007</v>
      </c>
      <c r="C52" t="b">
        <v>1</v>
      </c>
      <c r="D52">
        <v>8181</v>
      </c>
      <c r="E52">
        <v>8123</v>
      </c>
      <c r="F52">
        <v>304.46667000000002</v>
      </c>
      <c r="G52">
        <v>218.8</v>
      </c>
      <c r="H52">
        <v>1.3915295999999999</v>
      </c>
      <c r="I52">
        <v>-0.39152956</v>
      </c>
      <c r="J52">
        <v>0.41814244</v>
      </c>
    </row>
    <row r="53" spans="1:10" x14ac:dyDescent="0.3">
      <c r="A53">
        <v>51</v>
      </c>
      <c r="B53">
        <v>1023</v>
      </c>
      <c r="C53" t="b">
        <v>1</v>
      </c>
      <c r="D53">
        <v>8158</v>
      </c>
      <c r="E53">
        <v>8129</v>
      </c>
      <c r="F53">
        <v>304.86667</v>
      </c>
      <c r="G53">
        <v>219.2</v>
      </c>
      <c r="H53">
        <v>1.3908151</v>
      </c>
      <c r="I53">
        <v>-0.39081510000000003</v>
      </c>
      <c r="J53">
        <v>0.41826740000000001</v>
      </c>
    </row>
    <row r="54" spans="1:10" x14ac:dyDescent="0.3">
      <c r="A54">
        <v>52</v>
      </c>
      <c r="B54">
        <v>1054</v>
      </c>
      <c r="C54" t="b">
        <v>1</v>
      </c>
      <c r="D54">
        <v>8146</v>
      </c>
      <c r="E54">
        <v>8111</v>
      </c>
      <c r="F54">
        <v>304.46667000000002</v>
      </c>
      <c r="G54">
        <v>218.46665999999999</v>
      </c>
      <c r="H54">
        <v>1.3936527999999999</v>
      </c>
      <c r="I54">
        <v>-0.39365283000000001</v>
      </c>
      <c r="J54">
        <v>0.41777152000000001</v>
      </c>
    </row>
    <row r="55" spans="1:10" x14ac:dyDescent="0.3">
      <c r="A55">
        <v>53</v>
      </c>
      <c r="B55">
        <v>1070</v>
      </c>
      <c r="C55" t="b">
        <v>1</v>
      </c>
      <c r="D55">
        <v>8146</v>
      </c>
      <c r="E55">
        <v>8129</v>
      </c>
      <c r="F55">
        <v>303.66665999999998</v>
      </c>
      <c r="G55">
        <v>217.73334</v>
      </c>
      <c r="H55">
        <v>1.3946723000000001</v>
      </c>
      <c r="I55">
        <v>-0.39467229999999998</v>
      </c>
      <c r="J55">
        <v>0.41759365999999998</v>
      </c>
    </row>
    <row r="56" spans="1:10" x14ac:dyDescent="0.3">
      <c r="A56">
        <v>54</v>
      </c>
      <c r="B56">
        <v>1086</v>
      </c>
      <c r="C56" t="b">
        <v>1</v>
      </c>
      <c r="D56">
        <v>8083</v>
      </c>
      <c r="E56">
        <v>8129</v>
      </c>
      <c r="F56">
        <v>303.26666</v>
      </c>
      <c r="G56">
        <v>217.4</v>
      </c>
      <c r="H56">
        <v>1.3949708999999999</v>
      </c>
      <c r="I56">
        <v>-0.39497090000000001</v>
      </c>
      <c r="J56">
        <v>0.41754162</v>
      </c>
    </row>
    <row r="57" spans="1:10" x14ac:dyDescent="0.3">
      <c r="A57">
        <v>55</v>
      </c>
      <c r="B57">
        <v>1102</v>
      </c>
      <c r="C57" t="b">
        <v>1</v>
      </c>
      <c r="D57">
        <v>8117</v>
      </c>
      <c r="E57">
        <v>8129</v>
      </c>
      <c r="F57">
        <v>303.26666</v>
      </c>
      <c r="G57">
        <v>217.06666999999999</v>
      </c>
      <c r="H57">
        <v>1.397113</v>
      </c>
      <c r="I57">
        <v>-0.39711299999999999</v>
      </c>
      <c r="J57">
        <v>0.4171685</v>
      </c>
    </row>
    <row r="58" spans="1:10" x14ac:dyDescent="0.3">
      <c r="A58">
        <v>56</v>
      </c>
      <c r="B58">
        <v>1118</v>
      </c>
      <c r="C58" t="b">
        <v>1</v>
      </c>
      <c r="D58">
        <v>8158</v>
      </c>
      <c r="E58">
        <v>8123</v>
      </c>
      <c r="F58">
        <v>303.26666</v>
      </c>
      <c r="G58">
        <v>216.73334</v>
      </c>
      <c r="H58">
        <v>1.3992617000000001</v>
      </c>
      <c r="I58">
        <v>-0.3992617</v>
      </c>
      <c r="J58">
        <v>0.41679486999999998</v>
      </c>
    </row>
    <row r="59" spans="1:10" x14ac:dyDescent="0.3">
      <c r="A59">
        <v>57</v>
      </c>
      <c r="B59">
        <v>1133</v>
      </c>
      <c r="C59" t="b">
        <v>1</v>
      </c>
      <c r="D59">
        <v>8100</v>
      </c>
      <c r="E59">
        <v>8134</v>
      </c>
      <c r="F59">
        <v>301.73334</v>
      </c>
      <c r="G59">
        <v>216.73334</v>
      </c>
      <c r="H59">
        <v>1.3921870000000001</v>
      </c>
      <c r="I59">
        <v>-0.39218700000000001</v>
      </c>
      <c r="J59">
        <v>0.41802751999999999</v>
      </c>
    </row>
    <row r="60" spans="1:10" x14ac:dyDescent="0.3">
      <c r="A60">
        <v>58</v>
      </c>
      <c r="B60">
        <v>1165</v>
      </c>
      <c r="C60" t="b">
        <v>1</v>
      </c>
      <c r="D60">
        <v>8158</v>
      </c>
      <c r="E60">
        <v>8134</v>
      </c>
      <c r="F60">
        <v>300.2</v>
      </c>
      <c r="G60">
        <v>217.53334000000001</v>
      </c>
      <c r="H60">
        <v>1.3800184</v>
      </c>
      <c r="I60">
        <v>-0.38001839999999998</v>
      </c>
      <c r="J60">
        <v>0.42016481999999999</v>
      </c>
    </row>
    <row r="61" spans="1:10" x14ac:dyDescent="0.3">
      <c r="A61">
        <v>59</v>
      </c>
      <c r="B61">
        <v>1197</v>
      </c>
      <c r="C61" t="b">
        <v>1</v>
      </c>
      <c r="D61">
        <v>8135</v>
      </c>
      <c r="E61">
        <v>8123</v>
      </c>
      <c r="F61">
        <v>299.86667</v>
      </c>
      <c r="G61">
        <v>218.33332999999999</v>
      </c>
      <c r="H61">
        <v>1.3734351</v>
      </c>
      <c r="I61">
        <v>-0.37343516999999998</v>
      </c>
      <c r="J61">
        <v>0.42133019999999999</v>
      </c>
    </row>
    <row r="62" spans="1:10" x14ac:dyDescent="0.3">
      <c r="A62">
        <v>60</v>
      </c>
      <c r="B62">
        <v>1229</v>
      </c>
      <c r="C62" t="b">
        <v>1</v>
      </c>
      <c r="D62">
        <v>8129</v>
      </c>
      <c r="E62">
        <v>8146</v>
      </c>
      <c r="F62">
        <v>299.53332999999998</v>
      </c>
      <c r="G62">
        <v>218.33332999999999</v>
      </c>
      <c r="H62">
        <v>1.3719083999999999</v>
      </c>
      <c r="I62">
        <v>-0.37190839999999997</v>
      </c>
      <c r="J62">
        <v>0.42160143999999999</v>
      </c>
    </row>
    <row r="63" spans="1:10" x14ac:dyDescent="0.3">
      <c r="A63">
        <v>61</v>
      </c>
      <c r="B63">
        <v>1261</v>
      </c>
      <c r="C63" t="b">
        <v>1</v>
      </c>
      <c r="D63">
        <v>8169</v>
      </c>
      <c r="E63">
        <v>8152</v>
      </c>
      <c r="F63">
        <v>299.2</v>
      </c>
      <c r="G63">
        <v>218.33332999999999</v>
      </c>
      <c r="H63">
        <v>1.3703817</v>
      </c>
      <c r="I63">
        <v>-0.37038177</v>
      </c>
      <c r="J63">
        <v>0.42187297000000001</v>
      </c>
    </row>
    <row r="64" spans="1:10" x14ac:dyDescent="0.3">
      <c r="A64">
        <v>62</v>
      </c>
      <c r="B64">
        <v>1277</v>
      </c>
      <c r="C64" t="b">
        <v>1</v>
      </c>
      <c r="D64">
        <v>8117</v>
      </c>
      <c r="E64">
        <v>8129</v>
      </c>
      <c r="F64">
        <v>298.46667000000002</v>
      </c>
      <c r="G64">
        <v>217.93333000000001</v>
      </c>
      <c r="H64">
        <v>1.369532</v>
      </c>
      <c r="I64">
        <v>-0.36953200000000003</v>
      </c>
      <c r="J64">
        <v>0.42202424999999999</v>
      </c>
    </row>
    <row r="65" spans="1:10" x14ac:dyDescent="0.3">
      <c r="A65">
        <v>63</v>
      </c>
      <c r="B65">
        <v>1292</v>
      </c>
      <c r="C65" t="b">
        <v>1</v>
      </c>
      <c r="D65">
        <v>8146</v>
      </c>
      <c r="E65">
        <v>8140</v>
      </c>
      <c r="F65">
        <v>297.73334</v>
      </c>
      <c r="G65">
        <v>217.93333000000001</v>
      </c>
      <c r="H65">
        <v>1.3661671</v>
      </c>
      <c r="I65">
        <v>-0.36616704</v>
      </c>
      <c r="J65">
        <v>0.42262440000000001</v>
      </c>
    </row>
    <row r="66" spans="1:10" x14ac:dyDescent="0.3">
      <c r="A66">
        <v>64</v>
      </c>
      <c r="B66">
        <v>1309</v>
      </c>
      <c r="C66" t="b">
        <v>1</v>
      </c>
      <c r="D66">
        <v>8169</v>
      </c>
      <c r="E66">
        <v>8146</v>
      </c>
      <c r="F66">
        <v>298.46667000000002</v>
      </c>
      <c r="G66">
        <v>218.33332999999999</v>
      </c>
      <c r="H66">
        <v>1.3670230000000001</v>
      </c>
      <c r="I66">
        <v>-0.36702296000000001</v>
      </c>
      <c r="J66">
        <v>0.4224716</v>
      </c>
    </row>
    <row r="67" spans="1:10" x14ac:dyDescent="0.3">
      <c r="A67">
        <v>65</v>
      </c>
      <c r="B67">
        <v>1324</v>
      </c>
      <c r="C67" t="b">
        <v>1</v>
      </c>
      <c r="D67">
        <v>8129</v>
      </c>
      <c r="E67">
        <v>8134</v>
      </c>
      <c r="F67">
        <v>298.46667000000002</v>
      </c>
      <c r="G67">
        <v>218.33332999999999</v>
      </c>
      <c r="H67">
        <v>1.3670230000000001</v>
      </c>
      <c r="I67">
        <v>-0.36702296000000001</v>
      </c>
      <c r="J67">
        <v>0.4224716</v>
      </c>
    </row>
    <row r="68" spans="1:10" x14ac:dyDescent="0.3">
      <c r="A68">
        <v>66</v>
      </c>
      <c r="B68">
        <v>1340</v>
      </c>
      <c r="C68" t="b">
        <v>1</v>
      </c>
      <c r="D68">
        <v>8163</v>
      </c>
      <c r="E68">
        <v>8134</v>
      </c>
      <c r="F68">
        <v>298.46667000000002</v>
      </c>
      <c r="G68">
        <v>217.93333000000001</v>
      </c>
      <c r="H68">
        <v>1.369532</v>
      </c>
      <c r="I68">
        <v>-0.36953200000000003</v>
      </c>
      <c r="J68">
        <v>0.42202424999999999</v>
      </c>
    </row>
    <row r="69" spans="1:10" x14ac:dyDescent="0.3">
      <c r="A69">
        <v>67</v>
      </c>
      <c r="B69">
        <v>1357</v>
      </c>
      <c r="C69" t="b">
        <v>1</v>
      </c>
      <c r="D69">
        <v>8169</v>
      </c>
      <c r="E69">
        <v>8146</v>
      </c>
      <c r="F69">
        <v>299.60000000000002</v>
      </c>
      <c r="G69">
        <v>218.66667000000001</v>
      </c>
      <c r="H69">
        <v>1.3701220000000001</v>
      </c>
      <c r="I69">
        <v>-0.37012196000000003</v>
      </c>
      <c r="J69">
        <v>0.42191922999999998</v>
      </c>
    </row>
    <row r="70" spans="1:10" x14ac:dyDescent="0.3">
      <c r="A70">
        <v>68</v>
      </c>
      <c r="B70">
        <v>1372</v>
      </c>
      <c r="C70" t="b">
        <v>1</v>
      </c>
      <c r="D70">
        <v>8152</v>
      </c>
      <c r="E70">
        <v>8152</v>
      </c>
      <c r="F70">
        <v>300.73334</v>
      </c>
      <c r="G70">
        <v>219.8</v>
      </c>
      <c r="H70">
        <v>1.3682135</v>
      </c>
      <c r="I70">
        <v>-0.36821353000000001</v>
      </c>
      <c r="J70">
        <v>0.42225923999999998</v>
      </c>
    </row>
    <row r="71" spans="1:10" x14ac:dyDescent="0.3">
      <c r="A71">
        <v>69</v>
      </c>
      <c r="B71">
        <v>1388</v>
      </c>
      <c r="C71" t="b">
        <v>1</v>
      </c>
      <c r="D71">
        <v>8140</v>
      </c>
      <c r="E71">
        <v>8164</v>
      </c>
      <c r="F71">
        <v>301.13333</v>
      </c>
      <c r="G71">
        <v>220.93333000000001</v>
      </c>
      <c r="H71">
        <v>1.3630054</v>
      </c>
      <c r="I71">
        <v>-0.36300543000000002</v>
      </c>
      <c r="J71">
        <v>0.42318990000000001</v>
      </c>
    </row>
    <row r="72" spans="1:10" x14ac:dyDescent="0.3">
      <c r="A72">
        <v>70</v>
      </c>
      <c r="B72">
        <v>1404</v>
      </c>
      <c r="C72" t="b">
        <v>1</v>
      </c>
      <c r="D72">
        <v>8152</v>
      </c>
      <c r="E72">
        <v>8129</v>
      </c>
      <c r="F72">
        <v>301.53332999999998</v>
      </c>
      <c r="G72">
        <v>222.06666999999999</v>
      </c>
      <c r="H72">
        <v>1.3578504</v>
      </c>
      <c r="I72">
        <v>-0.35785045999999998</v>
      </c>
      <c r="J72">
        <v>0.42411512000000001</v>
      </c>
    </row>
    <row r="73" spans="1:10" x14ac:dyDescent="0.3">
      <c r="A73">
        <v>71</v>
      </c>
      <c r="B73">
        <v>1420</v>
      </c>
      <c r="C73" t="b">
        <v>1</v>
      </c>
      <c r="D73">
        <v>8146</v>
      </c>
      <c r="E73">
        <v>8129</v>
      </c>
      <c r="F73">
        <v>301.93331999999998</v>
      </c>
      <c r="G73">
        <v>223.2</v>
      </c>
      <c r="H73">
        <v>1.3527479</v>
      </c>
      <c r="I73">
        <v>-0.35274786000000002</v>
      </c>
      <c r="J73">
        <v>0.42503494000000003</v>
      </c>
    </row>
    <row r="74" spans="1:10" x14ac:dyDescent="0.3">
      <c r="A74">
        <v>72</v>
      </c>
      <c r="B74">
        <v>1436</v>
      </c>
      <c r="C74" t="b">
        <v>1</v>
      </c>
      <c r="D74">
        <v>8152</v>
      </c>
      <c r="E74">
        <v>8140</v>
      </c>
      <c r="F74">
        <v>304.26666</v>
      </c>
      <c r="G74">
        <v>223.93333000000001</v>
      </c>
      <c r="H74">
        <v>1.3587377</v>
      </c>
      <c r="I74">
        <v>-0.35873769999999999</v>
      </c>
      <c r="J74">
        <v>0.42395556000000001</v>
      </c>
    </row>
    <row r="75" spans="1:10" x14ac:dyDescent="0.3">
      <c r="A75">
        <v>73</v>
      </c>
      <c r="B75">
        <v>1452</v>
      </c>
      <c r="C75" t="b">
        <v>1</v>
      </c>
      <c r="D75">
        <v>8135</v>
      </c>
      <c r="E75">
        <v>8152</v>
      </c>
      <c r="F75">
        <v>306.2</v>
      </c>
      <c r="G75">
        <v>224.66667000000001</v>
      </c>
      <c r="H75">
        <v>1.362908</v>
      </c>
      <c r="I75">
        <v>-0.36290803999999999</v>
      </c>
      <c r="J75">
        <v>0.42320730000000001</v>
      </c>
    </row>
    <row r="76" spans="1:10" x14ac:dyDescent="0.3">
      <c r="A76">
        <v>74</v>
      </c>
      <c r="B76">
        <v>1467</v>
      </c>
      <c r="C76" t="b">
        <v>1</v>
      </c>
      <c r="D76">
        <v>8169</v>
      </c>
      <c r="E76">
        <v>8123</v>
      </c>
      <c r="F76">
        <v>307.33334000000002</v>
      </c>
      <c r="G76">
        <v>224.66667000000001</v>
      </c>
      <c r="H76">
        <v>1.3679526</v>
      </c>
      <c r="I76">
        <v>-0.36795253</v>
      </c>
      <c r="J76">
        <v>0.42230575999999997</v>
      </c>
    </row>
    <row r="77" spans="1:10" x14ac:dyDescent="0.3">
      <c r="A77">
        <v>75</v>
      </c>
      <c r="B77">
        <v>1499</v>
      </c>
      <c r="C77" t="b">
        <v>1</v>
      </c>
      <c r="D77">
        <v>8152</v>
      </c>
      <c r="E77">
        <v>8146</v>
      </c>
      <c r="F77">
        <v>308.46667000000002</v>
      </c>
      <c r="G77">
        <v>225.06666999999999</v>
      </c>
      <c r="H77">
        <v>1.370557</v>
      </c>
      <c r="I77">
        <v>-0.37055692000000001</v>
      </c>
      <c r="J77">
        <v>0.42184179999999999</v>
      </c>
    </row>
    <row r="78" spans="1:10" x14ac:dyDescent="0.3">
      <c r="A78">
        <v>76</v>
      </c>
      <c r="B78">
        <v>1530</v>
      </c>
      <c r="C78" t="b">
        <v>1</v>
      </c>
      <c r="D78">
        <v>8135</v>
      </c>
      <c r="E78">
        <v>8146</v>
      </c>
      <c r="F78">
        <v>309.60000000000002</v>
      </c>
      <c r="G78">
        <v>225.86667</v>
      </c>
      <c r="H78">
        <v>1.3707201</v>
      </c>
      <c r="I78">
        <v>-0.3707202</v>
      </c>
      <c r="J78">
        <v>0.42181274000000002</v>
      </c>
    </row>
    <row r="79" spans="1:10" x14ac:dyDescent="0.3">
      <c r="A79">
        <v>77</v>
      </c>
      <c r="B79">
        <v>1562</v>
      </c>
      <c r="C79" t="b">
        <v>1</v>
      </c>
      <c r="D79">
        <v>8135</v>
      </c>
      <c r="E79">
        <v>8123</v>
      </c>
      <c r="F79">
        <v>309.60000000000002</v>
      </c>
      <c r="G79">
        <v>226.66667000000001</v>
      </c>
      <c r="H79">
        <v>1.3658824000000001</v>
      </c>
      <c r="I79">
        <v>-0.36588233999999997</v>
      </c>
      <c r="J79">
        <v>0.42267529999999998</v>
      </c>
    </row>
    <row r="80" spans="1:10" x14ac:dyDescent="0.3">
      <c r="A80">
        <v>78</v>
      </c>
      <c r="B80">
        <v>1578</v>
      </c>
      <c r="C80" t="b">
        <v>1</v>
      </c>
      <c r="D80">
        <v>8083</v>
      </c>
      <c r="E80">
        <v>8140</v>
      </c>
      <c r="F80">
        <v>309.60000000000002</v>
      </c>
      <c r="G80">
        <v>226.66667000000001</v>
      </c>
      <c r="H80">
        <v>1.3658824000000001</v>
      </c>
      <c r="I80">
        <v>-0.36588233999999997</v>
      </c>
      <c r="J80">
        <v>0.42267529999999998</v>
      </c>
    </row>
    <row r="81" spans="1:10" x14ac:dyDescent="0.3">
      <c r="A81">
        <v>79</v>
      </c>
      <c r="B81">
        <v>1594</v>
      </c>
      <c r="C81" t="b">
        <v>1</v>
      </c>
      <c r="D81">
        <v>8152</v>
      </c>
      <c r="E81">
        <v>8134</v>
      </c>
      <c r="F81">
        <v>308.86667</v>
      </c>
      <c r="G81">
        <v>226.26666</v>
      </c>
      <c r="H81">
        <v>1.365056</v>
      </c>
      <c r="I81">
        <v>-0.36505599999999999</v>
      </c>
      <c r="J81">
        <v>0.42282298000000001</v>
      </c>
    </row>
    <row r="82" spans="1:10" x14ac:dyDescent="0.3">
      <c r="A82">
        <v>80</v>
      </c>
      <c r="B82">
        <v>1626</v>
      </c>
      <c r="C82" t="b">
        <v>1</v>
      </c>
      <c r="D82">
        <v>8146</v>
      </c>
      <c r="E82">
        <v>8134</v>
      </c>
      <c r="F82">
        <v>308.13333</v>
      </c>
      <c r="G82">
        <v>225.86667</v>
      </c>
      <c r="H82">
        <v>1.3642266999999999</v>
      </c>
      <c r="I82">
        <v>-0.36422666999999997</v>
      </c>
      <c r="J82">
        <v>0.42297128000000001</v>
      </c>
    </row>
    <row r="83" spans="1:10" x14ac:dyDescent="0.3">
      <c r="A83">
        <v>81</v>
      </c>
      <c r="B83">
        <v>1642</v>
      </c>
      <c r="C83" t="b">
        <v>1</v>
      </c>
      <c r="D83">
        <v>8152</v>
      </c>
      <c r="E83">
        <v>8140</v>
      </c>
      <c r="F83">
        <v>308.13333</v>
      </c>
      <c r="G83">
        <v>225.86667</v>
      </c>
      <c r="H83">
        <v>1.3642266999999999</v>
      </c>
      <c r="I83">
        <v>-0.36422666999999997</v>
      </c>
      <c r="J83">
        <v>0.42297128000000001</v>
      </c>
    </row>
    <row r="84" spans="1:10" x14ac:dyDescent="0.3">
      <c r="A84">
        <v>82</v>
      </c>
      <c r="B84">
        <v>1657</v>
      </c>
      <c r="C84" t="b">
        <v>1</v>
      </c>
      <c r="D84">
        <v>8140</v>
      </c>
      <c r="E84">
        <v>8129</v>
      </c>
      <c r="F84">
        <v>307</v>
      </c>
      <c r="G84">
        <v>225.46665999999999</v>
      </c>
      <c r="H84">
        <v>1.3616204000000001</v>
      </c>
      <c r="I84">
        <v>-0.36162040000000001</v>
      </c>
      <c r="J84">
        <v>0.42343807</v>
      </c>
    </row>
    <row r="85" spans="1:10" x14ac:dyDescent="0.3">
      <c r="A85">
        <v>83</v>
      </c>
      <c r="B85">
        <v>1673</v>
      </c>
      <c r="C85" t="b">
        <v>1</v>
      </c>
      <c r="D85">
        <v>8100</v>
      </c>
      <c r="E85">
        <v>8152</v>
      </c>
      <c r="F85">
        <v>305.86667</v>
      </c>
      <c r="G85">
        <v>224.66667000000001</v>
      </c>
      <c r="H85">
        <v>1.3614242999999999</v>
      </c>
      <c r="I85">
        <v>-0.36142429999999998</v>
      </c>
      <c r="J85">
        <v>0.42347323999999997</v>
      </c>
    </row>
    <row r="86" spans="1:10" x14ac:dyDescent="0.3">
      <c r="A86">
        <v>84</v>
      </c>
      <c r="B86">
        <v>1689</v>
      </c>
      <c r="C86" t="b">
        <v>1</v>
      </c>
      <c r="D86">
        <v>8100</v>
      </c>
      <c r="E86">
        <v>8111</v>
      </c>
      <c r="F86">
        <v>305.06668000000002</v>
      </c>
      <c r="G86">
        <v>223.86667</v>
      </c>
      <c r="H86">
        <v>1.362716</v>
      </c>
      <c r="I86">
        <v>-0.36271596</v>
      </c>
      <c r="J86">
        <v>0.42324172999999998</v>
      </c>
    </row>
    <row r="87" spans="1:10" x14ac:dyDescent="0.3">
      <c r="A87">
        <v>85</v>
      </c>
      <c r="B87">
        <v>1705</v>
      </c>
      <c r="C87" t="b">
        <v>1</v>
      </c>
      <c r="D87">
        <v>8129</v>
      </c>
      <c r="E87">
        <v>8129</v>
      </c>
      <c r="F87">
        <v>303.53332999999998</v>
      </c>
      <c r="G87">
        <v>222.73334</v>
      </c>
      <c r="H87">
        <v>1.3627655999999999</v>
      </c>
      <c r="I87">
        <v>-0.36276557999999998</v>
      </c>
      <c r="J87">
        <v>0.42323284999999999</v>
      </c>
    </row>
    <row r="88" spans="1:10" x14ac:dyDescent="0.3">
      <c r="A88">
        <v>86</v>
      </c>
      <c r="B88">
        <v>1721</v>
      </c>
      <c r="C88" t="b">
        <v>1</v>
      </c>
      <c r="D88">
        <v>8135</v>
      </c>
      <c r="E88">
        <v>8129</v>
      </c>
      <c r="F88">
        <v>302</v>
      </c>
      <c r="G88">
        <v>221.6</v>
      </c>
      <c r="H88">
        <v>1.3628159</v>
      </c>
      <c r="I88">
        <v>-0.36281585999999999</v>
      </c>
      <c r="J88">
        <v>0.42322385000000001</v>
      </c>
    </row>
    <row r="89" spans="1:10" x14ac:dyDescent="0.3">
      <c r="A89">
        <v>87</v>
      </c>
      <c r="B89">
        <v>1737</v>
      </c>
      <c r="C89" t="b">
        <v>1</v>
      </c>
      <c r="D89">
        <v>8146</v>
      </c>
      <c r="E89">
        <v>8134</v>
      </c>
      <c r="F89">
        <v>300.46667000000002</v>
      </c>
      <c r="G89">
        <v>220.86667</v>
      </c>
      <c r="H89">
        <v>1.3603984</v>
      </c>
      <c r="I89">
        <v>-0.36039843999999999</v>
      </c>
      <c r="J89">
        <v>0.42365726999999997</v>
      </c>
    </row>
    <row r="90" spans="1:10" x14ac:dyDescent="0.3">
      <c r="A90">
        <v>88</v>
      </c>
      <c r="B90">
        <v>1753</v>
      </c>
      <c r="C90" t="b">
        <v>1</v>
      </c>
      <c r="D90">
        <v>8140</v>
      </c>
      <c r="E90">
        <v>8129</v>
      </c>
      <c r="F90">
        <v>299.73334</v>
      </c>
      <c r="G90">
        <v>220.13333</v>
      </c>
      <c r="H90">
        <v>1.3615991000000001</v>
      </c>
      <c r="I90">
        <v>-0.36159906000000003</v>
      </c>
      <c r="J90">
        <v>0.42344189999999998</v>
      </c>
    </row>
    <row r="91" spans="1:10" x14ac:dyDescent="0.3">
      <c r="A91">
        <v>89</v>
      </c>
      <c r="B91">
        <v>1769</v>
      </c>
      <c r="C91" t="b">
        <v>1</v>
      </c>
      <c r="D91">
        <v>8152</v>
      </c>
      <c r="E91">
        <v>8129</v>
      </c>
      <c r="F91">
        <v>298.93331999999998</v>
      </c>
      <c r="G91">
        <v>220.13333</v>
      </c>
      <c r="H91">
        <v>1.3579649</v>
      </c>
      <c r="I91">
        <v>-0.35796480000000003</v>
      </c>
      <c r="J91">
        <v>0.42409453000000003</v>
      </c>
    </row>
    <row r="92" spans="1:10" x14ac:dyDescent="0.3">
      <c r="A92">
        <v>90</v>
      </c>
      <c r="B92">
        <v>1800</v>
      </c>
      <c r="C92" t="b">
        <v>1</v>
      </c>
      <c r="D92">
        <v>8146</v>
      </c>
      <c r="E92">
        <v>8129</v>
      </c>
      <c r="F92">
        <v>298.53332999999998</v>
      </c>
      <c r="G92">
        <v>219.4</v>
      </c>
      <c r="H92">
        <v>1.3606807000000001</v>
      </c>
      <c r="I92">
        <v>-0.36068064</v>
      </c>
      <c r="J92">
        <v>0.4236066</v>
      </c>
    </row>
    <row r="93" spans="1:10" x14ac:dyDescent="0.3">
      <c r="A93">
        <v>91</v>
      </c>
      <c r="B93">
        <v>1831</v>
      </c>
      <c r="C93" t="b">
        <v>1</v>
      </c>
      <c r="D93">
        <v>8135</v>
      </c>
      <c r="E93">
        <v>8134</v>
      </c>
      <c r="F93">
        <v>298.13333</v>
      </c>
      <c r="G93">
        <v>218.26666</v>
      </c>
      <c r="H93">
        <v>1.3659133000000001</v>
      </c>
      <c r="I93">
        <v>-0.36591327000000001</v>
      </c>
      <c r="J93">
        <v>0.42266974000000002</v>
      </c>
    </row>
    <row r="94" spans="1:10" x14ac:dyDescent="0.3">
      <c r="A94">
        <v>92</v>
      </c>
      <c r="B94">
        <v>1847</v>
      </c>
      <c r="C94" t="b">
        <v>1</v>
      </c>
      <c r="D94">
        <v>8129</v>
      </c>
      <c r="E94">
        <v>8152</v>
      </c>
      <c r="F94">
        <v>298.46667000000002</v>
      </c>
      <c r="G94">
        <v>217.13333</v>
      </c>
      <c r="H94">
        <v>1.3745779</v>
      </c>
      <c r="I94">
        <v>-0.37457787999999997</v>
      </c>
      <c r="J94">
        <v>0.42112749999999999</v>
      </c>
    </row>
    <row r="95" spans="1:10" x14ac:dyDescent="0.3">
      <c r="A95">
        <v>93</v>
      </c>
      <c r="B95">
        <v>1879</v>
      </c>
      <c r="C95" t="b">
        <v>1</v>
      </c>
      <c r="D95">
        <v>8140</v>
      </c>
      <c r="E95">
        <v>8146</v>
      </c>
      <c r="F95">
        <v>298.8</v>
      </c>
      <c r="G95">
        <v>216.73334</v>
      </c>
      <c r="H95">
        <v>1.3786527</v>
      </c>
      <c r="I95">
        <v>-0.37865262999999999</v>
      </c>
      <c r="J95">
        <v>0.42040607000000002</v>
      </c>
    </row>
    <row r="96" spans="1:10" x14ac:dyDescent="0.3">
      <c r="A96">
        <v>94</v>
      </c>
      <c r="B96">
        <v>1911</v>
      </c>
      <c r="C96" t="b">
        <v>1</v>
      </c>
      <c r="D96">
        <v>8129</v>
      </c>
      <c r="E96">
        <v>8140</v>
      </c>
      <c r="F96">
        <v>298.8</v>
      </c>
      <c r="G96">
        <v>216.73334</v>
      </c>
      <c r="H96">
        <v>1.3786527</v>
      </c>
      <c r="I96">
        <v>-0.37865262999999999</v>
      </c>
      <c r="J96">
        <v>0.42040607000000002</v>
      </c>
    </row>
    <row r="97" spans="1:10" x14ac:dyDescent="0.3">
      <c r="A97">
        <v>95</v>
      </c>
      <c r="B97">
        <v>1927</v>
      </c>
      <c r="C97" t="b">
        <v>1</v>
      </c>
      <c r="D97">
        <v>8158</v>
      </c>
      <c r="E97">
        <v>8146</v>
      </c>
      <c r="F97">
        <v>298.8</v>
      </c>
      <c r="G97">
        <v>217.53334000000001</v>
      </c>
      <c r="H97">
        <v>1.3735824999999999</v>
      </c>
      <c r="I97">
        <v>-0.37358247999999999</v>
      </c>
      <c r="J97">
        <v>0.42130410000000001</v>
      </c>
    </row>
    <row r="98" spans="1:10" x14ac:dyDescent="0.3">
      <c r="A98">
        <v>96</v>
      </c>
      <c r="B98">
        <v>1943</v>
      </c>
      <c r="C98" t="b">
        <v>1</v>
      </c>
      <c r="D98">
        <v>8169</v>
      </c>
      <c r="E98">
        <v>8117</v>
      </c>
      <c r="F98">
        <v>298.39999999999998</v>
      </c>
      <c r="G98">
        <v>218.33332999999999</v>
      </c>
      <c r="H98">
        <v>1.3667176000000001</v>
      </c>
      <c r="I98">
        <v>-0.36671755</v>
      </c>
      <c r="J98">
        <v>0.42252612000000001</v>
      </c>
    </row>
    <row r="99" spans="1:10" x14ac:dyDescent="0.3">
      <c r="A99">
        <v>97</v>
      </c>
      <c r="B99">
        <v>1959</v>
      </c>
      <c r="C99" t="b">
        <v>1</v>
      </c>
      <c r="D99">
        <v>8135</v>
      </c>
      <c r="E99">
        <v>8129</v>
      </c>
      <c r="F99">
        <v>298</v>
      </c>
      <c r="G99">
        <v>218.73334</v>
      </c>
      <c r="H99">
        <v>1.3623894000000001</v>
      </c>
      <c r="I99">
        <v>-0.36238949999999998</v>
      </c>
      <c r="J99">
        <v>0.42330023999999999</v>
      </c>
    </row>
    <row r="100" spans="1:10" x14ac:dyDescent="0.3">
      <c r="A100">
        <v>98</v>
      </c>
      <c r="B100">
        <v>1975</v>
      </c>
      <c r="C100" t="b">
        <v>1</v>
      </c>
      <c r="D100">
        <v>8129</v>
      </c>
      <c r="E100">
        <v>8129</v>
      </c>
      <c r="F100">
        <v>297.26666</v>
      </c>
      <c r="G100">
        <v>218.4</v>
      </c>
      <c r="H100">
        <v>1.3611112000000001</v>
      </c>
      <c r="I100">
        <v>-0.36111113</v>
      </c>
      <c r="J100">
        <v>0.42352944999999997</v>
      </c>
    </row>
    <row r="101" spans="1:10" x14ac:dyDescent="0.3">
      <c r="A101">
        <v>99</v>
      </c>
      <c r="B101">
        <v>2006</v>
      </c>
      <c r="C101" t="b">
        <v>1</v>
      </c>
      <c r="D101">
        <v>8158</v>
      </c>
      <c r="E101">
        <v>8140</v>
      </c>
      <c r="F101">
        <v>298.46667000000002</v>
      </c>
      <c r="G101">
        <v>218.06666999999999</v>
      </c>
      <c r="H101">
        <v>1.3686947</v>
      </c>
      <c r="I101">
        <v>-0.36869463000000002</v>
      </c>
      <c r="J101">
        <v>0.42217347</v>
      </c>
    </row>
    <row r="102" spans="1:10" x14ac:dyDescent="0.3">
      <c r="A102">
        <v>100</v>
      </c>
      <c r="B102">
        <v>2021</v>
      </c>
      <c r="C102" t="b">
        <v>1</v>
      </c>
      <c r="D102">
        <v>8123</v>
      </c>
      <c r="E102">
        <v>8123</v>
      </c>
      <c r="F102">
        <v>298.86667</v>
      </c>
      <c r="G102">
        <v>218.06666999999999</v>
      </c>
      <c r="H102">
        <v>1.3705289</v>
      </c>
      <c r="I102">
        <v>-0.37052889999999999</v>
      </c>
      <c r="J102">
        <v>0.42184677999999998</v>
      </c>
    </row>
    <row r="103" spans="1:10" x14ac:dyDescent="0.3">
      <c r="A103">
        <v>101</v>
      </c>
      <c r="B103">
        <v>2037</v>
      </c>
      <c r="C103" t="b">
        <v>1</v>
      </c>
      <c r="D103">
        <v>8152</v>
      </c>
      <c r="E103">
        <v>8123</v>
      </c>
      <c r="F103">
        <v>299.26666</v>
      </c>
      <c r="G103">
        <v>218.06666999999999</v>
      </c>
      <c r="H103">
        <v>1.3723631999999999</v>
      </c>
      <c r="I103">
        <v>-0.37236318000000002</v>
      </c>
      <c r="J103">
        <v>0.42152062000000001</v>
      </c>
    </row>
    <row r="104" spans="1:10" x14ac:dyDescent="0.3">
      <c r="A104">
        <v>102</v>
      </c>
      <c r="B104">
        <v>2053</v>
      </c>
      <c r="C104" t="b">
        <v>1</v>
      </c>
      <c r="D104">
        <v>8129</v>
      </c>
      <c r="E104">
        <v>8123</v>
      </c>
      <c r="F104">
        <v>299.26666</v>
      </c>
      <c r="G104">
        <v>217.66667000000001</v>
      </c>
      <c r="H104">
        <v>1.3748851</v>
      </c>
      <c r="I104">
        <v>-0.37488507999999998</v>
      </c>
      <c r="J104">
        <v>0.42107299999999998</v>
      </c>
    </row>
    <row r="105" spans="1:10" x14ac:dyDescent="0.3">
      <c r="A105">
        <v>103</v>
      </c>
      <c r="B105">
        <v>2069</v>
      </c>
      <c r="C105" t="b">
        <v>1</v>
      </c>
      <c r="D105">
        <v>8146</v>
      </c>
      <c r="E105">
        <v>8111</v>
      </c>
      <c r="F105">
        <v>300</v>
      </c>
      <c r="G105">
        <v>217.26666</v>
      </c>
      <c r="H105">
        <v>1.3807917000000001</v>
      </c>
      <c r="I105">
        <v>-0.38079170000000001</v>
      </c>
      <c r="J105">
        <v>0.42002835999999999</v>
      </c>
    </row>
    <row r="106" spans="1:10" x14ac:dyDescent="0.3">
      <c r="A106">
        <v>104</v>
      </c>
      <c r="B106">
        <v>2085</v>
      </c>
      <c r="C106" t="b">
        <v>1</v>
      </c>
      <c r="D106">
        <v>8106</v>
      </c>
      <c r="E106">
        <v>8140</v>
      </c>
      <c r="F106">
        <v>299.26666</v>
      </c>
      <c r="G106">
        <v>216.86667</v>
      </c>
      <c r="H106">
        <v>1.3799570000000001</v>
      </c>
      <c r="I106">
        <v>-0.37995693000000003</v>
      </c>
      <c r="J106">
        <v>0.42017569999999999</v>
      </c>
    </row>
    <row r="107" spans="1:10" x14ac:dyDescent="0.3">
      <c r="A107">
        <v>105</v>
      </c>
      <c r="B107">
        <v>2100</v>
      </c>
      <c r="C107" t="b">
        <v>1</v>
      </c>
      <c r="D107">
        <v>8152</v>
      </c>
      <c r="E107">
        <v>8152</v>
      </c>
      <c r="F107">
        <v>299.26666</v>
      </c>
      <c r="G107">
        <v>216.46665999999999</v>
      </c>
      <c r="H107">
        <v>1.3825069999999999</v>
      </c>
      <c r="I107">
        <v>-0.38250697</v>
      </c>
      <c r="J107">
        <v>0.41972591999999997</v>
      </c>
    </row>
    <row r="108" spans="1:10" x14ac:dyDescent="0.3">
      <c r="A108">
        <v>106</v>
      </c>
      <c r="B108">
        <v>2133</v>
      </c>
      <c r="C108" t="b">
        <v>1</v>
      </c>
      <c r="D108">
        <v>8152</v>
      </c>
      <c r="E108">
        <v>8117</v>
      </c>
      <c r="F108">
        <v>299.26666</v>
      </c>
      <c r="G108">
        <v>216.06666999999999</v>
      </c>
      <c r="H108">
        <v>1.3850663000000001</v>
      </c>
      <c r="I108">
        <v>-0.38506633000000001</v>
      </c>
      <c r="J108">
        <v>0.41927555</v>
      </c>
    </row>
    <row r="109" spans="1:10" x14ac:dyDescent="0.3">
      <c r="A109">
        <v>107</v>
      </c>
      <c r="B109">
        <v>2164</v>
      </c>
      <c r="C109" t="b">
        <v>1</v>
      </c>
      <c r="D109">
        <v>8100</v>
      </c>
      <c r="E109">
        <v>8146</v>
      </c>
      <c r="F109">
        <v>299.66665999999998</v>
      </c>
      <c r="G109">
        <v>216.8</v>
      </c>
      <c r="H109">
        <v>1.3822262000000001</v>
      </c>
      <c r="I109">
        <v>-0.38222625999999998</v>
      </c>
      <c r="J109">
        <v>0.41977540000000002</v>
      </c>
    </row>
    <row r="110" spans="1:10" x14ac:dyDescent="0.3">
      <c r="A110">
        <v>108</v>
      </c>
      <c r="B110">
        <v>2196</v>
      </c>
      <c r="C110" t="b">
        <v>1</v>
      </c>
      <c r="D110">
        <v>8140</v>
      </c>
      <c r="E110">
        <v>8146</v>
      </c>
      <c r="F110">
        <v>299.66665999999998</v>
      </c>
      <c r="G110">
        <v>217.6</v>
      </c>
      <c r="H110">
        <v>1.3771446000000001</v>
      </c>
      <c r="I110">
        <v>-0.37714451999999998</v>
      </c>
      <c r="J110">
        <v>0.42067276999999997</v>
      </c>
    </row>
    <row r="111" spans="1:10" x14ac:dyDescent="0.3">
      <c r="A111">
        <v>109</v>
      </c>
      <c r="B111">
        <v>2227</v>
      </c>
      <c r="C111" t="b">
        <v>1</v>
      </c>
      <c r="D111">
        <v>8163</v>
      </c>
      <c r="E111">
        <v>8123</v>
      </c>
      <c r="F111">
        <v>300.8</v>
      </c>
      <c r="G111">
        <v>218</v>
      </c>
      <c r="H111">
        <v>1.3798163999999999</v>
      </c>
      <c r="I111">
        <v>-0.37981647000000002</v>
      </c>
      <c r="J111">
        <v>0.42020046999999999</v>
      </c>
    </row>
    <row r="112" spans="1:10" x14ac:dyDescent="0.3">
      <c r="A112">
        <v>110</v>
      </c>
      <c r="B112">
        <v>2243</v>
      </c>
      <c r="C112" t="b">
        <v>1</v>
      </c>
      <c r="D112">
        <v>8152</v>
      </c>
      <c r="E112">
        <v>8134</v>
      </c>
      <c r="F112">
        <v>301.93331999999998</v>
      </c>
      <c r="G112">
        <v>217.2</v>
      </c>
      <c r="H112">
        <v>1.3901166</v>
      </c>
      <c r="I112">
        <v>-0.39011659999999998</v>
      </c>
      <c r="J112">
        <v>0.41838965</v>
      </c>
    </row>
    <row r="113" spans="1:10" x14ac:dyDescent="0.3">
      <c r="A113">
        <v>111</v>
      </c>
      <c r="B113">
        <v>2259</v>
      </c>
      <c r="C113" t="b">
        <v>1</v>
      </c>
      <c r="D113">
        <v>8186</v>
      </c>
      <c r="E113">
        <v>8134</v>
      </c>
      <c r="F113">
        <v>302.73334</v>
      </c>
      <c r="G113">
        <v>216.4</v>
      </c>
      <c r="H113">
        <v>1.3989526000000001</v>
      </c>
      <c r="I113">
        <v>-0.39895259999999999</v>
      </c>
      <c r="J113">
        <v>0.41684860000000001</v>
      </c>
    </row>
    <row r="114" spans="1:10" x14ac:dyDescent="0.3">
      <c r="A114">
        <v>112</v>
      </c>
      <c r="B114">
        <v>2275</v>
      </c>
      <c r="C114" t="b">
        <v>1</v>
      </c>
      <c r="D114">
        <v>8146</v>
      </c>
      <c r="E114">
        <v>8140</v>
      </c>
      <c r="F114">
        <v>303.53332999999998</v>
      </c>
      <c r="G114">
        <v>216</v>
      </c>
      <c r="H114">
        <v>1.4052469000000001</v>
      </c>
      <c r="I114">
        <v>-0.40524687999999998</v>
      </c>
      <c r="J114">
        <v>0.41575774999999998</v>
      </c>
    </row>
    <row r="115" spans="1:10" x14ac:dyDescent="0.3">
      <c r="A115">
        <v>113</v>
      </c>
      <c r="B115">
        <v>2291</v>
      </c>
      <c r="C115" t="b">
        <v>1</v>
      </c>
      <c r="D115">
        <v>8158</v>
      </c>
      <c r="E115">
        <v>8152</v>
      </c>
      <c r="F115">
        <v>305.06668000000002</v>
      </c>
      <c r="G115">
        <v>216.33332999999999</v>
      </c>
      <c r="H115">
        <v>1.4101695999999999</v>
      </c>
      <c r="I115">
        <v>-0.41016960000000002</v>
      </c>
      <c r="J115">
        <v>0.41490855999999998</v>
      </c>
    </row>
    <row r="116" spans="1:10" x14ac:dyDescent="0.3">
      <c r="A116">
        <v>114</v>
      </c>
      <c r="B116">
        <v>2307</v>
      </c>
      <c r="C116" t="b">
        <v>1</v>
      </c>
      <c r="D116">
        <v>8152</v>
      </c>
      <c r="E116">
        <v>8146</v>
      </c>
      <c r="F116">
        <v>304.66665999999998</v>
      </c>
      <c r="G116">
        <v>217.06666999999999</v>
      </c>
      <c r="H116">
        <v>1.4035626999999999</v>
      </c>
      <c r="I116">
        <v>-0.40356259999999999</v>
      </c>
      <c r="J116">
        <v>0.41604906000000003</v>
      </c>
    </row>
    <row r="117" spans="1:10" x14ac:dyDescent="0.3">
      <c r="A117">
        <v>115</v>
      </c>
      <c r="B117">
        <v>2323</v>
      </c>
      <c r="C117" t="b">
        <v>1</v>
      </c>
      <c r="D117">
        <v>8123</v>
      </c>
      <c r="E117">
        <v>8140</v>
      </c>
      <c r="F117">
        <v>305.8</v>
      </c>
      <c r="G117">
        <v>217.8</v>
      </c>
      <c r="H117">
        <v>1.4040402999999999</v>
      </c>
      <c r="I117">
        <v>-0.40404034</v>
      </c>
      <c r="J117">
        <v>0.41596642</v>
      </c>
    </row>
    <row r="118" spans="1:10" x14ac:dyDescent="0.3">
      <c r="A118">
        <v>116</v>
      </c>
      <c r="B118">
        <v>2339</v>
      </c>
      <c r="C118" t="b">
        <v>1</v>
      </c>
      <c r="D118">
        <v>8169</v>
      </c>
      <c r="E118">
        <v>8099</v>
      </c>
      <c r="F118">
        <v>306.93331999999998</v>
      </c>
      <c r="G118">
        <v>218.53334000000001</v>
      </c>
      <c r="H118">
        <v>1.4045148000000001</v>
      </c>
      <c r="I118">
        <v>-0.40451484999999998</v>
      </c>
      <c r="J118">
        <v>0.41588429999999998</v>
      </c>
    </row>
    <row r="119" spans="1:10" x14ac:dyDescent="0.3">
      <c r="A119">
        <v>117</v>
      </c>
      <c r="B119">
        <v>2355</v>
      </c>
      <c r="C119" t="b">
        <v>1</v>
      </c>
      <c r="D119">
        <v>8169</v>
      </c>
      <c r="E119">
        <v>8164</v>
      </c>
      <c r="F119">
        <v>308.86667</v>
      </c>
      <c r="G119">
        <v>220.06666999999999</v>
      </c>
      <c r="H119">
        <v>1.4035141</v>
      </c>
      <c r="I119">
        <v>-0.40351411999999998</v>
      </c>
      <c r="J119">
        <v>0.41605746999999998</v>
      </c>
    </row>
    <row r="120" spans="1:10" x14ac:dyDescent="0.3">
      <c r="A120">
        <v>118</v>
      </c>
      <c r="B120">
        <v>2371</v>
      </c>
      <c r="C120" t="b">
        <v>1</v>
      </c>
      <c r="D120">
        <v>8181</v>
      </c>
      <c r="E120">
        <v>8134</v>
      </c>
      <c r="F120">
        <v>310.39999999999998</v>
      </c>
      <c r="G120">
        <v>221.2</v>
      </c>
      <c r="H120">
        <v>1.4032549999999999</v>
      </c>
      <c r="I120">
        <v>-0.40325496</v>
      </c>
      <c r="J120">
        <v>0.41610235000000001</v>
      </c>
    </row>
    <row r="121" spans="1:10" x14ac:dyDescent="0.3">
      <c r="A121">
        <v>119</v>
      </c>
      <c r="B121">
        <v>2387</v>
      </c>
      <c r="C121" t="b">
        <v>1</v>
      </c>
      <c r="D121">
        <v>8140</v>
      </c>
      <c r="E121">
        <v>8140</v>
      </c>
      <c r="F121">
        <v>313.06668000000002</v>
      </c>
      <c r="G121">
        <v>222.33332999999999</v>
      </c>
      <c r="H121">
        <v>1.4080961000000001</v>
      </c>
      <c r="I121">
        <v>-0.40809604999999999</v>
      </c>
      <c r="J121">
        <v>0.41526583</v>
      </c>
    </row>
    <row r="122" spans="1:10" x14ac:dyDescent="0.3">
      <c r="A122">
        <v>120</v>
      </c>
      <c r="B122">
        <v>2418</v>
      </c>
      <c r="C122" t="b">
        <v>1</v>
      </c>
      <c r="D122">
        <v>8140</v>
      </c>
      <c r="E122">
        <v>8134</v>
      </c>
      <c r="F122">
        <v>314.60000000000002</v>
      </c>
      <c r="G122">
        <v>223.06666999999999</v>
      </c>
      <c r="H122">
        <v>1.4103408</v>
      </c>
      <c r="I122">
        <v>-0.41034072999999999</v>
      </c>
      <c r="J122">
        <v>0.41487908000000001</v>
      </c>
    </row>
    <row r="123" spans="1:10" x14ac:dyDescent="0.3">
      <c r="A123">
        <v>121</v>
      </c>
      <c r="B123">
        <v>2434</v>
      </c>
      <c r="C123" t="b">
        <v>1</v>
      </c>
      <c r="D123">
        <v>8083</v>
      </c>
      <c r="E123">
        <v>8146</v>
      </c>
      <c r="F123">
        <v>314.2</v>
      </c>
      <c r="G123">
        <v>224.2</v>
      </c>
      <c r="H123">
        <v>1.4014274</v>
      </c>
      <c r="I123">
        <v>-0.40142736000000001</v>
      </c>
      <c r="J123">
        <v>0.41641899999999998</v>
      </c>
    </row>
    <row r="124" spans="1:10" x14ac:dyDescent="0.3">
      <c r="A124">
        <v>122</v>
      </c>
      <c r="B124">
        <v>2466</v>
      </c>
      <c r="C124" t="b">
        <v>1</v>
      </c>
      <c r="D124">
        <v>8140</v>
      </c>
      <c r="E124">
        <v>8129</v>
      </c>
      <c r="F124">
        <v>313.8</v>
      </c>
      <c r="G124">
        <v>223.8</v>
      </c>
      <c r="H124">
        <v>1.4021447</v>
      </c>
      <c r="I124">
        <v>-0.40214470000000002</v>
      </c>
      <c r="J124">
        <v>0.41629465999999998</v>
      </c>
    </row>
    <row r="125" spans="1:10" x14ac:dyDescent="0.3">
      <c r="A125">
        <v>123</v>
      </c>
      <c r="B125">
        <v>2482</v>
      </c>
      <c r="C125" t="b">
        <v>1</v>
      </c>
      <c r="D125">
        <v>8123</v>
      </c>
      <c r="E125">
        <v>8146</v>
      </c>
      <c r="F125">
        <v>313.8</v>
      </c>
      <c r="G125">
        <v>223.4</v>
      </c>
      <c r="H125">
        <v>1.4046552999999999</v>
      </c>
      <c r="I125">
        <v>-0.4046553</v>
      </c>
      <c r="J125">
        <v>0.41586002999999999</v>
      </c>
    </row>
    <row r="126" spans="1:10" x14ac:dyDescent="0.3">
      <c r="A126">
        <v>124</v>
      </c>
      <c r="B126">
        <v>2514</v>
      </c>
      <c r="C126" t="b">
        <v>1</v>
      </c>
      <c r="D126">
        <v>8117</v>
      </c>
      <c r="E126">
        <v>8134</v>
      </c>
      <c r="F126">
        <v>311.86667</v>
      </c>
      <c r="G126">
        <v>222.6</v>
      </c>
      <c r="H126">
        <v>1.4010183</v>
      </c>
      <c r="I126">
        <v>-0.40101822999999998</v>
      </c>
      <c r="J126">
        <v>0.41648995999999999</v>
      </c>
    </row>
    <row r="127" spans="1:10" x14ac:dyDescent="0.3">
      <c r="A127">
        <v>125</v>
      </c>
      <c r="B127">
        <v>2545</v>
      </c>
      <c r="C127" t="b">
        <v>1</v>
      </c>
      <c r="D127">
        <v>8135</v>
      </c>
      <c r="E127">
        <v>8129</v>
      </c>
      <c r="F127">
        <v>309.93331999999998</v>
      </c>
      <c r="G127">
        <v>222.6</v>
      </c>
      <c r="H127">
        <v>1.3923329</v>
      </c>
      <c r="I127">
        <v>-0.39233294000000002</v>
      </c>
      <c r="J127">
        <v>0.41800199999999998</v>
      </c>
    </row>
    <row r="128" spans="1:10" x14ac:dyDescent="0.3">
      <c r="A128">
        <v>126</v>
      </c>
      <c r="B128">
        <v>2561</v>
      </c>
      <c r="C128" t="b">
        <v>1</v>
      </c>
      <c r="D128">
        <v>8140</v>
      </c>
      <c r="E128">
        <v>8123</v>
      </c>
      <c r="F128">
        <v>308.8</v>
      </c>
      <c r="G128">
        <v>222.26666</v>
      </c>
      <c r="H128">
        <v>1.3893222000000001</v>
      </c>
      <c r="I128">
        <v>-0.3893221</v>
      </c>
      <c r="J128">
        <v>0.41852876999999999</v>
      </c>
    </row>
    <row r="129" spans="1:10" x14ac:dyDescent="0.3">
      <c r="A129">
        <v>127</v>
      </c>
      <c r="B129">
        <v>2577</v>
      </c>
      <c r="C129" t="b">
        <v>1</v>
      </c>
      <c r="D129">
        <v>8192</v>
      </c>
      <c r="E129">
        <v>8146</v>
      </c>
      <c r="F129">
        <v>307.66665999999998</v>
      </c>
      <c r="G129">
        <v>222.26666</v>
      </c>
      <c r="H129">
        <v>1.3842231</v>
      </c>
      <c r="I129">
        <v>-0.38422313000000002</v>
      </c>
      <c r="J129">
        <v>0.41942382</v>
      </c>
    </row>
    <row r="130" spans="1:10" x14ac:dyDescent="0.3">
      <c r="A130">
        <v>128</v>
      </c>
      <c r="B130">
        <v>2610</v>
      </c>
      <c r="C130" t="b">
        <v>1</v>
      </c>
      <c r="D130">
        <v>8140</v>
      </c>
      <c r="E130">
        <v>8129</v>
      </c>
      <c r="F130">
        <v>306.46667000000002</v>
      </c>
      <c r="G130">
        <v>221.93333000000001</v>
      </c>
      <c r="H130">
        <v>1.3808951</v>
      </c>
      <c r="I130">
        <v>-0.38089519999999999</v>
      </c>
      <c r="J130">
        <v>0.4200101</v>
      </c>
    </row>
    <row r="131" spans="1:10" x14ac:dyDescent="0.3">
      <c r="A131">
        <v>129</v>
      </c>
      <c r="B131">
        <v>2641</v>
      </c>
      <c r="C131" t="b">
        <v>1</v>
      </c>
      <c r="D131">
        <v>8169</v>
      </c>
      <c r="E131">
        <v>8146</v>
      </c>
      <c r="F131">
        <v>305.66665999999998</v>
      </c>
      <c r="G131">
        <v>221.2</v>
      </c>
      <c r="H131">
        <v>1.3818566000000001</v>
      </c>
      <c r="I131">
        <v>-0.38185649999999999</v>
      </c>
      <c r="J131">
        <v>0.41984057000000002</v>
      </c>
    </row>
    <row r="132" spans="1:10" x14ac:dyDescent="0.3">
      <c r="A132">
        <v>130</v>
      </c>
      <c r="B132">
        <v>2672</v>
      </c>
      <c r="C132" t="b">
        <v>1</v>
      </c>
      <c r="D132">
        <v>8129</v>
      </c>
      <c r="E132">
        <v>8134</v>
      </c>
      <c r="F132">
        <v>304.86667</v>
      </c>
      <c r="G132">
        <v>220.8</v>
      </c>
      <c r="H132">
        <v>1.3807366999999999</v>
      </c>
      <c r="I132">
        <v>-0.38073669999999998</v>
      </c>
      <c r="J132">
        <v>0.42003804</v>
      </c>
    </row>
    <row r="133" spans="1:10" x14ac:dyDescent="0.3">
      <c r="A133">
        <v>131</v>
      </c>
      <c r="B133">
        <v>2688</v>
      </c>
      <c r="C133" t="b">
        <v>1</v>
      </c>
      <c r="D133">
        <v>8129</v>
      </c>
      <c r="E133">
        <v>8170</v>
      </c>
      <c r="F133">
        <v>304.06668000000002</v>
      </c>
      <c r="G133">
        <v>221.2</v>
      </c>
      <c r="H133">
        <v>1.3746233000000001</v>
      </c>
      <c r="I133">
        <v>-0.37462336000000002</v>
      </c>
      <c r="J133">
        <v>0.42111942000000002</v>
      </c>
    </row>
    <row r="134" spans="1:10" x14ac:dyDescent="0.3">
      <c r="A134">
        <v>132</v>
      </c>
      <c r="B134">
        <v>2704</v>
      </c>
      <c r="C134" t="b">
        <v>1</v>
      </c>
      <c r="D134">
        <v>8146</v>
      </c>
      <c r="E134">
        <v>8129</v>
      </c>
      <c r="F134">
        <v>302.86667</v>
      </c>
      <c r="G134">
        <v>220.4</v>
      </c>
      <c r="H134">
        <v>1.3741683</v>
      </c>
      <c r="I134">
        <v>-0.37416822</v>
      </c>
      <c r="J134">
        <v>0.42120015999999999</v>
      </c>
    </row>
    <row r="135" spans="1:10" x14ac:dyDescent="0.3">
      <c r="A135">
        <v>133</v>
      </c>
      <c r="B135">
        <v>2720</v>
      </c>
      <c r="C135" t="b">
        <v>1</v>
      </c>
      <c r="D135">
        <v>8158</v>
      </c>
      <c r="E135">
        <v>8129</v>
      </c>
      <c r="F135">
        <v>301.33334000000002</v>
      </c>
      <c r="G135">
        <v>220</v>
      </c>
      <c r="H135">
        <v>1.3696969999999999</v>
      </c>
      <c r="I135">
        <v>-0.369697</v>
      </c>
      <c r="J135">
        <v>0.42199486000000003</v>
      </c>
    </row>
    <row r="136" spans="1:10" x14ac:dyDescent="0.3">
      <c r="A136">
        <v>134</v>
      </c>
      <c r="B136">
        <v>2736</v>
      </c>
      <c r="C136" t="b">
        <v>1</v>
      </c>
      <c r="D136">
        <v>8175</v>
      </c>
      <c r="E136">
        <v>8134</v>
      </c>
      <c r="F136">
        <v>299.8</v>
      </c>
      <c r="G136">
        <v>219.6</v>
      </c>
      <c r="H136">
        <v>1.3652093000000001</v>
      </c>
      <c r="I136">
        <v>-0.36520936999999998</v>
      </c>
      <c r="J136">
        <v>0.42279552999999997</v>
      </c>
    </row>
    <row r="137" spans="1:10" x14ac:dyDescent="0.3">
      <c r="A137">
        <v>135</v>
      </c>
      <c r="B137">
        <v>2752</v>
      </c>
      <c r="C137" t="b">
        <v>1</v>
      </c>
      <c r="D137">
        <v>8135</v>
      </c>
      <c r="E137">
        <v>8134</v>
      </c>
      <c r="F137">
        <v>298.26666</v>
      </c>
      <c r="G137">
        <v>219.6</v>
      </c>
      <c r="H137">
        <v>1.3582270000000001</v>
      </c>
      <c r="I137">
        <v>-0.35822700000000002</v>
      </c>
      <c r="J137">
        <v>0.42404734999999999</v>
      </c>
    </row>
    <row r="138" spans="1:10" x14ac:dyDescent="0.3">
      <c r="A138">
        <v>136</v>
      </c>
      <c r="B138">
        <v>2768</v>
      </c>
      <c r="C138" t="b">
        <v>1</v>
      </c>
      <c r="D138">
        <v>8158</v>
      </c>
      <c r="E138">
        <v>8129</v>
      </c>
      <c r="F138">
        <v>299.46667000000002</v>
      </c>
      <c r="G138">
        <v>218.86667</v>
      </c>
      <c r="H138">
        <v>1.3682607</v>
      </c>
      <c r="I138">
        <v>-0.36826077000000002</v>
      </c>
      <c r="J138">
        <v>0.42225077999999999</v>
      </c>
    </row>
    <row r="139" spans="1:10" x14ac:dyDescent="0.3">
      <c r="A139">
        <v>137</v>
      </c>
      <c r="B139">
        <v>2784</v>
      </c>
      <c r="C139" t="b">
        <v>1</v>
      </c>
      <c r="D139">
        <v>8181</v>
      </c>
      <c r="E139">
        <v>8146</v>
      </c>
      <c r="F139">
        <v>300.66665999999998</v>
      </c>
      <c r="G139">
        <v>218.86667</v>
      </c>
      <c r="H139">
        <v>1.3737433999999999</v>
      </c>
      <c r="I139">
        <v>-0.37374347000000002</v>
      </c>
      <c r="J139">
        <v>0.42127553000000001</v>
      </c>
    </row>
    <row r="140" spans="1:10" x14ac:dyDescent="0.3">
      <c r="A140">
        <v>138</v>
      </c>
      <c r="B140">
        <v>2800</v>
      </c>
      <c r="C140" t="b">
        <v>1</v>
      </c>
      <c r="D140">
        <v>8152</v>
      </c>
      <c r="E140">
        <v>8123</v>
      </c>
      <c r="F140">
        <v>301.86667</v>
      </c>
      <c r="G140">
        <v>218.46665999999999</v>
      </c>
      <c r="H140">
        <v>1.3817516999999999</v>
      </c>
      <c r="I140">
        <v>-0.38175165999999999</v>
      </c>
      <c r="J140">
        <v>0.41985908</v>
      </c>
    </row>
    <row r="141" spans="1:10" x14ac:dyDescent="0.3">
      <c r="A141">
        <v>139</v>
      </c>
      <c r="B141">
        <v>2816</v>
      </c>
      <c r="C141" t="b">
        <v>1</v>
      </c>
      <c r="D141">
        <v>8152</v>
      </c>
      <c r="E141">
        <v>8152</v>
      </c>
      <c r="F141">
        <v>303.8</v>
      </c>
      <c r="G141">
        <v>218.46665999999999</v>
      </c>
      <c r="H141">
        <v>1.3906012000000001</v>
      </c>
      <c r="I141">
        <v>-0.39060116</v>
      </c>
      <c r="J141">
        <v>0.41830479999999998</v>
      </c>
    </row>
    <row r="142" spans="1:10" x14ac:dyDescent="0.3">
      <c r="A142">
        <v>140</v>
      </c>
      <c r="B142">
        <v>2847</v>
      </c>
      <c r="C142" t="b">
        <v>1</v>
      </c>
      <c r="D142">
        <v>8117</v>
      </c>
      <c r="E142">
        <v>8129</v>
      </c>
      <c r="F142">
        <v>305.73334</v>
      </c>
      <c r="G142">
        <v>218.13333</v>
      </c>
      <c r="H142">
        <v>1.4015892999999999</v>
      </c>
      <c r="I142">
        <v>-0.40158927</v>
      </c>
      <c r="J142">
        <v>0.41639090000000001</v>
      </c>
    </row>
    <row r="143" spans="1:10" x14ac:dyDescent="0.3">
      <c r="A143">
        <v>141</v>
      </c>
      <c r="B143">
        <v>2879</v>
      </c>
      <c r="C143" t="b">
        <v>1</v>
      </c>
      <c r="D143">
        <v>8106</v>
      </c>
      <c r="E143">
        <v>8134</v>
      </c>
      <c r="F143">
        <v>306.86667</v>
      </c>
      <c r="G143">
        <v>218.46665999999999</v>
      </c>
      <c r="H143">
        <v>1.4046384000000001</v>
      </c>
      <c r="I143">
        <v>-0.40463843999999999</v>
      </c>
      <c r="J143">
        <v>0.41586295000000001</v>
      </c>
    </row>
    <row r="144" spans="1:10" x14ac:dyDescent="0.3">
      <c r="A144">
        <v>142</v>
      </c>
      <c r="B144">
        <v>2911</v>
      </c>
      <c r="C144" t="b">
        <v>1</v>
      </c>
      <c r="D144">
        <v>8123</v>
      </c>
      <c r="E144">
        <v>8105</v>
      </c>
      <c r="F144">
        <v>306.06668000000002</v>
      </c>
      <c r="G144">
        <v>218.13333</v>
      </c>
      <c r="H144">
        <v>1.4031174</v>
      </c>
      <c r="I144">
        <v>-0.40311744999999999</v>
      </c>
      <c r="J144">
        <v>0.41612616000000002</v>
      </c>
    </row>
    <row r="145" spans="1:10" x14ac:dyDescent="0.3">
      <c r="A145">
        <v>143</v>
      </c>
      <c r="B145">
        <v>2926</v>
      </c>
      <c r="C145" t="b">
        <v>1</v>
      </c>
      <c r="D145">
        <v>8123</v>
      </c>
      <c r="E145">
        <v>8129</v>
      </c>
      <c r="F145">
        <v>304.93331999999998</v>
      </c>
      <c r="G145">
        <v>218.13333</v>
      </c>
      <c r="H145">
        <v>1.3979216999999999</v>
      </c>
      <c r="I145">
        <v>-0.39792169999999999</v>
      </c>
      <c r="J145">
        <v>0.4170278</v>
      </c>
    </row>
    <row r="146" spans="1:10" x14ac:dyDescent="0.3">
      <c r="A146">
        <v>144</v>
      </c>
      <c r="B146">
        <v>2943</v>
      </c>
      <c r="C146" t="b">
        <v>1</v>
      </c>
      <c r="D146">
        <v>8169</v>
      </c>
      <c r="E146">
        <v>8129</v>
      </c>
      <c r="F146">
        <v>303.8</v>
      </c>
      <c r="G146">
        <v>218.13333</v>
      </c>
      <c r="H146">
        <v>1.3927261</v>
      </c>
      <c r="I146">
        <v>-0.39272612000000001</v>
      </c>
      <c r="J146">
        <v>0.41793332</v>
      </c>
    </row>
    <row r="147" spans="1:10" x14ac:dyDescent="0.3">
      <c r="A147">
        <v>145</v>
      </c>
      <c r="B147">
        <v>2959</v>
      </c>
      <c r="C147" t="b">
        <v>1</v>
      </c>
      <c r="D147">
        <v>8169</v>
      </c>
      <c r="E147">
        <v>8134</v>
      </c>
      <c r="F147">
        <v>302.66665999999998</v>
      </c>
      <c r="G147">
        <v>217.8</v>
      </c>
      <c r="H147">
        <v>1.3896539999999999</v>
      </c>
      <c r="I147">
        <v>-0.38965403999999998</v>
      </c>
      <c r="J147">
        <v>0.41847060000000003</v>
      </c>
    </row>
    <row r="148" spans="1:10" x14ac:dyDescent="0.3">
      <c r="A148">
        <v>146</v>
      </c>
      <c r="B148">
        <v>2974</v>
      </c>
      <c r="C148" t="b">
        <v>1</v>
      </c>
      <c r="D148">
        <v>8146</v>
      </c>
      <c r="E148">
        <v>8158</v>
      </c>
      <c r="F148">
        <v>303.06668000000002</v>
      </c>
      <c r="G148">
        <v>216.66667000000001</v>
      </c>
      <c r="H148">
        <v>1.3987693000000001</v>
      </c>
      <c r="I148">
        <v>-0.39876926000000001</v>
      </c>
      <c r="J148">
        <v>0.41688046000000001</v>
      </c>
    </row>
    <row r="149" spans="1:10" x14ac:dyDescent="0.3">
      <c r="A149">
        <v>147</v>
      </c>
      <c r="B149">
        <v>2990</v>
      </c>
      <c r="C149" t="b">
        <v>1</v>
      </c>
      <c r="D149">
        <v>8135</v>
      </c>
      <c r="E149">
        <v>8134</v>
      </c>
      <c r="F149">
        <v>303.46667000000002</v>
      </c>
      <c r="G149">
        <v>216.66667000000001</v>
      </c>
      <c r="H149">
        <v>1.4006152999999999</v>
      </c>
      <c r="I149">
        <v>-0.40061540000000001</v>
      </c>
      <c r="J149">
        <v>0.41655985000000001</v>
      </c>
    </row>
    <row r="150" spans="1:10" x14ac:dyDescent="0.3">
      <c r="A150">
        <v>148</v>
      </c>
      <c r="B150">
        <v>3006</v>
      </c>
      <c r="C150" t="b">
        <v>1</v>
      </c>
      <c r="D150">
        <v>8129</v>
      </c>
      <c r="E150">
        <v>8164</v>
      </c>
      <c r="F150">
        <v>303.46667000000002</v>
      </c>
      <c r="G150">
        <v>216.66667000000001</v>
      </c>
      <c r="H150">
        <v>1.4006152999999999</v>
      </c>
      <c r="I150">
        <v>-0.40061540000000001</v>
      </c>
      <c r="J150">
        <v>0.41655985000000001</v>
      </c>
    </row>
    <row r="151" spans="1:10" x14ac:dyDescent="0.3">
      <c r="A151">
        <v>149</v>
      </c>
      <c r="B151">
        <v>3022</v>
      </c>
      <c r="C151" t="b">
        <v>1</v>
      </c>
      <c r="D151">
        <v>8117</v>
      </c>
      <c r="E151">
        <v>8146</v>
      </c>
      <c r="F151">
        <v>302.73334</v>
      </c>
      <c r="G151">
        <v>217.46665999999999</v>
      </c>
      <c r="H151">
        <v>1.3920908000000001</v>
      </c>
      <c r="I151">
        <v>-0.39209080000000002</v>
      </c>
      <c r="J151">
        <v>0.41804433000000002</v>
      </c>
    </row>
    <row r="152" spans="1:10" x14ac:dyDescent="0.3">
      <c r="A152">
        <v>150</v>
      </c>
      <c r="B152">
        <v>3038</v>
      </c>
      <c r="C152" t="b">
        <v>1</v>
      </c>
      <c r="D152">
        <v>8129</v>
      </c>
      <c r="E152">
        <v>8140</v>
      </c>
      <c r="F152">
        <v>301.60000000000002</v>
      </c>
      <c r="G152">
        <v>218.26666</v>
      </c>
      <c r="H152">
        <v>1.381796</v>
      </c>
      <c r="I152">
        <v>-0.38179603000000001</v>
      </c>
      <c r="J152">
        <v>0.41985119999999998</v>
      </c>
    </row>
    <row r="153" spans="1:10" x14ac:dyDescent="0.3">
      <c r="A153">
        <v>151</v>
      </c>
      <c r="B153">
        <v>3054</v>
      </c>
      <c r="C153" t="b">
        <v>1</v>
      </c>
      <c r="D153">
        <v>8135</v>
      </c>
      <c r="E153">
        <v>8146</v>
      </c>
      <c r="F153">
        <v>299.66665999999998</v>
      </c>
      <c r="G153">
        <v>219.4</v>
      </c>
      <c r="H153">
        <v>1.3658463000000001</v>
      </c>
      <c r="I153">
        <v>-0.36584624999999998</v>
      </c>
      <c r="J153">
        <v>0.42268175000000002</v>
      </c>
    </row>
    <row r="154" spans="1:10" x14ac:dyDescent="0.3">
      <c r="A154">
        <v>152</v>
      </c>
      <c r="B154">
        <v>3070</v>
      </c>
      <c r="C154" t="b">
        <v>1</v>
      </c>
      <c r="D154">
        <v>8129</v>
      </c>
      <c r="E154">
        <v>8134</v>
      </c>
      <c r="F154">
        <v>297.73334</v>
      </c>
      <c r="G154">
        <v>220.2</v>
      </c>
      <c r="H154">
        <v>1.3521042000000001</v>
      </c>
      <c r="I154">
        <v>-0.35210419999999998</v>
      </c>
      <c r="J154">
        <v>0.42515122999999999</v>
      </c>
    </row>
    <row r="155" spans="1:10" x14ac:dyDescent="0.3">
      <c r="A155">
        <v>153</v>
      </c>
      <c r="B155">
        <v>3086</v>
      </c>
      <c r="C155" t="b">
        <v>1</v>
      </c>
      <c r="D155">
        <v>8088</v>
      </c>
      <c r="E155">
        <v>8117</v>
      </c>
      <c r="F155">
        <v>295.8</v>
      </c>
      <c r="G155">
        <v>220.6</v>
      </c>
      <c r="H155">
        <v>1.3408884000000001</v>
      </c>
      <c r="I155">
        <v>-0.34088837999999999</v>
      </c>
      <c r="J155">
        <v>0.42718822000000001</v>
      </c>
    </row>
    <row r="156" spans="1:10" x14ac:dyDescent="0.3">
      <c r="A156">
        <v>154</v>
      </c>
      <c r="B156">
        <v>3101</v>
      </c>
      <c r="C156" t="b">
        <v>1</v>
      </c>
      <c r="D156">
        <v>8106</v>
      </c>
      <c r="E156">
        <v>8117</v>
      </c>
      <c r="F156">
        <v>294.26666</v>
      </c>
      <c r="G156">
        <v>220.6</v>
      </c>
      <c r="H156">
        <v>1.3339376000000001</v>
      </c>
      <c r="I156">
        <v>-0.3339377</v>
      </c>
      <c r="J156">
        <v>0.42846042000000001</v>
      </c>
    </row>
    <row r="157" spans="1:10" x14ac:dyDescent="0.3">
      <c r="A157">
        <v>155</v>
      </c>
      <c r="B157">
        <v>3117</v>
      </c>
      <c r="C157" t="b">
        <v>1</v>
      </c>
      <c r="D157">
        <v>8077</v>
      </c>
      <c r="E157">
        <v>8129</v>
      </c>
      <c r="F157">
        <v>291.2</v>
      </c>
      <c r="G157">
        <v>220.6</v>
      </c>
      <c r="H157">
        <v>1.3200362999999999</v>
      </c>
      <c r="I157">
        <v>-0.3200363</v>
      </c>
      <c r="J157">
        <v>0.43102773999999999</v>
      </c>
    </row>
    <row r="158" spans="1:10" x14ac:dyDescent="0.3">
      <c r="A158">
        <v>156</v>
      </c>
      <c r="B158">
        <v>3133</v>
      </c>
      <c r="C158" t="b">
        <v>1</v>
      </c>
      <c r="D158">
        <v>8100</v>
      </c>
      <c r="E158">
        <v>8146</v>
      </c>
      <c r="F158">
        <v>287.73334</v>
      </c>
      <c r="G158">
        <v>220.26666</v>
      </c>
      <c r="H158">
        <v>1.3062954</v>
      </c>
      <c r="I158">
        <v>-0.30629545000000002</v>
      </c>
      <c r="J158">
        <v>0.43359579999999998</v>
      </c>
    </row>
    <row r="159" spans="1:10" x14ac:dyDescent="0.3">
      <c r="A159">
        <v>157</v>
      </c>
      <c r="B159">
        <v>3165</v>
      </c>
      <c r="C159" t="b">
        <v>1</v>
      </c>
      <c r="D159">
        <v>8117</v>
      </c>
      <c r="E159">
        <v>8129</v>
      </c>
      <c r="F159">
        <v>286.2</v>
      </c>
      <c r="G159">
        <v>220.26666</v>
      </c>
      <c r="H159">
        <v>1.2993342000000001</v>
      </c>
      <c r="I159">
        <v>-0.29933422999999998</v>
      </c>
      <c r="J159">
        <v>0.43490849999999998</v>
      </c>
    </row>
    <row r="160" spans="1:10" x14ac:dyDescent="0.3">
      <c r="A160">
        <v>158</v>
      </c>
      <c r="B160">
        <v>3196</v>
      </c>
      <c r="C160" t="b">
        <v>1</v>
      </c>
      <c r="D160">
        <v>8135</v>
      </c>
      <c r="E160">
        <v>8117</v>
      </c>
      <c r="F160">
        <v>285.06668000000002</v>
      </c>
      <c r="G160">
        <v>220.26666</v>
      </c>
      <c r="H160">
        <v>1.294189</v>
      </c>
      <c r="I160">
        <v>-0.29418895</v>
      </c>
      <c r="J160">
        <v>0.43588388</v>
      </c>
    </row>
    <row r="161" spans="1:10" x14ac:dyDescent="0.3">
      <c r="A161">
        <v>159</v>
      </c>
      <c r="B161">
        <v>3212</v>
      </c>
      <c r="C161" t="b">
        <v>1</v>
      </c>
      <c r="D161">
        <v>8181</v>
      </c>
      <c r="E161">
        <v>8158</v>
      </c>
      <c r="F161">
        <v>284.66665999999998</v>
      </c>
      <c r="G161">
        <v>220.26666</v>
      </c>
      <c r="H161">
        <v>1.2923728000000001</v>
      </c>
      <c r="I161">
        <v>-0.29237285000000002</v>
      </c>
      <c r="J161">
        <v>0.43622919999999998</v>
      </c>
    </row>
    <row r="162" spans="1:10" x14ac:dyDescent="0.3">
      <c r="A162">
        <v>160</v>
      </c>
      <c r="B162">
        <v>3228</v>
      </c>
      <c r="C162" t="b">
        <v>1</v>
      </c>
      <c r="D162">
        <v>8117</v>
      </c>
      <c r="E162">
        <v>8123</v>
      </c>
      <c r="F162">
        <v>284.26666</v>
      </c>
      <c r="G162">
        <v>220.26666</v>
      </c>
      <c r="H162">
        <v>1.2905568999999999</v>
      </c>
      <c r="I162">
        <v>-0.29055690000000001</v>
      </c>
      <c r="J162">
        <v>0.43657506000000001</v>
      </c>
    </row>
    <row r="163" spans="1:10" x14ac:dyDescent="0.3">
      <c r="A163">
        <v>161</v>
      </c>
      <c r="B163">
        <v>3244</v>
      </c>
      <c r="C163" t="b">
        <v>1</v>
      </c>
      <c r="D163">
        <v>8146</v>
      </c>
      <c r="E163">
        <v>8105</v>
      </c>
      <c r="F163">
        <v>283.53332999999998</v>
      </c>
      <c r="G163">
        <v>219.86667</v>
      </c>
      <c r="H163">
        <v>1.2895694</v>
      </c>
      <c r="I163">
        <v>-0.28956937999999999</v>
      </c>
      <c r="J163">
        <v>0.43676334999999999</v>
      </c>
    </row>
    <row r="164" spans="1:10" x14ac:dyDescent="0.3">
      <c r="A164">
        <v>162</v>
      </c>
      <c r="B164">
        <v>3260</v>
      </c>
      <c r="C164" t="b">
        <v>1</v>
      </c>
      <c r="D164">
        <v>8111</v>
      </c>
      <c r="E164">
        <v>8129</v>
      </c>
      <c r="F164">
        <v>282.8</v>
      </c>
      <c r="G164">
        <v>219.13333</v>
      </c>
      <c r="H164">
        <v>1.2905384</v>
      </c>
      <c r="I164">
        <v>-0.29053843000000001</v>
      </c>
      <c r="J164">
        <v>0.43657857</v>
      </c>
    </row>
    <row r="165" spans="1:10" x14ac:dyDescent="0.3">
      <c r="A165">
        <v>163</v>
      </c>
      <c r="B165">
        <v>3276</v>
      </c>
      <c r="C165" t="b">
        <v>1</v>
      </c>
      <c r="D165">
        <v>8158</v>
      </c>
      <c r="E165">
        <v>8152</v>
      </c>
      <c r="F165">
        <v>282.8</v>
      </c>
      <c r="G165">
        <v>218.8</v>
      </c>
      <c r="H165">
        <v>1.2925044999999999</v>
      </c>
      <c r="I165">
        <v>-0.2925045</v>
      </c>
      <c r="J165">
        <v>0.43620417</v>
      </c>
    </row>
    <row r="166" spans="1:10" x14ac:dyDescent="0.3">
      <c r="A166">
        <v>164</v>
      </c>
      <c r="B166">
        <v>3292</v>
      </c>
      <c r="C166" t="b">
        <v>1</v>
      </c>
      <c r="D166">
        <v>8146</v>
      </c>
      <c r="E166">
        <v>8123</v>
      </c>
      <c r="F166">
        <v>283.53332999999998</v>
      </c>
      <c r="G166">
        <v>217.26666</v>
      </c>
      <c r="H166">
        <v>1.3050014999999999</v>
      </c>
      <c r="I166">
        <v>-0.30500153000000002</v>
      </c>
      <c r="J166">
        <v>0.43383919999999998</v>
      </c>
    </row>
    <row r="167" spans="1:10" x14ac:dyDescent="0.3">
      <c r="A167">
        <v>165</v>
      </c>
      <c r="B167">
        <v>3308</v>
      </c>
      <c r="C167" t="b">
        <v>1</v>
      </c>
      <c r="D167">
        <v>8163</v>
      </c>
      <c r="E167">
        <v>8134</v>
      </c>
      <c r="F167">
        <v>284.66665999999998</v>
      </c>
      <c r="G167">
        <v>216.13333</v>
      </c>
      <c r="H167">
        <v>1.3170881000000001</v>
      </c>
      <c r="I167">
        <v>-0.31708819999999999</v>
      </c>
      <c r="J167">
        <v>0.43157615999999999</v>
      </c>
    </row>
    <row r="168" spans="1:10" x14ac:dyDescent="0.3">
      <c r="A168">
        <v>166</v>
      </c>
      <c r="B168">
        <v>3340</v>
      </c>
      <c r="C168" t="b">
        <v>1</v>
      </c>
      <c r="D168">
        <v>8163</v>
      </c>
      <c r="E168">
        <v>8129</v>
      </c>
      <c r="F168">
        <v>286.60000000000002</v>
      </c>
      <c r="G168">
        <v>215</v>
      </c>
      <c r="H168">
        <v>1.3330233</v>
      </c>
      <c r="I168">
        <v>-0.33302327999999998</v>
      </c>
      <c r="J168">
        <v>0.42862839000000003</v>
      </c>
    </row>
    <row r="169" spans="1:10" x14ac:dyDescent="0.3">
      <c r="A169">
        <v>167</v>
      </c>
      <c r="B169">
        <v>3370</v>
      </c>
      <c r="C169" t="b">
        <v>1</v>
      </c>
      <c r="D169">
        <v>8135</v>
      </c>
      <c r="E169">
        <v>8152</v>
      </c>
      <c r="F169">
        <v>288.53332999999998</v>
      </c>
      <c r="G169">
        <v>214.2</v>
      </c>
      <c r="H169">
        <v>1.3470276999999999</v>
      </c>
      <c r="I169">
        <v>-0.34702769999999999</v>
      </c>
      <c r="J169">
        <v>0.42607080000000003</v>
      </c>
    </row>
    <row r="170" spans="1:10" x14ac:dyDescent="0.3">
      <c r="A170">
        <v>168</v>
      </c>
      <c r="B170">
        <v>3386</v>
      </c>
      <c r="C170" t="b">
        <v>1</v>
      </c>
      <c r="D170">
        <v>8152</v>
      </c>
      <c r="E170">
        <v>8105</v>
      </c>
      <c r="F170">
        <v>290.06668000000002</v>
      </c>
      <c r="G170">
        <v>213.46665999999999</v>
      </c>
      <c r="H170">
        <v>1.3588382999999999</v>
      </c>
      <c r="I170">
        <v>-0.35883834999999997</v>
      </c>
      <c r="J170">
        <v>0.42393750000000002</v>
      </c>
    </row>
    <row r="171" spans="1:10" x14ac:dyDescent="0.3">
      <c r="A171">
        <v>169</v>
      </c>
      <c r="B171">
        <v>3402</v>
      </c>
      <c r="C171" t="b">
        <v>1</v>
      </c>
      <c r="D171">
        <v>8123</v>
      </c>
      <c r="E171">
        <v>8111</v>
      </c>
      <c r="F171">
        <v>291.60000000000002</v>
      </c>
      <c r="G171">
        <v>213.13333</v>
      </c>
      <c r="H171">
        <v>1.3681577</v>
      </c>
      <c r="I171">
        <v>-0.36815767999999999</v>
      </c>
      <c r="J171">
        <v>0.42226917000000003</v>
      </c>
    </row>
    <row r="172" spans="1:10" x14ac:dyDescent="0.3">
      <c r="A172">
        <v>170</v>
      </c>
      <c r="B172">
        <v>3418</v>
      </c>
      <c r="C172" t="b">
        <v>1</v>
      </c>
      <c r="D172">
        <v>8100</v>
      </c>
      <c r="E172">
        <v>8129</v>
      </c>
      <c r="F172">
        <v>293.53332999999998</v>
      </c>
      <c r="G172">
        <v>213.13333</v>
      </c>
      <c r="H172">
        <v>1.3772286</v>
      </c>
      <c r="I172">
        <v>-0.37722862000000001</v>
      </c>
      <c r="J172">
        <v>0.42065789999999997</v>
      </c>
    </row>
    <row r="173" spans="1:10" x14ac:dyDescent="0.3">
      <c r="A173">
        <v>171</v>
      </c>
      <c r="B173">
        <v>3434</v>
      </c>
      <c r="C173" t="b">
        <v>1</v>
      </c>
      <c r="D173">
        <v>8111</v>
      </c>
      <c r="E173">
        <v>8146</v>
      </c>
      <c r="F173">
        <v>295.06668000000002</v>
      </c>
      <c r="G173">
        <v>213.13333</v>
      </c>
      <c r="H173">
        <v>1.384423</v>
      </c>
      <c r="I173">
        <v>-0.38442300000000001</v>
      </c>
      <c r="J173">
        <v>0.41938868000000001</v>
      </c>
    </row>
    <row r="174" spans="1:10" x14ac:dyDescent="0.3">
      <c r="A174">
        <v>172</v>
      </c>
      <c r="B174">
        <v>3466</v>
      </c>
      <c r="C174" t="b">
        <v>1</v>
      </c>
      <c r="D174">
        <v>8106</v>
      </c>
      <c r="E174">
        <v>8123</v>
      </c>
      <c r="F174">
        <v>295.8</v>
      </c>
      <c r="G174">
        <v>212.73334</v>
      </c>
      <c r="H174">
        <v>1.3904730999999999</v>
      </c>
      <c r="I174">
        <v>-0.39047313</v>
      </c>
      <c r="J174">
        <v>0.41832723999999999</v>
      </c>
    </row>
    <row r="175" spans="1:10" x14ac:dyDescent="0.3">
      <c r="A175">
        <v>173</v>
      </c>
      <c r="B175">
        <v>3481</v>
      </c>
      <c r="C175" t="b">
        <v>1</v>
      </c>
      <c r="D175">
        <v>8140</v>
      </c>
      <c r="E175">
        <v>8158</v>
      </c>
      <c r="F175">
        <v>296.13333</v>
      </c>
      <c r="G175">
        <v>212.73334</v>
      </c>
      <c r="H175">
        <v>1.3920401</v>
      </c>
      <c r="I175">
        <v>-0.39204007000000002</v>
      </c>
      <c r="J175">
        <v>0.41805320000000001</v>
      </c>
    </row>
    <row r="176" spans="1:10" x14ac:dyDescent="0.3">
      <c r="A176">
        <v>174</v>
      </c>
      <c r="B176">
        <v>3512</v>
      </c>
      <c r="C176" t="b">
        <v>1</v>
      </c>
      <c r="D176">
        <v>8146</v>
      </c>
      <c r="E176">
        <v>8140</v>
      </c>
      <c r="F176">
        <v>295.73334</v>
      </c>
      <c r="G176">
        <v>213.46665999999999</v>
      </c>
      <c r="H176">
        <v>1.3853842000000001</v>
      </c>
      <c r="I176">
        <v>-0.38538420000000001</v>
      </c>
      <c r="J176">
        <v>0.41921966999999999</v>
      </c>
    </row>
    <row r="177" spans="1:10" x14ac:dyDescent="0.3">
      <c r="A177">
        <v>175</v>
      </c>
      <c r="B177">
        <v>3528</v>
      </c>
      <c r="C177" t="b">
        <v>1</v>
      </c>
      <c r="D177">
        <v>8169</v>
      </c>
      <c r="E177">
        <v>8134</v>
      </c>
      <c r="F177">
        <v>297.26666</v>
      </c>
      <c r="G177">
        <v>214.2</v>
      </c>
      <c r="H177">
        <v>1.3877995999999999</v>
      </c>
      <c r="I177">
        <v>-0.38779955999999999</v>
      </c>
      <c r="J177">
        <v>0.41879561999999998</v>
      </c>
    </row>
    <row r="178" spans="1:10" x14ac:dyDescent="0.3">
      <c r="A178">
        <v>176</v>
      </c>
      <c r="B178">
        <v>3544</v>
      </c>
      <c r="C178" t="b">
        <v>1</v>
      </c>
      <c r="D178">
        <v>8135</v>
      </c>
      <c r="E178">
        <v>8134</v>
      </c>
      <c r="F178">
        <v>297.60000000000002</v>
      </c>
      <c r="G178">
        <v>214.93333000000001</v>
      </c>
      <c r="H178">
        <v>1.3846153999999999</v>
      </c>
      <c r="I178">
        <v>-0.38461541999999999</v>
      </c>
      <c r="J178">
        <v>0.41935486</v>
      </c>
    </row>
    <row r="179" spans="1:10" x14ac:dyDescent="0.3">
      <c r="A179">
        <v>177</v>
      </c>
      <c r="B179">
        <v>3559</v>
      </c>
      <c r="C179" t="b">
        <v>1</v>
      </c>
      <c r="D179">
        <v>8106</v>
      </c>
      <c r="E179">
        <v>8123</v>
      </c>
      <c r="F179">
        <v>297.93331999999998</v>
      </c>
      <c r="G179">
        <v>215.66667000000001</v>
      </c>
      <c r="H179">
        <v>1.3814527999999999</v>
      </c>
      <c r="I179">
        <v>-0.38145277</v>
      </c>
      <c r="J179">
        <v>0.41991177000000002</v>
      </c>
    </row>
    <row r="180" spans="1:10" x14ac:dyDescent="0.3">
      <c r="A180">
        <v>178</v>
      </c>
      <c r="B180">
        <v>3575</v>
      </c>
      <c r="C180" t="b">
        <v>1</v>
      </c>
      <c r="D180">
        <v>8123</v>
      </c>
      <c r="E180">
        <v>8134</v>
      </c>
      <c r="F180">
        <v>297.2</v>
      </c>
      <c r="G180">
        <v>216</v>
      </c>
      <c r="H180">
        <v>1.375926</v>
      </c>
      <c r="I180">
        <v>-0.37592599999999998</v>
      </c>
      <c r="J180">
        <v>0.42088853999999998</v>
      </c>
    </row>
    <row r="181" spans="1:10" x14ac:dyDescent="0.3">
      <c r="A181">
        <v>179</v>
      </c>
      <c r="B181">
        <v>3591</v>
      </c>
      <c r="C181" t="b">
        <v>1</v>
      </c>
      <c r="D181">
        <v>8135</v>
      </c>
      <c r="E181">
        <v>8111</v>
      </c>
      <c r="F181">
        <v>296.46667000000002</v>
      </c>
      <c r="G181">
        <v>216.73334</v>
      </c>
      <c r="H181">
        <v>1.3678868</v>
      </c>
      <c r="I181">
        <v>-0.36788680000000001</v>
      </c>
      <c r="J181">
        <v>0.42231748000000002</v>
      </c>
    </row>
    <row r="182" spans="1:10" x14ac:dyDescent="0.3">
      <c r="A182">
        <v>180</v>
      </c>
      <c r="B182">
        <v>3613</v>
      </c>
      <c r="C182" t="b">
        <v>1</v>
      </c>
      <c r="D182">
        <v>8163</v>
      </c>
      <c r="E182">
        <v>8140</v>
      </c>
      <c r="F182">
        <v>295.73334</v>
      </c>
      <c r="G182">
        <v>217.06666999999999</v>
      </c>
      <c r="H182">
        <v>1.3624079</v>
      </c>
      <c r="I182">
        <v>-0.36240790000000001</v>
      </c>
      <c r="J182">
        <v>0.42329693000000002</v>
      </c>
    </row>
    <row r="183" spans="1:10" x14ac:dyDescent="0.3">
      <c r="A183">
        <v>181</v>
      </c>
      <c r="B183">
        <v>3629</v>
      </c>
      <c r="C183" t="b">
        <v>1</v>
      </c>
      <c r="D183">
        <v>8158</v>
      </c>
      <c r="E183">
        <v>8158</v>
      </c>
      <c r="F183">
        <v>294.2</v>
      </c>
      <c r="G183">
        <v>217.4</v>
      </c>
      <c r="H183">
        <v>1.3532660000000001</v>
      </c>
      <c r="I183">
        <v>-0.35326596999999998</v>
      </c>
      <c r="J183">
        <v>0.42494133000000001</v>
      </c>
    </row>
    <row r="184" spans="1:10" x14ac:dyDescent="0.3">
      <c r="A184">
        <v>182</v>
      </c>
      <c r="B184">
        <v>3645</v>
      </c>
      <c r="C184" t="b">
        <v>1</v>
      </c>
      <c r="D184">
        <v>8106</v>
      </c>
      <c r="E184">
        <v>8146</v>
      </c>
      <c r="F184">
        <v>292.66665999999998</v>
      </c>
      <c r="G184">
        <v>217.8</v>
      </c>
      <c r="H184">
        <v>1.3437403000000001</v>
      </c>
      <c r="I184">
        <v>-0.34374037000000002</v>
      </c>
      <c r="J184">
        <v>0.4266684</v>
      </c>
    </row>
    <row r="185" spans="1:10" x14ac:dyDescent="0.3">
      <c r="A185">
        <v>183</v>
      </c>
      <c r="B185">
        <v>3661</v>
      </c>
      <c r="C185" t="b">
        <v>1</v>
      </c>
      <c r="D185">
        <v>8152</v>
      </c>
      <c r="E185">
        <v>8129</v>
      </c>
      <c r="F185">
        <v>292.66665999999998</v>
      </c>
      <c r="G185">
        <v>218.53334000000001</v>
      </c>
      <c r="H185">
        <v>1.3392310999999999</v>
      </c>
      <c r="I185">
        <v>-0.33923115999999998</v>
      </c>
      <c r="J185">
        <v>0.42749085999999997</v>
      </c>
    </row>
    <row r="186" spans="1:10" x14ac:dyDescent="0.3">
      <c r="A186">
        <v>184</v>
      </c>
      <c r="B186">
        <v>3676</v>
      </c>
      <c r="C186" t="b">
        <v>1</v>
      </c>
      <c r="D186">
        <v>8140</v>
      </c>
      <c r="E186">
        <v>8140</v>
      </c>
      <c r="F186">
        <v>292.66665999999998</v>
      </c>
      <c r="G186">
        <v>219.26666</v>
      </c>
      <c r="H186">
        <v>1.3347522000000001</v>
      </c>
      <c r="I186">
        <v>-0.33475217000000002</v>
      </c>
      <c r="J186">
        <v>0.428311</v>
      </c>
    </row>
    <row r="187" spans="1:10" x14ac:dyDescent="0.3">
      <c r="A187">
        <v>185</v>
      </c>
      <c r="B187">
        <v>3692</v>
      </c>
      <c r="C187" t="b">
        <v>1</v>
      </c>
      <c r="D187">
        <v>8111</v>
      </c>
      <c r="E187">
        <v>8117</v>
      </c>
      <c r="F187">
        <v>293</v>
      </c>
      <c r="G187">
        <v>220</v>
      </c>
      <c r="H187">
        <v>1.3318182000000001</v>
      </c>
      <c r="I187">
        <v>-0.33181820000000001</v>
      </c>
      <c r="J187">
        <v>0.42884990000000001</v>
      </c>
    </row>
    <row r="188" spans="1:10" x14ac:dyDescent="0.3">
      <c r="A188">
        <v>186</v>
      </c>
      <c r="B188">
        <v>3708</v>
      </c>
      <c r="C188" t="b">
        <v>1</v>
      </c>
      <c r="D188">
        <v>8140</v>
      </c>
      <c r="E188">
        <v>8146</v>
      </c>
      <c r="F188">
        <v>294.13333</v>
      </c>
      <c r="G188">
        <v>220.73334</v>
      </c>
      <c r="H188">
        <v>1.3325279000000001</v>
      </c>
      <c r="I188">
        <v>-0.33252789999999999</v>
      </c>
      <c r="J188">
        <v>0.42871939999999997</v>
      </c>
    </row>
    <row r="189" spans="1:10" x14ac:dyDescent="0.3">
      <c r="A189">
        <v>187</v>
      </c>
      <c r="B189">
        <v>3724</v>
      </c>
      <c r="C189" t="b">
        <v>1</v>
      </c>
      <c r="D189">
        <v>8123</v>
      </c>
      <c r="E189">
        <v>8129</v>
      </c>
      <c r="F189">
        <v>296.06668000000002</v>
      </c>
      <c r="G189">
        <v>221.13333</v>
      </c>
      <c r="H189">
        <v>1.3388605</v>
      </c>
      <c r="I189">
        <v>-0.33886048000000002</v>
      </c>
      <c r="J189">
        <v>0.42755863</v>
      </c>
    </row>
    <row r="190" spans="1:10" x14ac:dyDescent="0.3">
      <c r="A190">
        <v>188</v>
      </c>
      <c r="B190">
        <v>3740</v>
      </c>
      <c r="C190" t="b">
        <v>1</v>
      </c>
      <c r="D190">
        <v>8152</v>
      </c>
      <c r="E190">
        <v>8146</v>
      </c>
      <c r="F190">
        <v>298</v>
      </c>
      <c r="G190">
        <v>221.86667</v>
      </c>
      <c r="H190">
        <v>1.3431491</v>
      </c>
      <c r="I190">
        <v>-0.34314904000000002</v>
      </c>
      <c r="J190">
        <v>0.42677608</v>
      </c>
    </row>
    <row r="191" spans="1:10" x14ac:dyDescent="0.3">
      <c r="A191">
        <v>189</v>
      </c>
      <c r="B191">
        <v>3756</v>
      </c>
      <c r="C191" t="b">
        <v>1</v>
      </c>
      <c r="D191">
        <v>8117</v>
      </c>
      <c r="E191">
        <v>8129</v>
      </c>
      <c r="F191">
        <v>298.8</v>
      </c>
      <c r="G191">
        <v>221.13333</v>
      </c>
      <c r="H191">
        <v>1.351221</v>
      </c>
      <c r="I191">
        <v>-0.35122093999999998</v>
      </c>
      <c r="J191">
        <v>0.42531089999999999</v>
      </c>
    </row>
    <row r="192" spans="1:10" x14ac:dyDescent="0.3">
      <c r="A192">
        <v>190</v>
      </c>
      <c r="B192">
        <v>3772</v>
      </c>
      <c r="C192" t="b">
        <v>1</v>
      </c>
      <c r="D192">
        <v>8106</v>
      </c>
      <c r="E192">
        <v>8134</v>
      </c>
      <c r="F192">
        <v>297.66665999999998</v>
      </c>
      <c r="G192">
        <v>220.73334</v>
      </c>
      <c r="H192">
        <v>1.3485351000000001</v>
      </c>
      <c r="I192">
        <v>-0.34853511999999998</v>
      </c>
      <c r="J192">
        <v>0.42579729999999999</v>
      </c>
    </row>
    <row r="193" spans="1:10" x14ac:dyDescent="0.3">
      <c r="A193">
        <v>191</v>
      </c>
      <c r="B193">
        <v>3788</v>
      </c>
      <c r="C193" t="b">
        <v>1</v>
      </c>
      <c r="D193">
        <v>8083</v>
      </c>
      <c r="E193">
        <v>8140</v>
      </c>
      <c r="F193">
        <v>296.13333</v>
      </c>
      <c r="G193">
        <v>220.73334</v>
      </c>
      <c r="H193">
        <v>1.3415885999999999</v>
      </c>
      <c r="I193">
        <v>-0.34158862000000001</v>
      </c>
      <c r="J193">
        <v>0.42706048000000002</v>
      </c>
    </row>
    <row r="194" spans="1:10" x14ac:dyDescent="0.3">
      <c r="A194">
        <v>192</v>
      </c>
      <c r="B194">
        <v>3804</v>
      </c>
      <c r="C194" t="b">
        <v>1</v>
      </c>
      <c r="D194">
        <v>8123</v>
      </c>
      <c r="E194">
        <v>8140</v>
      </c>
      <c r="F194">
        <v>294.60000000000002</v>
      </c>
      <c r="G194">
        <v>221.13333</v>
      </c>
      <c r="H194">
        <v>1.332228</v>
      </c>
      <c r="I194">
        <v>-0.33222794999999999</v>
      </c>
      <c r="J194">
        <v>0.42877457000000002</v>
      </c>
    </row>
    <row r="195" spans="1:10" x14ac:dyDescent="0.3">
      <c r="A195">
        <v>193</v>
      </c>
      <c r="B195">
        <v>3819</v>
      </c>
      <c r="C195" t="b">
        <v>1</v>
      </c>
      <c r="D195">
        <v>8146</v>
      </c>
      <c r="E195">
        <v>8123</v>
      </c>
      <c r="F195">
        <v>293.39999999999998</v>
      </c>
      <c r="G195">
        <v>221.13333</v>
      </c>
      <c r="H195">
        <v>1.3268013000000001</v>
      </c>
      <c r="I195">
        <v>-0.32680130000000002</v>
      </c>
      <c r="J195">
        <v>0.42977454999999998</v>
      </c>
    </row>
    <row r="196" spans="1:10" x14ac:dyDescent="0.3">
      <c r="A196">
        <v>194</v>
      </c>
      <c r="B196">
        <v>3835</v>
      </c>
      <c r="C196" t="b">
        <v>1</v>
      </c>
      <c r="D196">
        <v>8135</v>
      </c>
      <c r="E196">
        <v>8123</v>
      </c>
      <c r="F196">
        <v>292.60000000000002</v>
      </c>
      <c r="G196">
        <v>221.13333</v>
      </c>
      <c r="H196">
        <v>1.3231837</v>
      </c>
      <c r="I196">
        <v>-0.32318363</v>
      </c>
      <c r="J196">
        <v>0.43044379999999999</v>
      </c>
    </row>
    <row r="197" spans="1:10" x14ac:dyDescent="0.3">
      <c r="A197">
        <v>195</v>
      </c>
      <c r="B197">
        <v>3852</v>
      </c>
      <c r="C197" t="b">
        <v>1</v>
      </c>
      <c r="D197">
        <v>8158</v>
      </c>
      <c r="E197">
        <v>8146</v>
      </c>
      <c r="F197">
        <v>292.60000000000002</v>
      </c>
      <c r="G197">
        <v>221.53334000000001</v>
      </c>
      <c r="H197">
        <v>1.3207945000000001</v>
      </c>
      <c r="I197">
        <v>-0.32079443000000002</v>
      </c>
      <c r="J197">
        <v>0.43088692000000001</v>
      </c>
    </row>
    <row r="198" spans="1:10" x14ac:dyDescent="0.3">
      <c r="A198">
        <v>196</v>
      </c>
      <c r="B198">
        <v>3884</v>
      </c>
      <c r="C198" t="b">
        <v>1</v>
      </c>
      <c r="D198">
        <v>8158</v>
      </c>
      <c r="E198">
        <v>8134</v>
      </c>
      <c r="F198">
        <v>293.33334000000002</v>
      </c>
      <c r="G198">
        <v>221.53334000000001</v>
      </c>
      <c r="H198">
        <v>1.3241048</v>
      </c>
      <c r="I198">
        <v>-0.32410473000000001</v>
      </c>
      <c r="J198">
        <v>0.43027320000000002</v>
      </c>
    </row>
    <row r="199" spans="1:10" x14ac:dyDescent="0.3">
      <c r="A199">
        <v>197</v>
      </c>
      <c r="B199">
        <v>3916</v>
      </c>
      <c r="C199" t="b">
        <v>1</v>
      </c>
      <c r="D199">
        <v>8106</v>
      </c>
      <c r="E199">
        <v>8123</v>
      </c>
      <c r="F199">
        <v>294.06668000000002</v>
      </c>
      <c r="G199">
        <v>220.4</v>
      </c>
      <c r="H199">
        <v>1.3342409</v>
      </c>
      <c r="I199">
        <v>-0.33424088000000002</v>
      </c>
      <c r="J199">
        <v>0.42840479999999997</v>
      </c>
    </row>
    <row r="200" spans="1:10" x14ac:dyDescent="0.3">
      <c r="A200">
        <v>198</v>
      </c>
      <c r="B200">
        <v>3947</v>
      </c>
      <c r="C200" t="b">
        <v>1</v>
      </c>
      <c r="D200">
        <v>8140</v>
      </c>
      <c r="E200">
        <v>8111</v>
      </c>
      <c r="F200">
        <v>293.26666</v>
      </c>
      <c r="G200">
        <v>219.26666</v>
      </c>
      <c r="H200">
        <v>1.3374887</v>
      </c>
      <c r="I200">
        <v>-0.33748860000000003</v>
      </c>
      <c r="J200">
        <v>0.42780956999999997</v>
      </c>
    </row>
    <row r="201" spans="1:10" x14ac:dyDescent="0.3">
      <c r="A201">
        <v>199</v>
      </c>
      <c r="B201">
        <v>3979</v>
      </c>
      <c r="C201" t="b">
        <v>1</v>
      </c>
      <c r="D201">
        <v>8094</v>
      </c>
      <c r="E201">
        <v>8129</v>
      </c>
      <c r="F201">
        <v>292.46667000000002</v>
      </c>
      <c r="G201">
        <v>218.53334000000001</v>
      </c>
      <c r="H201">
        <v>1.3383160999999999</v>
      </c>
      <c r="I201">
        <v>-0.33831604999999998</v>
      </c>
      <c r="J201">
        <v>0.42765819999999999</v>
      </c>
    </row>
    <row r="202" spans="1:10" x14ac:dyDescent="0.3">
      <c r="A202">
        <v>200</v>
      </c>
      <c r="B202">
        <v>3995</v>
      </c>
      <c r="C202" t="b">
        <v>1</v>
      </c>
      <c r="D202">
        <v>8140</v>
      </c>
      <c r="E202">
        <v>8134</v>
      </c>
      <c r="F202">
        <v>292.46667000000002</v>
      </c>
      <c r="G202">
        <v>217.8</v>
      </c>
      <c r="H202">
        <v>1.3428222000000001</v>
      </c>
      <c r="I202">
        <v>-0.34282220000000002</v>
      </c>
      <c r="J202">
        <v>0.42683566000000001</v>
      </c>
    </row>
    <row r="203" spans="1:10" x14ac:dyDescent="0.3">
      <c r="A203">
        <v>201</v>
      </c>
      <c r="B203">
        <v>4010</v>
      </c>
      <c r="C203" t="b">
        <v>1</v>
      </c>
      <c r="D203">
        <v>8192</v>
      </c>
      <c r="E203">
        <v>8146</v>
      </c>
      <c r="F203">
        <v>292.46667000000002</v>
      </c>
      <c r="G203">
        <v>217.06666999999999</v>
      </c>
      <c r="H203">
        <v>1.3473588000000001</v>
      </c>
      <c r="I203">
        <v>-0.34735875999999999</v>
      </c>
      <c r="J203">
        <v>0.42601073</v>
      </c>
    </row>
    <row r="204" spans="1:10" x14ac:dyDescent="0.3">
      <c r="A204">
        <v>202</v>
      </c>
      <c r="B204">
        <v>4027</v>
      </c>
      <c r="C204" t="b">
        <v>1</v>
      </c>
      <c r="D204">
        <v>8146</v>
      </c>
      <c r="E204">
        <v>8134</v>
      </c>
      <c r="F204">
        <v>292.46667000000002</v>
      </c>
      <c r="G204">
        <v>217.4</v>
      </c>
      <c r="H204">
        <v>1.3452929</v>
      </c>
      <c r="I204">
        <v>-0.34529293</v>
      </c>
      <c r="J204">
        <v>0.42638597</v>
      </c>
    </row>
    <row r="205" spans="1:10" x14ac:dyDescent="0.3">
      <c r="A205">
        <v>203</v>
      </c>
      <c r="B205">
        <v>4042</v>
      </c>
      <c r="C205" t="b">
        <v>1</v>
      </c>
      <c r="D205">
        <v>8175</v>
      </c>
      <c r="E205">
        <v>8140</v>
      </c>
      <c r="F205">
        <v>292.86667</v>
      </c>
      <c r="G205">
        <v>217</v>
      </c>
      <c r="H205">
        <v>1.3496159000000001</v>
      </c>
      <c r="I205">
        <v>-0.34961599999999998</v>
      </c>
      <c r="J205">
        <v>0.42560144999999999</v>
      </c>
    </row>
    <row r="206" spans="1:10" x14ac:dyDescent="0.3">
      <c r="A206">
        <v>204</v>
      </c>
      <c r="B206">
        <v>4058</v>
      </c>
      <c r="C206" t="b">
        <v>1</v>
      </c>
      <c r="D206">
        <v>8135</v>
      </c>
      <c r="E206">
        <v>8152</v>
      </c>
      <c r="F206">
        <v>294.39999999999998</v>
      </c>
      <c r="G206">
        <v>217.73334</v>
      </c>
      <c r="H206">
        <v>1.3521126999999999</v>
      </c>
      <c r="I206">
        <v>-0.35211261999999999</v>
      </c>
      <c r="J206">
        <v>0.42514974</v>
      </c>
    </row>
    <row r="207" spans="1:10" x14ac:dyDescent="0.3">
      <c r="A207">
        <v>205</v>
      </c>
      <c r="B207">
        <v>4074</v>
      </c>
      <c r="C207" t="b">
        <v>1</v>
      </c>
      <c r="D207">
        <v>8152</v>
      </c>
      <c r="E207">
        <v>8123</v>
      </c>
      <c r="F207">
        <v>296.33334000000002</v>
      </c>
      <c r="G207">
        <v>218.13333</v>
      </c>
      <c r="H207">
        <v>1.3584963999999999</v>
      </c>
      <c r="I207">
        <v>-0.35849639999999999</v>
      </c>
      <c r="J207">
        <v>0.42399894999999999</v>
      </c>
    </row>
    <row r="208" spans="1:10" x14ac:dyDescent="0.3">
      <c r="A208">
        <v>206</v>
      </c>
      <c r="B208">
        <v>4090</v>
      </c>
      <c r="C208" t="b">
        <v>1</v>
      </c>
      <c r="D208">
        <v>8094</v>
      </c>
      <c r="E208">
        <v>8105</v>
      </c>
      <c r="F208">
        <v>298.26666</v>
      </c>
      <c r="G208">
        <v>218.13333</v>
      </c>
      <c r="H208">
        <v>1.3673594</v>
      </c>
      <c r="I208">
        <v>-0.3673594</v>
      </c>
      <c r="J208">
        <v>0.42241152999999998</v>
      </c>
    </row>
    <row r="209" spans="1:10" x14ac:dyDescent="0.3">
      <c r="A209">
        <v>207</v>
      </c>
      <c r="B209">
        <v>4106</v>
      </c>
      <c r="C209" t="b">
        <v>1</v>
      </c>
      <c r="D209">
        <v>8106</v>
      </c>
      <c r="E209">
        <v>8146</v>
      </c>
      <c r="F209">
        <v>299.46667000000002</v>
      </c>
      <c r="G209">
        <v>218.13333</v>
      </c>
      <c r="H209">
        <v>1.3728606999999999</v>
      </c>
      <c r="I209">
        <v>-0.37286069999999999</v>
      </c>
      <c r="J209">
        <v>0.42143226</v>
      </c>
    </row>
    <row r="210" spans="1:10" x14ac:dyDescent="0.3">
      <c r="A210">
        <v>208</v>
      </c>
      <c r="B210">
        <v>4122</v>
      </c>
      <c r="C210" t="b">
        <v>1</v>
      </c>
      <c r="D210">
        <v>8146</v>
      </c>
      <c r="E210">
        <v>8134</v>
      </c>
      <c r="F210">
        <v>300.66665999999998</v>
      </c>
      <c r="G210">
        <v>218.13333</v>
      </c>
      <c r="H210">
        <v>1.3783618</v>
      </c>
      <c r="I210">
        <v>-0.37836182000000002</v>
      </c>
      <c r="J210">
        <v>0.42045747999999999</v>
      </c>
    </row>
    <row r="211" spans="1:10" x14ac:dyDescent="0.3">
      <c r="A211">
        <v>209</v>
      </c>
      <c r="B211">
        <v>4138</v>
      </c>
      <c r="C211" t="b">
        <v>1</v>
      </c>
      <c r="D211">
        <v>8163</v>
      </c>
      <c r="E211">
        <v>8140</v>
      </c>
      <c r="F211">
        <v>302.2</v>
      </c>
      <c r="G211">
        <v>218.13333</v>
      </c>
      <c r="H211">
        <v>1.3853911999999999</v>
      </c>
      <c r="I211">
        <v>-0.38539127000000001</v>
      </c>
      <c r="J211">
        <v>0.41921841999999998</v>
      </c>
    </row>
    <row r="212" spans="1:10" x14ac:dyDescent="0.3">
      <c r="A212">
        <v>210</v>
      </c>
      <c r="B212">
        <v>4154</v>
      </c>
      <c r="C212" t="b">
        <v>1</v>
      </c>
      <c r="D212">
        <v>8140</v>
      </c>
      <c r="E212">
        <v>8140</v>
      </c>
      <c r="F212">
        <v>302.53332999999998</v>
      </c>
      <c r="G212">
        <v>218.13333</v>
      </c>
      <c r="H212">
        <v>1.3869193</v>
      </c>
      <c r="I212">
        <v>-0.38691930000000002</v>
      </c>
      <c r="J212">
        <v>0.41895008</v>
      </c>
    </row>
    <row r="213" spans="1:10" x14ac:dyDescent="0.3">
      <c r="A213">
        <v>211</v>
      </c>
      <c r="B213">
        <v>4169</v>
      </c>
      <c r="C213" t="b">
        <v>1</v>
      </c>
      <c r="D213">
        <v>8135</v>
      </c>
      <c r="E213">
        <v>8129</v>
      </c>
      <c r="F213">
        <v>302.13333</v>
      </c>
      <c r="G213">
        <v>218.53334000000001</v>
      </c>
      <c r="H213">
        <v>1.3825502000000001</v>
      </c>
      <c r="I213">
        <v>-0.38255027000000003</v>
      </c>
      <c r="J213">
        <v>0.41971829999999999</v>
      </c>
    </row>
    <row r="214" spans="1:10" x14ac:dyDescent="0.3">
      <c r="A214">
        <v>212</v>
      </c>
      <c r="B214">
        <v>4185</v>
      </c>
      <c r="C214" t="b">
        <v>1</v>
      </c>
      <c r="D214">
        <v>8123</v>
      </c>
      <c r="E214">
        <v>8117</v>
      </c>
      <c r="F214">
        <v>301.73334</v>
      </c>
      <c r="G214">
        <v>219.26666</v>
      </c>
      <c r="H214">
        <v>1.3761022000000001</v>
      </c>
      <c r="I214">
        <v>-0.3761022</v>
      </c>
      <c r="J214">
        <v>0.42085729999999999</v>
      </c>
    </row>
    <row r="215" spans="1:10" x14ac:dyDescent="0.3">
      <c r="A215">
        <v>213</v>
      </c>
      <c r="B215">
        <v>4201</v>
      </c>
      <c r="C215" t="b">
        <v>1</v>
      </c>
      <c r="D215">
        <v>8129</v>
      </c>
      <c r="E215">
        <v>8134</v>
      </c>
      <c r="F215">
        <v>301.39999999999998</v>
      </c>
      <c r="G215">
        <v>220</v>
      </c>
      <c r="H215">
        <v>1.37</v>
      </c>
      <c r="I215">
        <v>-0.36999997000000001</v>
      </c>
      <c r="J215">
        <v>0.42194092</v>
      </c>
    </row>
    <row r="216" spans="1:10" x14ac:dyDescent="0.3">
      <c r="A216">
        <v>214</v>
      </c>
      <c r="B216">
        <v>4217</v>
      </c>
      <c r="C216" t="b">
        <v>1</v>
      </c>
      <c r="D216">
        <v>8129</v>
      </c>
      <c r="E216">
        <v>8152</v>
      </c>
      <c r="F216">
        <v>300.66665999999998</v>
      </c>
      <c r="G216">
        <v>220.33332999999999</v>
      </c>
      <c r="H216">
        <v>1.3645991</v>
      </c>
      <c r="I216">
        <v>-0.36459908000000002</v>
      </c>
      <c r="J216">
        <v>0.42290466999999998</v>
      </c>
    </row>
    <row r="217" spans="1:10" x14ac:dyDescent="0.3">
      <c r="A217">
        <v>215</v>
      </c>
      <c r="B217">
        <v>4233</v>
      </c>
      <c r="C217" t="b">
        <v>1</v>
      </c>
      <c r="D217">
        <v>8163</v>
      </c>
      <c r="E217">
        <v>8105</v>
      </c>
      <c r="F217">
        <v>299.93331999999998</v>
      </c>
      <c r="G217">
        <v>220.33332999999999</v>
      </c>
      <c r="H217">
        <v>1.3612708</v>
      </c>
      <c r="I217">
        <v>-0.36127076000000002</v>
      </c>
      <c r="J217">
        <v>0.42350078000000002</v>
      </c>
    </row>
    <row r="218" spans="1:10" x14ac:dyDescent="0.3">
      <c r="A218">
        <v>216</v>
      </c>
      <c r="B218">
        <v>4249</v>
      </c>
      <c r="C218" t="b">
        <v>1</v>
      </c>
      <c r="D218">
        <v>8123</v>
      </c>
      <c r="E218">
        <v>8140</v>
      </c>
      <c r="F218">
        <v>299.2</v>
      </c>
      <c r="G218">
        <v>220.66667000000001</v>
      </c>
      <c r="H218">
        <v>1.3558912000000001</v>
      </c>
      <c r="I218">
        <v>-0.35589125999999999</v>
      </c>
      <c r="J218">
        <v>0.42446780000000001</v>
      </c>
    </row>
    <row r="219" spans="1:10" x14ac:dyDescent="0.3">
      <c r="A219">
        <v>217</v>
      </c>
      <c r="B219">
        <v>4280</v>
      </c>
      <c r="C219" t="b">
        <v>1</v>
      </c>
      <c r="D219">
        <v>8106</v>
      </c>
      <c r="E219">
        <v>8123</v>
      </c>
      <c r="F219">
        <v>298.46667000000002</v>
      </c>
      <c r="G219">
        <v>220.66667000000001</v>
      </c>
      <c r="H219">
        <v>1.352568</v>
      </c>
      <c r="I219">
        <v>-0.35256797000000001</v>
      </c>
      <c r="J219">
        <v>0.42506739999999998</v>
      </c>
    </row>
    <row r="220" spans="1:10" x14ac:dyDescent="0.3">
      <c r="A220">
        <v>218</v>
      </c>
      <c r="B220">
        <v>4296</v>
      </c>
      <c r="C220" t="b">
        <v>1</v>
      </c>
      <c r="D220">
        <v>8146</v>
      </c>
      <c r="E220">
        <v>8111</v>
      </c>
      <c r="F220">
        <v>297.33334000000002</v>
      </c>
      <c r="G220">
        <v>219.93333000000001</v>
      </c>
      <c r="H220">
        <v>1.3519249</v>
      </c>
      <c r="I220">
        <v>-0.35192487</v>
      </c>
      <c r="J220">
        <v>0.42518365000000002</v>
      </c>
    </row>
    <row r="221" spans="1:10" x14ac:dyDescent="0.3">
      <c r="A221">
        <v>219</v>
      </c>
      <c r="B221">
        <v>4312</v>
      </c>
      <c r="C221" t="b">
        <v>1</v>
      </c>
      <c r="D221">
        <v>8088</v>
      </c>
      <c r="E221">
        <v>8134</v>
      </c>
      <c r="F221">
        <v>295.8</v>
      </c>
      <c r="G221">
        <v>218.8</v>
      </c>
      <c r="H221">
        <v>1.3519194999999999</v>
      </c>
      <c r="I221">
        <v>-0.35191947000000001</v>
      </c>
      <c r="J221">
        <v>0.42518464</v>
      </c>
    </row>
    <row r="222" spans="1:10" x14ac:dyDescent="0.3">
      <c r="A222">
        <v>220</v>
      </c>
      <c r="B222">
        <v>4344</v>
      </c>
      <c r="C222" t="b">
        <v>1</v>
      </c>
      <c r="D222">
        <v>8106</v>
      </c>
      <c r="E222">
        <v>8146</v>
      </c>
      <c r="F222">
        <v>292.73334</v>
      </c>
      <c r="G222">
        <v>218.4</v>
      </c>
      <c r="H222">
        <v>1.3403541999999999</v>
      </c>
      <c r="I222">
        <v>-0.34035414000000003</v>
      </c>
      <c r="J222">
        <v>0.42728576000000001</v>
      </c>
    </row>
    <row r="223" spans="1:10" x14ac:dyDescent="0.3">
      <c r="A223">
        <v>221</v>
      </c>
      <c r="B223">
        <v>4360</v>
      </c>
      <c r="C223" t="b">
        <v>1</v>
      </c>
      <c r="D223">
        <v>8152</v>
      </c>
      <c r="E223">
        <v>8146</v>
      </c>
      <c r="F223">
        <v>290.06668000000002</v>
      </c>
      <c r="G223">
        <v>218.4</v>
      </c>
      <c r="H223">
        <v>1.3281442000000001</v>
      </c>
      <c r="I223">
        <v>-0.3281442</v>
      </c>
      <c r="J223">
        <v>0.42952666</v>
      </c>
    </row>
    <row r="224" spans="1:10" x14ac:dyDescent="0.3">
      <c r="A224">
        <v>222</v>
      </c>
      <c r="B224">
        <v>4376</v>
      </c>
      <c r="C224" t="b">
        <v>1</v>
      </c>
      <c r="D224">
        <v>8135</v>
      </c>
      <c r="E224">
        <v>8134</v>
      </c>
      <c r="F224">
        <v>290.06668000000002</v>
      </c>
      <c r="G224">
        <v>218</v>
      </c>
      <c r="H224">
        <v>1.3305811000000001</v>
      </c>
      <c r="I224">
        <v>-0.33058110000000002</v>
      </c>
      <c r="J224">
        <v>0.42907753999999998</v>
      </c>
    </row>
    <row r="225" spans="1:10" x14ac:dyDescent="0.3">
      <c r="A225">
        <v>223</v>
      </c>
      <c r="B225">
        <v>4391</v>
      </c>
      <c r="C225" t="b">
        <v>1</v>
      </c>
      <c r="D225">
        <v>8146</v>
      </c>
      <c r="E225">
        <v>8129</v>
      </c>
      <c r="F225">
        <v>290.06668000000002</v>
      </c>
      <c r="G225">
        <v>218</v>
      </c>
      <c r="H225">
        <v>1.3305811000000001</v>
      </c>
      <c r="I225">
        <v>-0.33058110000000002</v>
      </c>
      <c r="J225">
        <v>0.42907753999999998</v>
      </c>
    </row>
    <row r="226" spans="1:10" x14ac:dyDescent="0.3">
      <c r="A226">
        <v>224</v>
      </c>
      <c r="B226">
        <v>4408</v>
      </c>
      <c r="C226" t="b">
        <v>1</v>
      </c>
      <c r="D226">
        <v>8140</v>
      </c>
      <c r="E226">
        <v>8146</v>
      </c>
      <c r="F226">
        <v>289.66665999999998</v>
      </c>
      <c r="G226">
        <v>218.8</v>
      </c>
      <c r="H226">
        <v>1.3238878000000001</v>
      </c>
      <c r="I226">
        <v>-0.3238878</v>
      </c>
      <c r="J226">
        <v>0.43031334999999998</v>
      </c>
    </row>
    <row r="227" spans="1:10" x14ac:dyDescent="0.3">
      <c r="A227">
        <v>225</v>
      </c>
      <c r="B227">
        <v>4423</v>
      </c>
      <c r="C227" t="b">
        <v>1</v>
      </c>
      <c r="D227">
        <v>8140</v>
      </c>
      <c r="E227">
        <v>8146</v>
      </c>
      <c r="F227">
        <v>289.66665999999998</v>
      </c>
      <c r="G227">
        <v>219.2</v>
      </c>
      <c r="H227">
        <v>1.321472</v>
      </c>
      <c r="I227">
        <v>-0.32147199999999998</v>
      </c>
      <c r="J227">
        <v>0.43076120000000001</v>
      </c>
    </row>
    <row r="228" spans="1:10" x14ac:dyDescent="0.3">
      <c r="A228">
        <v>226</v>
      </c>
      <c r="B228">
        <v>4439</v>
      </c>
      <c r="C228" t="b">
        <v>1</v>
      </c>
      <c r="D228">
        <v>8135</v>
      </c>
      <c r="E228">
        <v>8170</v>
      </c>
      <c r="F228">
        <v>289.66665999999998</v>
      </c>
      <c r="G228">
        <v>219.6</v>
      </c>
      <c r="H228">
        <v>1.3190649000000001</v>
      </c>
      <c r="I228">
        <v>-0.31906489999999998</v>
      </c>
      <c r="J228">
        <v>0.43120828</v>
      </c>
    </row>
    <row r="229" spans="1:10" x14ac:dyDescent="0.3">
      <c r="A229">
        <v>227</v>
      </c>
      <c r="B229">
        <v>4471</v>
      </c>
      <c r="C229" t="b">
        <v>1</v>
      </c>
      <c r="D229">
        <v>8152</v>
      </c>
      <c r="E229">
        <v>8123</v>
      </c>
      <c r="F229">
        <v>289.66665999999998</v>
      </c>
      <c r="G229">
        <v>220.4</v>
      </c>
      <c r="H229">
        <v>1.3142769999999999</v>
      </c>
      <c r="I229">
        <v>-0.31427705</v>
      </c>
      <c r="J229">
        <v>0.4321004</v>
      </c>
    </row>
    <row r="230" spans="1:10" x14ac:dyDescent="0.3">
      <c r="A230">
        <v>228</v>
      </c>
      <c r="B230">
        <v>4487</v>
      </c>
      <c r="C230" t="b">
        <v>1</v>
      </c>
      <c r="D230">
        <v>8152</v>
      </c>
      <c r="E230">
        <v>8123</v>
      </c>
      <c r="F230">
        <v>290</v>
      </c>
      <c r="G230">
        <v>221.2</v>
      </c>
      <c r="H230">
        <v>1.3110307000000001</v>
      </c>
      <c r="I230">
        <v>-0.31103075000000002</v>
      </c>
      <c r="J230">
        <v>0.43270734</v>
      </c>
    </row>
    <row r="231" spans="1:10" x14ac:dyDescent="0.3">
      <c r="A231">
        <v>229</v>
      </c>
      <c r="B231">
        <v>4503</v>
      </c>
      <c r="C231" t="b">
        <v>1</v>
      </c>
      <c r="D231">
        <v>8175</v>
      </c>
      <c r="E231">
        <v>8164</v>
      </c>
      <c r="F231">
        <v>291.53332999999998</v>
      </c>
      <c r="G231">
        <v>222</v>
      </c>
      <c r="H231">
        <v>1.3132132000000001</v>
      </c>
      <c r="I231">
        <v>-0.31321316999999999</v>
      </c>
      <c r="J231">
        <v>0.43229909999999999</v>
      </c>
    </row>
    <row r="232" spans="1:10" x14ac:dyDescent="0.3">
      <c r="A232">
        <v>230</v>
      </c>
      <c r="B232">
        <v>4519</v>
      </c>
      <c r="C232" t="b">
        <v>1</v>
      </c>
      <c r="D232">
        <v>8140</v>
      </c>
      <c r="E232">
        <v>8170</v>
      </c>
      <c r="F232">
        <v>293.06668000000002</v>
      </c>
      <c r="G232">
        <v>224.33332999999999</v>
      </c>
      <c r="H232">
        <v>1.3063895000000001</v>
      </c>
      <c r="I232">
        <v>-0.30638939999999998</v>
      </c>
      <c r="J232">
        <v>0.43357810000000002</v>
      </c>
    </row>
    <row r="233" spans="1:10" x14ac:dyDescent="0.3">
      <c r="A233">
        <v>231</v>
      </c>
      <c r="B233">
        <v>4534</v>
      </c>
      <c r="C233" t="b">
        <v>1</v>
      </c>
      <c r="D233">
        <v>8135</v>
      </c>
      <c r="E233">
        <v>8111</v>
      </c>
      <c r="F233">
        <v>294.60000000000002</v>
      </c>
      <c r="G233">
        <v>223.6</v>
      </c>
      <c r="H233">
        <v>1.3175313</v>
      </c>
      <c r="I233">
        <v>-0.31753130000000002</v>
      </c>
      <c r="J233">
        <v>0.43149364000000001</v>
      </c>
    </row>
    <row r="234" spans="1:10" x14ac:dyDescent="0.3">
      <c r="A234">
        <v>232</v>
      </c>
      <c r="B234">
        <v>4550</v>
      </c>
      <c r="C234" t="b">
        <v>1</v>
      </c>
      <c r="D234">
        <v>8135</v>
      </c>
      <c r="E234">
        <v>8158</v>
      </c>
      <c r="F234">
        <v>295.33334000000002</v>
      </c>
      <c r="G234">
        <v>225.2</v>
      </c>
      <c r="H234">
        <v>1.3114269999999999</v>
      </c>
      <c r="I234">
        <v>-0.31142693999999999</v>
      </c>
      <c r="J234">
        <v>0.4326332</v>
      </c>
    </row>
    <row r="235" spans="1:10" x14ac:dyDescent="0.3">
      <c r="A235">
        <v>233</v>
      </c>
      <c r="B235">
        <v>4566</v>
      </c>
      <c r="C235" t="b">
        <v>1</v>
      </c>
      <c r="D235">
        <v>8123</v>
      </c>
      <c r="E235">
        <v>8146</v>
      </c>
      <c r="F235">
        <v>295.73334</v>
      </c>
      <c r="G235">
        <v>227.53334000000001</v>
      </c>
      <c r="H235">
        <v>1.2997363</v>
      </c>
      <c r="I235">
        <v>-0.29973630000000001</v>
      </c>
      <c r="J235">
        <v>0.43483248000000002</v>
      </c>
    </row>
    <row r="236" spans="1:10" x14ac:dyDescent="0.3">
      <c r="A236">
        <v>234</v>
      </c>
      <c r="B236">
        <v>4582</v>
      </c>
      <c r="C236" t="b">
        <v>1</v>
      </c>
      <c r="D236">
        <v>8106</v>
      </c>
      <c r="E236">
        <v>8129</v>
      </c>
      <c r="F236">
        <v>296.53332999999998</v>
      </c>
      <c r="G236">
        <v>229.06666999999999</v>
      </c>
      <c r="H236">
        <v>1.2945285</v>
      </c>
      <c r="I236">
        <v>-0.29452847999999998</v>
      </c>
      <c r="J236">
        <v>0.43581940000000002</v>
      </c>
    </row>
    <row r="237" spans="1:10" x14ac:dyDescent="0.3">
      <c r="A237">
        <v>235</v>
      </c>
      <c r="B237">
        <v>4598</v>
      </c>
      <c r="C237" t="b">
        <v>1</v>
      </c>
      <c r="D237">
        <v>8123</v>
      </c>
      <c r="E237">
        <v>8134</v>
      </c>
      <c r="F237">
        <v>297.66665999999998</v>
      </c>
      <c r="G237">
        <v>229.06666999999999</v>
      </c>
      <c r="H237">
        <v>1.2994760999999999</v>
      </c>
      <c r="I237">
        <v>-0.29947610000000002</v>
      </c>
      <c r="J237">
        <v>0.43488166</v>
      </c>
    </row>
    <row r="238" spans="1:10" x14ac:dyDescent="0.3">
      <c r="A238">
        <v>236</v>
      </c>
      <c r="B238">
        <v>4630</v>
      </c>
      <c r="C238" t="b">
        <v>1</v>
      </c>
      <c r="D238">
        <v>8135</v>
      </c>
      <c r="E238">
        <v>8129</v>
      </c>
      <c r="F238">
        <v>298.8</v>
      </c>
      <c r="G238">
        <v>229.06666999999999</v>
      </c>
      <c r="H238">
        <v>1.3044237000000001</v>
      </c>
      <c r="I238">
        <v>-0.30442370000000002</v>
      </c>
      <c r="J238">
        <v>0.43394798000000001</v>
      </c>
    </row>
    <row r="239" spans="1:10" x14ac:dyDescent="0.3">
      <c r="A239">
        <v>237</v>
      </c>
      <c r="B239">
        <v>4662</v>
      </c>
      <c r="C239" t="b">
        <v>1</v>
      </c>
      <c r="D239">
        <v>8117</v>
      </c>
      <c r="E239">
        <v>8105</v>
      </c>
      <c r="F239">
        <v>298</v>
      </c>
      <c r="G239">
        <v>228.73334</v>
      </c>
      <c r="H239">
        <v>1.3028271</v>
      </c>
      <c r="I239">
        <v>-0.30282714999999999</v>
      </c>
      <c r="J239">
        <v>0.43424882999999997</v>
      </c>
    </row>
    <row r="240" spans="1:10" x14ac:dyDescent="0.3">
      <c r="A240">
        <v>238</v>
      </c>
      <c r="B240">
        <v>4678</v>
      </c>
      <c r="C240" t="b">
        <v>1</v>
      </c>
      <c r="D240">
        <v>8129</v>
      </c>
      <c r="E240">
        <v>8152</v>
      </c>
      <c r="F240">
        <v>297.2</v>
      </c>
      <c r="G240">
        <v>228.4</v>
      </c>
      <c r="H240">
        <v>1.301226</v>
      </c>
      <c r="I240">
        <v>-0.30122601999999998</v>
      </c>
      <c r="J240">
        <v>0.43455100000000002</v>
      </c>
    </row>
    <row r="241" spans="1:10" x14ac:dyDescent="0.3">
      <c r="A241">
        <v>239</v>
      </c>
      <c r="B241">
        <v>4693</v>
      </c>
      <c r="C241" t="b">
        <v>1</v>
      </c>
      <c r="D241">
        <v>8146</v>
      </c>
      <c r="E241">
        <v>8146</v>
      </c>
      <c r="F241">
        <v>296.46667000000002</v>
      </c>
      <c r="G241">
        <v>227.6</v>
      </c>
      <c r="H241">
        <v>1.3025776</v>
      </c>
      <c r="I241">
        <v>-0.3025776</v>
      </c>
      <c r="J241">
        <v>0.43429592</v>
      </c>
    </row>
    <row r="242" spans="1:10" x14ac:dyDescent="0.3">
      <c r="A242">
        <v>240</v>
      </c>
      <c r="B242">
        <v>4709</v>
      </c>
      <c r="C242" t="b">
        <v>1</v>
      </c>
      <c r="D242">
        <v>8152</v>
      </c>
      <c r="E242">
        <v>8134</v>
      </c>
      <c r="F242">
        <v>296.13333</v>
      </c>
      <c r="G242">
        <v>226.8</v>
      </c>
      <c r="H242">
        <v>1.3057023999999999</v>
      </c>
      <c r="I242">
        <v>-0.30570249999999999</v>
      </c>
      <c r="J242">
        <v>0.43370730000000002</v>
      </c>
    </row>
    <row r="243" spans="1:10" x14ac:dyDescent="0.3">
      <c r="A243">
        <v>241</v>
      </c>
      <c r="B243">
        <v>4725</v>
      </c>
      <c r="C243" t="b">
        <v>1</v>
      </c>
      <c r="D243">
        <v>8111</v>
      </c>
      <c r="E243">
        <v>8117</v>
      </c>
      <c r="F243">
        <v>295.39999999999998</v>
      </c>
      <c r="G243">
        <v>226</v>
      </c>
      <c r="H243">
        <v>1.3070797000000001</v>
      </c>
      <c r="I243">
        <v>-0.30707960000000001</v>
      </c>
      <c r="J243">
        <v>0.43344837000000003</v>
      </c>
    </row>
    <row r="244" spans="1:10" x14ac:dyDescent="0.3">
      <c r="A244">
        <v>242</v>
      </c>
      <c r="B244">
        <v>4741</v>
      </c>
      <c r="C244" t="b">
        <v>1</v>
      </c>
      <c r="D244">
        <v>8135</v>
      </c>
      <c r="E244">
        <v>8123</v>
      </c>
      <c r="F244">
        <v>295.06668000000002</v>
      </c>
      <c r="G244">
        <v>225.2</v>
      </c>
      <c r="H244">
        <v>1.3102427999999999</v>
      </c>
      <c r="I244">
        <v>-0.31024283000000002</v>
      </c>
      <c r="J244">
        <v>0.43285495000000002</v>
      </c>
    </row>
    <row r="245" spans="1:10" x14ac:dyDescent="0.3">
      <c r="A245">
        <v>243</v>
      </c>
      <c r="B245">
        <v>4773</v>
      </c>
      <c r="C245" t="b">
        <v>1</v>
      </c>
      <c r="D245">
        <v>8117</v>
      </c>
      <c r="E245">
        <v>8134</v>
      </c>
      <c r="F245">
        <v>294.73334</v>
      </c>
      <c r="G245">
        <v>224.4</v>
      </c>
      <c r="H245">
        <v>1.3134284000000001</v>
      </c>
      <c r="I245">
        <v>-0.31342846000000002</v>
      </c>
      <c r="J245">
        <v>0.4322589</v>
      </c>
    </row>
    <row r="246" spans="1:10" x14ac:dyDescent="0.3">
      <c r="A246">
        <v>244</v>
      </c>
      <c r="B246">
        <v>4788</v>
      </c>
      <c r="C246" t="b">
        <v>1</v>
      </c>
      <c r="D246">
        <v>8135</v>
      </c>
      <c r="E246">
        <v>8140</v>
      </c>
      <c r="F246">
        <v>293.60000000000002</v>
      </c>
      <c r="G246">
        <v>223.6</v>
      </c>
      <c r="H246">
        <v>1.313059</v>
      </c>
      <c r="I246">
        <v>-0.31305903000000002</v>
      </c>
      <c r="J246">
        <v>0.43232793000000003</v>
      </c>
    </row>
    <row r="247" spans="1:10" x14ac:dyDescent="0.3">
      <c r="A247">
        <v>245</v>
      </c>
      <c r="B247">
        <v>4804</v>
      </c>
      <c r="C247" t="b">
        <v>1</v>
      </c>
      <c r="D247">
        <v>8117</v>
      </c>
      <c r="E247">
        <v>8129</v>
      </c>
      <c r="F247">
        <v>291.26666</v>
      </c>
      <c r="G247">
        <v>221.26666</v>
      </c>
      <c r="H247">
        <v>1.3163604</v>
      </c>
      <c r="I247">
        <v>-0.31636035000000001</v>
      </c>
      <c r="J247">
        <v>0.43171176</v>
      </c>
    </row>
    <row r="248" spans="1:10" x14ac:dyDescent="0.3">
      <c r="A248">
        <v>246</v>
      </c>
      <c r="B248">
        <v>4820</v>
      </c>
      <c r="C248" t="b">
        <v>1</v>
      </c>
      <c r="D248">
        <v>8158</v>
      </c>
      <c r="E248">
        <v>8146</v>
      </c>
      <c r="F248">
        <v>290.13333</v>
      </c>
      <c r="G248">
        <v>222</v>
      </c>
      <c r="H248">
        <v>1.3069069</v>
      </c>
      <c r="I248">
        <v>-0.30690689999999998</v>
      </c>
      <c r="J248">
        <v>0.4334809</v>
      </c>
    </row>
    <row r="249" spans="1:10" x14ac:dyDescent="0.3">
      <c r="A249">
        <v>247</v>
      </c>
      <c r="B249">
        <v>4836</v>
      </c>
      <c r="C249" t="b">
        <v>1</v>
      </c>
      <c r="D249">
        <v>8111</v>
      </c>
      <c r="E249">
        <v>8129</v>
      </c>
      <c r="F249">
        <v>288.60000000000002</v>
      </c>
      <c r="G249">
        <v>220.4</v>
      </c>
      <c r="H249">
        <v>1.3094374</v>
      </c>
      <c r="I249">
        <v>-0.30943745</v>
      </c>
      <c r="J249">
        <v>0.43300587000000001</v>
      </c>
    </row>
    <row r="250" spans="1:10" x14ac:dyDescent="0.3">
      <c r="A250">
        <v>248</v>
      </c>
      <c r="B250">
        <v>4852</v>
      </c>
      <c r="C250" t="b">
        <v>1</v>
      </c>
      <c r="D250">
        <v>8135</v>
      </c>
      <c r="E250">
        <v>8123</v>
      </c>
      <c r="F250">
        <v>288.60000000000002</v>
      </c>
      <c r="G250">
        <v>218.46665999999999</v>
      </c>
      <c r="H250">
        <v>1.3210253999999999</v>
      </c>
      <c r="I250">
        <v>-0.32102540000000002</v>
      </c>
      <c r="J250">
        <v>0.43084407000000002</v>
      </c>
    </row>
    <row r="251" spans="1:10" x14ac:dyDescent="0.3">
      <c r="A251">
        <v>249</v>
      </c>
      <c r="B251">
        <v>4868</v>
      </c>
      <c r="C251" t="b">
        <v>1</v>
      </c>
      <c r="D251">
        <v>8129</v>
      </c>
      <c r="E251">
        <v>8117</v>
      </c>
      <c r="F251">
        <v>288.2</v>
      </c>
      <c r="G251">
        <v>217.33332999999999</v>
      </c>
      <c r="H251">
        <v>1.3260738000000001</v>
      </c>
      <c r="I251">
        <v>-0.32607370000000002</v>
      </c>
      <c r="J251">
        <v>0.42990899999999999</v>
      </c>
    </row>
    <row r="252" spans="1:10" x14ac:dyDescent="0.3">
      <c r="A252">
        <v>250</v>
      </c>
      <c r="B252">
        <v>4884</v>
      </c>
      <c r="C252" t="b">
        <v>1</v>
      </c>
      <c r="D252">
        <v>8106</v>
      </c>
      <c r="E252">
        <v>8111</v>
      </c>
      <c r="F252">
        <v>288.60000000000002</v>
      </c>
      <c r="G252">
        <v>216.6</v>
      </c>
      <c r="H252">
        <v>1.3324100000000001</v>
      </c>
      <c r="I252">
        <v>-0.33240995000000001</v>
      </c>
      <c r="J252">
        <v>0.42874109999999999</v>
      </c>
    </row>
    <row r="253" spans="1:10" x14ac:dyDescent="0.3">
      <c r="A253">
        <v>251</v>
      </c>
      <c r="B253">
        <v>4899</v>
      </c>
      <c r="C253" t="b">
        <v>1</v>
      </c>
      <c r="D253">
        <v>8111</v>
      </c>
      <c r="E253">
        <v>8152</v>
      </c>
      <c r="F253">
        <v>287.8</v>
      </c>
      <c r="G253">
        <v>215.86667</v>
      </c>
      <c r="H253">
        <v>1.3332303999999999</v>
      </c>
      <c r="I253">
        <v>-0.33323032000000002</v>
      </c>
      <c r="J253">
        <v>0.42859036</v>
      </c>
    </row>
    <row r="254" spans="1:10" x14ac:dyDescent="0.3">
      <c r="A254">
        <v>252</v>
      </c>
      <c r="B254">
        <v>4915</v>
      </c>
      <c r="C254" t="b">
        <v>1</v>
      </c>
      <c r="D254">
        <v>8117</v>
      </c>
      <c r="E254">
        <v>8134</v>
      </c>
      <c r="F254">
        <v>287.39999999999998</v>
      </c>
      <c r="G254">
        <v>215.46665999999999</v>
      </c>
      <c r="H254">
        <v>1.3338490999999999</v>
      </c>
      <c r="I254">
        <v>-0.33384900000000001</v>
      </c>
      <c r="J254">
        <v>0.42847675000000002</v>
      </c>
    </row>
    <row r="255" spans="1:10" x14ac:dyDescent="0.3">
      <c r="A255">
        <v>253</v>
      </c>
      <c r="B255">
        <v>4948</v>
      </c>
      <c r="C255" t="b">
        <v>1</v>
      </c>
      <c r="D255">
        <v>8140</v>
      </c>
      <c r="E255">
        <v>8111</v>
      </c>
      <c r="F255">
        <v>287</v>
      </c>
      <c r="G255">
        <v>214.66667000000001</v>
      </c>
      <c r="H255">
        <v>1.3369565000000001</v>
      </c>
      <c r="I255">
        <v>-0.33695649999999999</v>
      </c>
      <c r="J255">
        <v>0.42790696</v>
      </c>
    </row>
    <row r="256" spans="1:10" x14ac:dyDescent="0.3">
      <c r="A256">
        <v>254</v>
      </c>
      <c r="B256">
        <v>4963</v>
      </c>
      <c r="C256" t="b">
        <v>1</v>
      </c>
      <c r="D256">
        <v>8152</v>
      </c>
      <c r="E256">
        <v>8123</v>
      </c>
      <c r="F256">
        <v>286.2</v>
      </c>
      <c r="G256">
        <v>213.93333000000001</v>
      </c>
      <c r="H256">
        <v>1.3378000000000001</v>
      </c>
      <c r="I256">
        <v>-0.33779999999999999</v>
      </c>
      <c r="J256">
        <v>0.42775257999999999</v>
      </c>
    </row>
    <row r="257" spans="1:10" x14ac:dyDescent="0.3">
      <c r="A257">
        <v>255</v>
      </c>
      <c r="B257">
        <v>4979</v>
      </c>
      <c r="C257" t="b">
        <v>1</v>
      </c>
      <c r="D257">
        <v>8123</v>
      </c>
      <c r="E257">
        <v>8146</v>
      </c>
      <c r="F257">
        <v>285.39999999999998</v>
      </c>
      <c r="G257">
        <v>213.93333000000001</v>
      </c>
      <c r="H257">
        <v>1.3340604</v>
      </c>
      <c r="I257">
        <v>-0.33406043000000002</v>
      </c>
      <c r="J257">
        <v>0.42843795000000001</v>
      </c>
    </row>
    <row r="258" spans="1:10" x14ac:dyDescent="0.3">
      <c r="A258">
        <v>256</v>
      </c>
      <c r="B258">
        <v>4995</v>
      </c>
      <c r="C258" t="b">
        <v>1</v>
      </c>
      <c r="D258">
        <v>8192</v>
      </c>
      <c r="E258">
        <v>8105</v>
      </c>
      <c r="F258">
        <v>286.13333</v>
      </c>
      <c r="G258">
        <v>213.2</v>
      </c>
      <c r="H258">
        <v>1.3420888</v>
      </c>
      <c r="I258">
        <v>-0.34208882000000002</v>
      </c>
      <c r="J258">
        <v>0.4269693</v>
      </c>
    </row>
    <row r="259" spans="1:10" x14ac:dyDescent="0.3">
      <c r="A259">
        <v>257</v>
      </c>
      <c r="B259">
        <v>5027</v>
      </c>
      <c r="C259" t="b">
        <v>1</v>
      </c>
      <c r="D259">
        <v>8100</v>
      </c>
      <c r="E259">
        <v>8111</v>
      </c>
      <c r="F259">
        <v>286.46667000000002</v>
      </c>
      <c r="G259">
        <v>211.66667000000001</v>
      </c>
      <c r="H259">
        <v>1.3533858000000001</v>
      </c>
      <c r="I259">
        <v>-0.35338584000000001</v>
      </c>
      <c r="J259">
        <v>0.42491970000000001</v>
      </c>
    </row>
    <row r="260" spans="1:10" x14ac:dyDescent="0.3">
      <c r="A260">
        <v>258</v>
      </c>
      <c r="B260">
        <v>5042</v>
      </c>
      <c r="C260" t="b">
        <v>1</v>
      </c>
      <c r="D260">
        <v>8106</v>
      </c>
      <c r="E260">
        <v>8123</v>
      </c>
      <c r="F260">
        <v>285.66665999999998</v>
      </c>
      <c r="G260">
        <v>210.93333000000001</v>
      </c>
      <c r="H260">
        <v>1.3542984</v>
      </c>
      <c r="I260">
        <v>-0.35429830000000001</v>
      </c>
      <c r="J260">
        <v>0.42475503999999997</v>
      </c>
    </row>
    <row r="261" spans="1:10" x14ac:dyDescent="0.3">
      <c r="A261">
        <v>259</v>
      </c>
      <c r="B261">
        <v>5059</v>
      </c>
      <c r="C261" t="b">
        <v>1</v>
      </c>
      <c r="D261">
        <v>8129</v>
      </c>
      <c r="E261">
        <v>8134</v>
      </c>
      <c r="F261">
        <v>284.86667</v>
      </c>
      <c r="G261">
        <v>210.2</v>
      </c>
      <c r="H261">
        <v>1.3552173000000001</v>
      </c>
      <c r="I261">
        <v>-0.35521728000000002</v>
      </c>
      <c r="J261">
        <v>0.42458928000000001</v>
      </c>
    </row>
    <row r="262" spans="1:10" x14ac:dyDescent="0.3">
      <c r="A262">
        <v>260</v>
      </c>
      <c r="B262">
        <v>5074</v>
      </c>
      <c r="C262" t="b">
        <v>1</v>
      </c>
      <c r="D262">
        <v>8129</v>
      </c>
      <c r="E262">
        <v>8164</v>
      </c>
      <c r="F262">
        <v>285.66665999999998</v>
      </c>
      <c r="G262">
        <v>209.8</v>
      </c>
      <c r="H262">
        <v>1.3616140999999999</v>
      </c>
      <c r="I262">
        <v>-0.36161417000000001</v>
      </c>
      <c r="J262">
        <v>0.42343916999999998</v>
      </c>
    </row>
    <row r="263" spans="1:10" x14ac:dyDescent="0.3">
      <c r="A263">
        <v>261</v>
      </c>
      <c r="B263">
        <v>5090</v>
      </c>
      <c r="C263" t="b">
        <v>1</v>
      </c>
      <c r="D263">
        <v>8158</v>
      </c>
      <c r="E263">
        <v>8123</v>
      </c>
      <c r="F263">
        <v>285.26666</v>
      </c>
      <c r="G263">
        <v>209.06666999999999</v>
      </c>
      <c r="H263">
        <v>1.3644769999999999</v>
      </c>
      <c r="I263">
        <v>-0.36447703999999997</v>
      </c>
      <c r="J263">
        <v>0.42292651999999997</v>
      </c>
    </row>
    <row r="264" spans="1:10" x14ac:dyDescent="0.3">
      <c r="A264">
        <v>262</v>
      </c>
      <c r="B264">
        <v>5106</v>
      </c>
      <c r="C264" t="b">
        <v>1</v>
      </c>
      <c r="D264">
        <v>8158</v>
      </c>
      <c r="E264">
        <v>8123</v>
      </c>
      <c r="F264">
        <v>286.06668000000002</v>
      </c>
      <c r="G264">
        <v>208.33332999999999</v>
      </c>
      <c r="H264">
        <v>1.3731201</v>
      </c>
      <c r="I264">
        <v>-0.37312010000000001</v>
      </c>
      <c r="J264">
        <v>0.42138615000000001</v>
      </c>
    </row>
    <row r="265" spans="1:10" x14ac:dyDescent="0.3">
      <c r="A265">
        <v>263</v>
      </c>
      <c r="B265">
        <v>5122</v>
      </c>
      <c r="C265" t="b">
        <v>1</v>
      </c>
      <c r="D265">
        <v>8152</v>
      </c>
      <c r="E265">
        <v>8134</v>
      </c>
      <c r="F265">
        <v>287.2</v>
      </c>
      <c r="G265">
        <v>208.66667000000001</v>
      </c>
      <c r="H265">
        <v>1.3763578000000001</v>
      </c>
      <c r="I265">
        <v>-0.37635784999999999</v>
      </c>
      <c r="J265">
        <v>0.42081204</v>
      </c>
    </row>
    <row r="266" spans="1:10" x14ac:dyDescent="0.3">
      <c r="A266">
        <v>264</v>
      </c>
      <c r="B266">
        <v>5138</v>
      </c>
      <c r="C266" t="b">
        <v>1</v>
      </c>
      <c r="D266">
        <v>8135</v>
      </c>
      <c r="E266">
        <v>8117</v>
      </c>
      <c r="F266">
        <v>288.73334</v>
      </c>
      <c r="G266">
        <v>208.26666</v>
      </c>
      <c r="H266">
        <v>1.3863635999999999</v>
      </c>
      <c r="I266">
        <v>-0.38636369999999998</v>
      </c>
      <c r="J266">
        <v>0.41904762000000001</v>
      </c>
    </row>
    <row r="267" spans="1:10" x14ac:dyDescent="0.3">
      <c r="A267">
        <v>265</v>
      </c>
      <c r="B267">
        <v>5154</v>
      </c>
      <c r="C267" t="b">
        <v>1</v>
      </c>
      <c r="D267">
        <v>8123</v>
      </c>
      <c r="E267">
        <v>8111</v>
      </c>
      <c r="F267">
        <v>290.26666</v>
      </c>
      <c r="G267">
        <v>208.26666</v>
      </c>
      <c r="H267">
        <v>1.393726</v>
      </c>
      <c r="I267">
        <v>-0.39372600000000002</v>
      </c>
      <c r="J267">
        <v>0.41775876000000001</v>
      </c>
    </row>
    <row r="268" spans="1:10" x14ac:dyDescent="0.3">
      <c r="A268">
        <v>266</v>
      </c>
      <c r="B268">
        <v>5170</v>
      </c>
      <c r="C268" t="b">
        <v>1</v>
      </c>
      <c r="D268">
        <v>8163</v>
      </c>
      <c r="E268">
        <v>8134</v>
      </c>
      <c r="F268">
        <v>293</v>
      </c>
      <c r="G268">
        <v>208.26666</v>
      </c>
      <c r="H268">
        <v>1.4068502000000001</v>
      </c>
      <c r="I268">
        <v>-0.40685021999999998</v>
      </c>
      <c r="J268">
        <v>0.41548076</v>
      </c>
    </row>
    <row r="269" spans="1:10" x14ac:dyDescent="0.3">
      <c r="A269">
        <v>267</v>
      </c>
      <c r="B269">
        <v>5186</v>
      </c>
      <c r="C269" t="b">
        <v>1</v>
      </c>
      <c r="D269">
        <v>8158</v>
      </c>
      <c r="E269">
        <v>8129</v>
      </c>
      <c r="F269">
        <v>295.33334000000002</v>
      </c>
      <c r="G269">
        <v>208.66667000000001</v>
      </c>
      <c r="H269">
        <v>1.4153355000000001</v>
      </c>
      <c r="I269">
        <v>-0.41533547999999998</v>
      </c>
      <c r="J269">
        <v>0.41402116</v>
      </c>
    </row>
    <row r="270" spans="1:10" x14ac:dyDescent="0.3">
      <c r="A270">
        <v>268</v>
      </c>
      <c r="B270">
        <v>5202</v>
      </c>
      <c r="C270" t="b">
        <v>1</v>
      </c>
      <c r="D270">
        <v>8083</v>
      </c>
      <c r="E270">
        <v>8123</v>
      </c>
      <c r="F270">
        <v>296.53332999999998</v>
      </c>
      <c r="G270">
        <v>209.06666999999999</v>
      </c>
      <c r="H270">
        <v>1.4183673000000001</v>
      </c>
      <c r="I270">
        <v>-0.41836732999999998</v>
      </c>
      <c r="J270">
        <v>0.41350213000000002</v>
      </c>
    </row>
    <row r="271" spans="1:10" x14ac:dyDescent="0.3">
      <c r="A271">
        <v>269</v>
      </c>
      <c r="B271">
        <v>5218</v>
      </c>
      <c r="C271" t="b">
        <v>1</v>
      </c>
      <c r="D271">
        <v>8123</v>
      </c>
      <c r="E271">
        <v>8134</v>
      </c>
      <c r="F271">
        <v>296.93331999999998</v>
      </c>
      <c r="G271">
        <v>209.46665999999999</v>
      </c>
      <c r="H271">
        <v>1.4175684</v>
      </c>
      <c r="I271">
        <v>-0.41756842</v>
      </c>
      <c r="J271">
        <v>0.41363876999999999</v>
      </c>
    </row>
    <row r="272" spans="1:10" x14ac:dyDescent="0.3">
      <c r="A272">
        <v>270</v>
      </c>
      <c r="B272">
        <v>5250</v>
      </c>
      <c r="C272" t="b">
        <v>1</v>
      </c>
      <c r="D272">
        <v>8140</v>
      </c>
      <c r="E272">
        <v>8152</v>
      </c>
      <c r="F272">
        <v>298.06668000000002</v>
      </c>
      <c r="G272">
        <v>209.46665999999999</v>
      </c>
      <c r="H272">
        <v>1.4229791000000001</v>
      </c>
      <c r="I272">
        <v>-0.42297911999999999</v>
      </c>
      <c r="J272">
        <v>0.41271508000000001</v>
      </c>
    </row>
    <row r="273" spans="1:10" x14ac:dyDescent="0.3">
      <c r="A273">
        <v>271</v>
      </c>
      <c r="B273">
        <v>5266</v>
      </c>
      <c r="C273" t="b">
        <v>1</v>
      </c>
      <c r="D273">
        <v>8146</v>
      </c>
      <c r="E273">
        <v>8134</v>
      </c>
      <c r="F273">
        <v>298.06668000000002</v>
      </c>
      <c r="G273">
        <v>210.2</v>
      </c>
      <c r="H273">
        <v>1.4180146</v>
      </c>
      <c r="I273">
        <v>-0.41801468000000003</v>
      </c>
      <c r="J273">
        <v>0.41356241999999999</v>
      </c>
    </row>
    <row r="274" spans="1:10" x14ac:dyDescent="0.3">
      <c r="A274">
        <v>272</v>
      </c>
      <c r="B274">
        <v>5281</v>
      </c>
      <c r="C274" t="b">
        <v>1</v>
      </c>
      <c r="D274">
        <v>8117</v>
      </c>
      <c r="E274">
        <v>8158</v>
      </c>
      <c r="F274">
        <v>296.93331999999998</v>
      </c>
      <c r="G274">
        <v>211.73334</v>
      </c>
      <c r="H274">
        <v>1.4023928999999999</v>
      </c>
      <c r="I274">
        <v>-0.40239286000000002</v>
      </c>
      <c r="J274">
        <v>0.41625166000000002</v>
      </c>
    </row>
    <row r="275" spans="1:10" x14ac:dyDescent="0.3">
      <c r="A275">
        <v>273</v>
      </c>
      <c r="B275">
        <v>5297</v>
      </c>
      <c r="C275" t="b">
        <v>1</v>
      </c>
      <c r="D275">
        <v>8117</v>
      </c>
      <c r="E275">
        <v>8117</v>
      </c>
      <c r="F275">
        <v>296.93331999999998</v>
      </c>
      <c r="G275">
        <v>212.46665999999999</v>
      </c>
      <c r="H275">
        <v>1.3975525</v>
      </c>
      <c r="I275">
        <v>-0.39755255</v>
      </c>
      <c r="J275">
        <v>0.41709203</v>
      </c>
    </row>
    <row r="276" spans="1:10" x14ac:dyDescent="0.3">
      <c r="A276">
        <v>274</v>
      </c>
      <c r="B276">
        <v>5329</v>
      </c>
      <c r="C276" t="b">
        <v>1</v>
      </c>
      <c r="D276">
        <v>8123</v>
      </c>
      <c r="E276">
        <v>8111</v>
      </c>
      <c r="F276">
        <v>296.93331999999998</v>
      </c>
      <c r="G276">
        <v>213.2</v>
      </c>
      <c r="H276">
        <v>1.3927453999999999</v>
      </c>
      <c r="I276">
        <v>-0.39274540000000002</v>
      </c>
      <c r="J276">
        <v>0.41792997999999998</v>
      </c>
    </row>
    <row r="277" spans="1:10" x14ac:dyDescent="0.3">
      <c r="A277">
        <v>275</v>
      </c>
      <c r="B277">
        <v>5361</v>
      </c>
      <c r="C277" t="b">
        <v>1</v>
      </c>
      <c r="D277">
        <v>8123</v>
      </c>
      <c r="E277">
        <v>8140</v>
      </c>
      <c r="F277">
        <v>296.53332999999998</v>
      </c>
      <c r="G277">
        <v>213.93333000000001</v>
      </c>
      <c r="H277">
        <v>1.3861015999999999</v>
      </c>
      <c r="I277">
        <v>-0.38610154000000002</v>
      </c>
      <c r="J277">
        <v>0.41909363999999999</v>
      </c>
    </row>
    <row r="278" spans="1:10" x14ac:dyDescent="0.3">
      <c r="A278">
        <v>276</v>
      </c>
      <c r="B278">
        <v>5377</v>
      </c>
      <c r="C278" t="b">
        <v>1</v>
      </c>
      <c r="D278">
        <v>8152</v>
      </c>
      <c r="E278">
        <v>8129</v>
      </c>
      <c r="F278">
        <v>296.13333</v>
      </c>
      <c r="G278">
        <v>214.33332999999999</v>
      </c>
      <c r="H278">
        <v>1.3816485000000001</v>
      </c>
      <c r="I278">
        <v>-0.38164853999999998</v>
      </c>
      <c r="J278">
        <v>0.41987722999999999</v>
      </c>
    </row>
    <row r="279" spans="1:10" x14ac:dyDescent="0.3">
      <c r="A279">
        <v>277</v>
      </c>
      <c r="B279">
        <v>5393</v>
      </c>
      <c r="C279" t="b">
        <v>1</v>
      </c>
      <c r="D279">
        <v>8129</v>
      </c>
      <c r="E279">
        <v>8146</v>
      </c>
      <c r="F279">
        <v>295.73334</v>
      </c>
      <c r="G279">
        <v>214.73334</v>
      </c>
      <c r="H279">
        <v>1.3772120000000001</v>
      </c>
      <c r="I279">
        <v>-0.37721205000000002</v>
      </c>
      <c r="J279">
        <v>0.42066081999999999</v>
      </c>
    </row>
    <row r="280" spans="1:10" x14ac:dyDescent="0.3">
      <c r="A280">
        <v>278</v>
      </c>
      <c r="B280">
        <v>5408</v>
      </c>
      <c r="C280" t="b">
        <v>1</v>
      </c>
      <c r="D280">
        <v>8169</v>
      </c>
      <c r="E280">
        <v>8105</v>
      </c>
      <c r="F280">
        <v>294.2</v>
      </c>
      <c r="G280">
        <v>214.4</v>
      </c>
      <c r="H280">
        <v>1.3722015999999999</v>
      </c>
      <c r="I280">
        <v>-0.37220160000000002</v>
      </c>
      <c r="J280">
        <v>0.42154932000000001</v>
      </c>
    </row>
    <row r="281" spans="1:10" x14ac:dyDescent="0.3">
      <c r="A281">
        <v>279</v>
      </c>
      <c r="B281">
        <v>5425</v>
      </c>
      <c r="C281" t="b">
        <v>1</v>
      </c>
      <c r="D281">
        <v>8129</v>
      </c>
      <c r="E281">
        <v>8129</v>
      </c>
      <c r="F281">
        <v>292.66665999999998</v>
      </c>
      <c r="G281">
        <v>214.8</v>
      </c>
      <c r="H281">
        <v>1.3625077000000001</v>
      </c>
      <c r="I281">
        <v>-0.36250769999999999</v>
      </c>
      <c r="J281">
        <v>0.42327904999999999</v>
      </c>
    </row>
    <row r="282" spans="1:10" x14ac:dyDescent="0.3">
      <c r="A282">
        <v>280</v>
      </c>
      <c r="B282">
        <v>5440</v>
      </c>
      <c r="C282" t="b">
        <v>1</v>
      </c>
      <c r="D282">
        <v>8135</v>
      </c>
      <c r="E282">
        <v>8134</v>
      </c>
      <c r="F282">
        <v>291.53332999999998</v>
      </c>
      <c r="G282">
        <v>215.2</v>
      </c>
      <c r="H282">
        <v>1.3547088</v>
      </c>
      <c r="I282">
        <v>-0.35470879999999999</v>
      </c>
      <c r="J282">
        <v>0.42468095</v>
      </c>
    </row>
    <row r="283" spans="1:10" x14ac:dyDescent="0.3">
      <c r="A283">
        <v>281</v>
      </c>
      <c r="B283">
        <v>5456</v>
      </c>
      <c r="C283" t="b">
        <v>1</v>
      </c>
      <c r="D283">
        <v>8158</v>
      </c>
      <c r="E283">
        <v>8140</v>
      </c>
      <c r="F283">
        <v>290.39999999999998</v>
      </c>
      <c r="G283">
        <v>215.93333000000001</v>
      </c>
      <c r="H283">
        <v>1.3448595000000001</v>
      </c>
      <c r="I283">
        <v>-0.34485948</v>
      </c>
      <c r="J283">
        <v>0.42646479999999998</v>
      </c>
    </row>
    <row r="284" spans="1:10" x14ac:dyDescent="0.3">
      <c r="A284">
        <v>282</v>
      </c>
      <c r="B284">
        <v>5472</v>
      </c>
      <c r="C284" t="b">
        <v>1</v>
      </c>
      <c r="D284">
        <v>8163</v>
      </c>
      <c r="E284">
        <v>8152</v>
      </c>
      <c r="F284">
        <v>290.8</v>
      </c>
      <c r="G284">
        <v>216.26666</v>
      </c>
      <c r="H284">
        <v>1.3446362000000001</v>
      </c>
      <c r="I284">
        <v>-0.34463622999999999</v>
      </c>
      <c r="J284">
        <v>0.42650539999999998</v>
      </c>
    </row>
    <row r="285" spans="1:10" x14ac:dyDescent="0.3">
      <c r="A285">
        <v>283</v>
      </c>
      <c r="B285">
        <v>5488</v>
      </c>
      <c r="C285" t="b">
        <v>1</v>
      </c>
      <c r="D285">
        <v>8129</v>
      </c>
      <c r="E285">
        <v>8140</v>
      </c>
      <c r="F285">
        <v>290.8</v>
      </c>
      <c r="G285">
        <v>217.4</v>
      </c>
      <c r="H285">
        <v>1.3376265000000001</v>
      </c>
      <c r="I285">
        <v>-0.3376265</v>
      </c>
      <c r="J285">
        <v>0.42778434999999998</v>
      </c>
    </row>
    <row r="286" spans="1:10" x14ac:dyDescent="0.3">
      <c r="A286">
        <v>284</v>
      </c>
      <c r="B286">
        <v>5504</v>
      </c>
      <c r="C286" t="b">
        <v>1</v>
      </c>
      <c r="D286">
        <v>8192</v>
      </c>
      <c r="E286">
        <v>8117</v>
      </c>
      <c r="F286">
        <v>293.13333</v>
      </c>
      <c r="G286">
        <v>218.13333</v>
      </c>
      <c r="H286">
        <v>1.3438264</v>
      </c>
      <c r="I286">
        <v>-0.34382639999999998</v>
      </c>
      <c r="J286">
        <v>0.42665276000000002</v>
      </c>
    </row>
    <row r="287" spans="1:10" x14ac:dyDescent="0.3">
      <c r="A287">
        <v>285</v>
      </c>
      <c r="B287">
        <v>5520</v>
      </c>
      <c r="C287" t="b">
        <v>1</v>
      </c>
      <c r="D287">
        <v>8146</v>
      </c>
      <c r="E287">
        <v>8129</v>
      </c>
      <c r="F287">
        <v>294.33334000000002</v>
      </c>
      <c r="G287">
        <v>218.53334000000001</v>
      </c>
      <c r="H287">
        <v>1.3468578</v>
      </c>
      <c r="I287">
        <v>-0.34685785000000002</v>
      </c>
      <c r="J287">
        <v>0.42610162000000001</v>
      </c>
    </row>
    <row r="288" spans="1:10" x14ac:dyDescent="0.3">
      <c r="A288">
        <v>286</v>
      </c>
      <c r="B288">
        <v>5536</v>
      </c>
      <c r="C288" t="b">
        <v>1</v>
      </c>
      <c r="D288">
        <v>8135</v>
      </c>
      <c r="E288">
        <v>8140</v>
      </c>
      <c r="F288">
        <v>294.73334</v>
      </c>
      <c r="G288">
        <v>218.93333000000001</v>
      </c>
      <c r="H288">
        <v>1.3462242</v>
      </c>
      <c r="I288">
        <v>-0.34622413000000002</v>
      </c>
      <c r="J288">
        <v>0.42621671999999999</v>
      </c>
    </row>
    <row r="289" spans="1:10" x14ac:dyDescent="0.3">
      <c r="A289">
        <v>287</v>
      </c>
      <c r="B289">
        <v>5552</v>
      </c>
      <c r="C289" t="b">
        <v>1</v>
      </c>
      <c r="D289">
        <v>8123</v>
      </c>
      <c r="E289">
        <v>8176</v>
      </c>
      <c r="F289">
        <v>295.53332999999998</v>
      </c>
      <c r="G289">
        <v>219.33332999999999</v>
      </c>
      <c r="H289">
        <v>1.3474164</v>
      </c>
      <c r="I289">
        <v>-0.34741640000000001</v>
      </c>
      <c r="J289">
        <v>0.42600027000000001</v>
      </c>
    </row>
    <row r="290" spans="1:10" x14ac:dyDescent="0.3">
      <c r="A290">
        <v>288</v>
      </c>
      <c r="B290">
        <v>5567</v>
      </c>
      <c r="C290" t="b">
        <v>1</v>
      </c>
      <c r="D290">
        <v>8152</v>
      </c>
      <c r="E290">
        <v>8123</v>
      </c>
      <c r="F290">
        <v>297.06668000000002</v>
      </c>
      <c r="G290">
        <v>219</v>
      </c>
      <c r="H290">
        <v>1.3564689000000001</v>
      </c>
      <c r="I290">
        <v>-0.35646886</v>
      </c>
      <c r="J290">
        <v>0.42436380000000001</v>
      </c>
    </row>
    <row r="291" spans="1:10" x14ac:dyDescent="0.3">
      <c r="A291">
        <v>289</v>
      </c>
      <c r="B291">
        <v>5584</v>
      </c>
      <c r="C291" t="b">
        <v>1</v>
      </c>
      <c r="D291">
        <v>8140</v>
      </c>
      <c r="E291">
        <v>8134</v>
      </c>
      <c r="F291">
        <v>298.2</v>
      </c>
      <c r="G291">
        <v>219</v>
      </c>
      <c r="H291">
        <v>1.3616439</v>
      </c>
      <c r="I291">
        <v>-0.36164387999999997</v>
      </c>
      <c r="J291">
        <v>0.42343386999999999</v>
      </c>
    </row>
    <row r="292" spans="1:10" x14ac:dyDescent="0.3">
      <c r="A292">
        <v>290</v>
      </c>
      <c r="B292">
        <v>5599</v>
      </c>
      <c r="C292" t="b">
        <v>1</v>
      </c>
      <c r="D292">
        <v>8129</v>
      </c>
      <c r="E292">
        <v>8146</v>
      </c>
      <c r="F292">
        <v>299</v>
      </c>
      <c r="G292">
        <v>219.4</v>
      </c>
      <c r="H292">
        <v>1.3628077999999999</v>
      </c>
      <c r="I292">
        <v>-0.36280770000000001</v>
      </c>
      <c r="J292">
        <v>0.42322527999999998</v>
      </c>
    </row>
    <row r="293" spans="1:10" x14ac:dyDescent="0.3">
      <c r="A293">
        <v>291</v>
      </c>
      <c r="B293">
        <v>5615</v>
      </c>
      <c r="C293" t="b">
        <v>1</v>
      </c>
      <c r="D293">
        <v>8106</v>
      </c>
      <c r="E293">
        <v>8111</v>
      </c>
      <c r="F293">
        <v>299.39999999999998</v>
      </c>
      <c r="G293">
        <v>219.73334</v>
      </c>
      <c r="H293">
        <v>1.3625605999999999</v>
      </c>
      <c r="I293">
        <v>-0.36256062999999999</v>
      </c>
      <c r="J293">
        <v>0.42326960000000002</v>
      </c>
    </row>
    <row r="294" spans="1:10" x14ac:dyDescent="0.3">
      <c r="A294">
        <v>292</v>
      </c>
      <c r="B294">
        <v>5647</v>
      </c>
      <c r="C294" t="b">
        <v>1</v>
      </c>
      <c r="D294">
        <v>8152</v>
      </c>
      <c r="E294">
        <v>8140</v>
      </c>
      <c r="F294">
        <v>300.53332999999998</v>
      </c>
      <c r="G294">
        <v>220.06666999999999</v>
      </c>
      <c r="H294">
        <v>1.3656467000000001</v>
      </c>
      <c r="I294">
        <v>-0.36564675000000002</v>
      </c>
      <c r="J294">
        <v>0.42271740000000002</v>
      </c>
    </row>
    <row r="295" spans="1:10" x14ac:dyDescent="0.3">
      <c r="A295">
        <v>293</v>
      </c>
      <c r="B295">
        <v>5679</v>
      </c>
      <c r="C295" t="b">
        <v>1</v>
      </c>
      <c r="D295">
        <v>8111</v>
      </c>
      <c r="E295">
        <v>8158</v>
      </c>
      <c r="F295">
        <v>300.53332999999998</v>
      </c>
      <c r="G295">
        <v>220.8</v>
      </c>
      <c r="H295">
        <v>1.361111</v>
      </c>
      <c r="I295">
        <v>-0.36111103999999999</v>
      </c>
      <c r="J295">
        <v>0.42352944999999997</v>
      </c>
    </row>
    <row r="296" spans="1:10" x14ac:dyDescent="0.3">
      <c r="A296">
        <v>294</v>
      </c>
      <c r="B296">
        <v>5695</v>
      </c>
      <c r="C296" t="b">
        <v>1</v>
      </c>
      <c r="D296">
        <v>8169</v>
      </c>
      <c r="E296">
        <v>8129</v>
      </c>
      <c r="F296">
        <v>300.53332999999998</v>
      </c>
      <c r="G296">
        <v>221.53334000000001</v>
      </c>
      <c r="H296">
        <v>1.3566054000000001</v>
      </c>
      <c r="I296">
        <v>-0.35660540000000002</v>
      </c>
      <c r="J296">
        <v>0.42433920000000003</v>
      </c>
    </row>
    <row r="297" spans="1:10" x14ac:dyDescent="0.3">
      <c r="A297">
        <v>295</v>
      </c>
      <c r="B297">
        <v>5711</v>
      </c>
      <c r="C297" t="b">
        <v>1</v>
      </c>
      <c r="D297">
        <v>8158</v>
      </c>
      <c r="E297">
        <v>8134</v>
      </c>
      <c r="F297">
        <v>301.66665999999998</v>
      </c>
      <c r="G297">
        <v>221.86667</v>
      </c>
      <c r="H297">
        <v>1.3596754</v>
      </c>
      <c r="I297">
        <v>-0.35967544000000001</v>
      </c>
      <c r="J297">
        <v>0.42378710000000003</v>
      </c>
    </row>
    <row r="298" spans="1:10" x14ac:dyDescent="0.3">
      <c r="A298">
        <v>296</v>
      </c>
      <c r="B298">
        <v>5727</v>
      </c>
      <c r="C298" t="b">
        <v>1</v>
      </c>
      <c r="D298">
        <v>8152</v>
      </c>
      <c r="E298">
        <v>8146</v>
      </c>
      <c r="F298">
        <v>302.8</v>
      </c>
      <c r="G298">
        <v>222.26666</v>
      </c>
      <c r="H298">
        <v>1.3623274999999999</v>
      </c>
      <c r="I298">
        <v>-0.36232752000000001</v>
      </c>
      <c r="J298">
        <v>0.42331131999999999</v>
      </c>
    </row>
    <row r="299" spans="1:10" x14ac:dyDescent="0.3">
      <c r="A299">
        <v>297</v>
      </c>
      <c r="B299">
        <v>5742</v>
      </c>
      <c r="C299" t="b">
        <v>1</v>
      </c>
      <c r="D299">
        <v>8123</v>
      </c>
      <c r="E299">
        <v>8158</v>
      </c>
      <c r="F299">
        <v>302.39999999999998</v>
      </c>
      <c r="G299">
        <v>223.06666999999999</v>
      </c>
      <c r="H299">
        <v>1.3556485</v>
      </c>
      <c r="I299">
        <v>-0.35564852000000002</v>
      </c>
      <c r="J299">
        <v>0.42451151999999998</v>
      </c>
    </row>
    <row r="300" spans="1:10" x14ac:dyDescent="0.3">
      <c r="A300">
        <v>298</v>
      </c>
      <c r="B300">
        <v>5758</v>
      </c>
      <c r="C300" t="b">
        <v>1</v>
      </c>
      <c r="D300">
        <v>8117</v>
      </c>
      <c r="E300">
        <v>8140</v>
      </c>
      <c r="F300">
        <v>303.53332999999998</v>
      </c>
      <c r="G300">
        <v>223.06666999999999</v>
      </c>
      <c r="H300">
        <v>1.3607292</v>
      </c>
      <c r="I300">
        <v>-0.36072920000000003</v>
      </c>
      <c r="J300">
        <v>0.42359793000000001</v>
      </c>
    </row>
    <row r="301" spans="1:10" x14ac:dyDescent="0.3">
      <c r="A301">
        <v>299</v>
      </c>
      <c r="B301">
        <v>5774</v>
      </c>
      <c r="C301" t="b">
        <v>1</v>
      </c>
      <c r="D301">
        <v>8158</v>
      </c>
      <c r="E301">
        <v>8140</v>
      </c>
      <c r="F301">
        <v>303.13333</v>
      </c>
      <c r="G301">
        <v>223.06666999999999</v>
      </c>
      <c r="H301">
        <v>1.3589361</v>
      </c>
      <c r="I301">
        <v>-0.35893604000000001</v>
      </c>
      <c r="J301">
        <v>0.42391992000000001</v>
      </c>
    </row>
    <row r="302" spans="1:10" x14ac:dyDescent="0.3">
      <c r="A302">
        <v>300</v>
      </c>
      <c r="B302">
        <v>5790</v>
      </c>
      <c r="C302" t="b">
        <v>1</v>
      </c>
      <c r="D302">
        <v>8146</v>
      </c>
      <c r="E302">
        <v>8129</v>
      </c>
      <c r="F302">
        <v>302.33334000000002</v>
      </c>
      <c r="G302">
        <v>223.06666999999999</v>
      </c>
      <c r="H302">
        <v>1.3553497999999999</v>
      </c>
      <c r="I302">
        <v>-0.35534971999999998</v>
      </c>
      <c r="J302">
        <v>0.42456537</v>
      </c>
    </row>
    <row r="303" spans="1:10" x14ac:dyDescent="0.3">
      <c r="A303">
        <v>301</v>
      </c>
      <c r="B303">
        <v>5806</v>
      </c>
      <c r="C303" t="b">
        <v>1</v>
      </c>
      <c r="D303">
        <v>8129</v>
      </c>
      <c r="E303">
        <v>8111</v>
      </c>
      <c r="F303">
        <v>301.2</v>
      </c>
      <c r="G303">
        <v>223.06666999999999</v>
      </c>
      <c r="H303">
        <v>1.3502691</v>
      </c>
      <c r="I303">
        <v>-0.35026905000000003</v>
      </c>
      <c r="J303">
        <v>0.42548322999999999</v>
      </c>
    </row>
    <row r="304" spans="1:10" x14ac:dyDescent="0.3">
      <c r="A304">
        <v>302</v>
      </c>
      <c r="B304">
        <v>5821</v>
      </c>
      <c r="C304" t="b">
        <v>1</v>
      </c>
      <c r="D304">
        <v>8135</v>
      </c>
      <c r="E304">
        <v>8164</v>
      </c>
      <c r="F304">
        <v>301.2</v>
      </c>
      <c r="G304">
        <v>223.06666999999999</v>
      </c>
      <c r="H304">
        <v>1.3502691</v>
      </c>
      <c r="I304">
        <v>-0.35026905000000003</v>
      </c>
      <c r="J304">
        <v>0.42548322999999999</v>
      </c>
    </row>
    <row r="305" spans="1:10" x14ac:dyDescent="0.3">
      <c r="A305">
        <v>303</v>
      </c>
      <c r="B305">
        <v>5837</v>
      </c>
      <c r="C305" t="b">
        <v>1</v>
      </c>
      <c r="D305">
        <v>8140</v>
      </c>
      <c r="E305">
        <v>8129</v>
      </c>
      <c r="F305">
        <v>300.8</v>
      </c>
      <c r="G305">
        <v>223.06666999999999</v>
      </c>
      <c r="H305">
        <v>1.3484757000000001</v>
      </c>
      <c r="I305">
        <v>-0.34847574999999997</v>
      </c>
      <c r="J305">
        <v>0.42580810000000002</v>
      </c>
    </row>
    <row r="306" spans="1:10" x14ac:dyDescent="0.3">
      <c r="A306">
        <v>304</v>
      </c>
      <c r="B306">
        <v>5853</v>
      </c>
      <c r="C306" t="b">
        <v>1</v>
      </c>
      <c r="D306">
        <v>8123</v>
      </c>
      <c r="E306">
        <v>8140</v>
      </c>
      <c r="F306">
        <v>300.46667000000002</v>
      </c>
      <c r="G306">
        <v>222.73334</v>
      </c>
      <c r="H306">
        <v>1.3489974</v>
      </c>
      <c r="I306">
        <v>-0.34899732</v>
      </c>
      <c r="J306">
        <v>0.42571356999999999</v>
      </c>
    </row>
    <row r="307" spans="1:10" x14ac:dyDescent="0.3">
      <c r="A307">
        <v>305</v>
      </c>
      <c r="B307">
        <v>5869</v>
      </c>
      <c r="C307" t="b">
        <v>1</v>
      </c>
      <c r="D307">
        <v>8146</v>
      </c>
      <c r="E307">
        <v>8146</v>
      </c>
      <c r="F307">
        <v>300.46667000000002</v>
      </c>
      <c r="G307">
        <v>222.73334</v>
      </c>
      <c r="H307">
        <v>1.3489974</v>
      </c>
      <c r="I307">
        <v>-0.34899732</v>
      </c>
      <c r="J307">
        <v>0.42571356999999999</v>
      </c>
    </row>
    <row r="308" spans="1:10" x14ac:dyDescent="0.3">
      <c r="A308">
        <v>306</v>
      </c>
      <c r="B308">
        <v>5885</v>
      </c>
      <c r="C308" t="b">
        <v>1</v>
      </c>
      <c r="D308">
        <v>8140</v>
      </c>
      <c r="E308">
        <v>8152</v>
      </c>
      <c r="F308">
        <v>301.2</v>
      </c>
      <c r="G308">
        <v>223.53334000000001</v>
      </c>
      <c r="H308">
        <v>1.34745</v>
      </c>
      <c r="I308">
        <v>-0.34745005000000001</v>
      </c>
      <c r="J308">
        <v>0.42599416000000001</v>
      </c>
    </row>
    <row r="309" spans="1:10" x14ac:dyDescent="0.3">
      <c r="A309">
        <v>307</v>
      </c>
      <c r="B309">
        <v>5901</v>
      </c>
      <c r="C309" t="b">
        <v>1</v>
      </c>
      <c r="D309">
        <v>8100</v>
      </c>
      <c r="E309">
        <v>8123</v>
      </c>
      <c r="F309">
        <v>301.2</v>
      </c>
      <c r="G309">
        <v>223.93333000000001</v>
      </c>
      <c r="H309">
        <v>1.3450432000000001</v>
      </c>
      <c r="I309">
        <v>-0.34504319999999999</v>
      </c>
      <c r="J309">
        <v>0.42643135999999998</v>
      </c>
    </row>
    <row r="310" spans="1:10" x14ac:dyDescent="0.3">
      <c r="A310">
        <v>308</v>
      </c>
      <c r="B310">
        <v>5917</v>
      </c>
      <c r="C310" t="b">
        <v>1</v>
      </c>
      <c r="D310">
        <v>8135</v>
      </c>
      <c r="E310">
        <v>8152</v>
      </c>
      <c r="F310">
        <v>301.60000000000002</v>
      </c>
      <c r="G310">
        <v>224.33332999999999</v>
      </c>
      <c r="H310">
        <v>1.344428</v>
      </c>
      <c r="I310">
        <v>-0.34442800000000001</v>
      </c>
      <c r="J310">
        <v>0.42654326999999997</v>
      </c>
    </row>
    <row r="311" spans="1:10" x14ac:dyDescent="0.3">
      <c r="A311">
        <v>309</v>
      </c>
      <c r="B311">
        <v>5932</v>
      </c>
      <c r="C311" t="b">
        <v>1</v>
      </c>
      <c r="D311">
        <v>8111</v>
      </c>
      <c r="E311">
        <v>8152</v>
      </c>
      <c r="F311">
        <v>302</v>
      </c>
      <c r="G311">
        <v>225.13333</v>
      </c>
      <c r="H311">
        <v>1.3414273000000001</v>
      </c>
      <c r="I311">
        <v>-0.34142732999999997</v>
      </c>
      <c r="J311">
        <v>0.42708993000000001</v>
      </c>
    </row>
    <row r="312" spans="1:10" x14ac:dyDescent="0.3">
      <c r="A312">
        <v>310</v>
      </c>
      <c r="B312">
        <v>5948</v>
      </c>
      <c r="C312" t="b">
        <v>1</v>
      </c>
      <c r="D312">
        <v>8135</v>
      </c>
      <c r="E312">
        <v>8129</v>
      </c>
      <c r="F312">
        <v>300.86667</v>
      </c>
      <c r="G312">
        <v>226.33332999999999</v>
      </c>
      <c r="H312">
        <v>1.3293078</v>
      </c>
      <c r="I312">
        <v>-0.32930785000000001</v>
      </c>
      <c r="J312">
        <v>0.42931207999999998</v>
      </c>
    </row>
    <row r="313" spans="1:10" x14ac:dyDescent="0.3">
      <c r="A313">
        <v>311</v>
      </c>
      <c r="B313">
        <v>5964</v>
      </c>
      <c r="C313" t="b">
        <v>1</v>
      </c>
      <c r="D313">
        <v>8152</v>
      </c>
      <c r="E313">
        <v>8117</v>
      </c>
      <c r="F313">
        <v>299.73334</v>
      </c>
      <c r="G313">
        <v>225.6</v>
      </c>
      <c r="H313">
        <v>1.3286051999999999</v>
      </c>
      <c r="I313">
        <v>-0.32860518</v>
      </c>
      <c r="J313">
        <v>0.42944159999999998</v>
      </c>
    </row>
    <row r="314" spans="1:10" x14ac:dyDescent="0.3">
      <c r="A314">
        <v>312</v>
      </c>
      <c r="B314">
        <v>5996</v>
      </c>
      <c r="C314" t="b">
        <v>1</v>
      </c>
      <c r="D314">
        <v>8140</v>
      </c>
      <c r="E314">
        <v>8099</v>
      </c>
      <c r="F314">
        <v>298.60000000000002</v>
      </c>
      <c r="G314">
        <v>224.46665999999999</v>
      </c>
      <c r="H314">
        <v>1.3302643999999999</v>
      </c>
      <c r="I314">
        <v>-0.33026440000000001</v>
      </c>
      <c r="J314">
        <v>0.42913585999999998</v>
      </c>
    </row>
    <row r="315" spans="1:10" x14ac:dyDescent="0.3">
      <c r="A315">
        <v>313</v>
      </c>
      <c r="B315">
        <v>6011</v>
      </c>
      <c r="C315" t="b">
        <v>1</v>
      </c>
      <c r="D315">
        <v>8135</v>
      </c>
      <c r="E315">
        <v>8158</v>
      </c>
      <c r="F315">
        <v>297.46667000000002</v>
      </c>
      <c r="G315">
        <v>223.73334</v>
      </c>
      <c r="H315">
        <v>1.3295589999999999</v>
      </c>
      <c r="I315">
        <v>-0.32955899999999999</v>
      </c>
      <c r="J315">
        <v>0.42926579999999998</v>
      </c>
    </row>
    <row r="316" spans="1:10" x14ac:dyDescent="0.3">
      <c r="A316">
        <v>314</v>
      </c>
      <c r="B316">
        <v>6028</v>
      </c>
      <c r="C316" t="b">
        <v>1</v>
      </c>
      <c r="D316">
        <v>8158</v>
      </c>
      <c r="E316">
        <v>8134</v>
      </c>
      <c r="F316">
        <v>296.66665999999998</v>
      </c>
      <c r="G316">
        <v>223</v>
      </c>
      <c r="H316">
        <v>1.3303437</v>
      </c>
      <c r="I316">
        <v>-0.33034374999999999</v>
      </c>
      <c r="J316">
        <v>0.42912126</v>
      </c>
    </row>
    <row r="317" spans="1:10" x14ac:dyDescent="0.3">
      <c r="A317">
        <v>315</v>
      </c>
      <c r="B317">
        <v>6044</v>
      </c>
      <c r="C317" t="b">
        <v>1</v>
      </c>
      <c r="D317">
        <v>8117</v>
      </c>
      <c r="E317">
        <v>8134</v>
      </c>
      <c r="F317">
        <v>296.26666</v>
      </c>
      <c r="G317">
        <v>222.6</v>
      </c>
      <c r="H317">
        <v>1.3309374</v>
      </c>
      <c r="I317">
        <v>-0.33093736000000001</v>
      </c>
      <c r="J317">
        <v>0.42901193999999998</v>
      </c>
    </row>
    <row r="318" spans="1:10" x14ac:dyDescent="0.3">
      <c r="A318">
        <v>316</v>
      </c>
      <c r="B318">
        <v>6059</v>
      </c>
      <c r="C318" t="b">
        <v>1</v>
      </c>
      <c r="D318">
        <v>8140</v>
      </c>
      <c r="E318">
        <v>8129</v>
      </c>
      <c r="F318">
        <v>297</v>
      </c>
      <c r="G318">
        <v>222.2</v>
      </c>
      <c r="H318">
        <v>1.3366336999999999</v>
      </c>
      <c r="I318">
        <v>-0.33663367999999999</v>
      </c>
      <c r="J318">
        <v>0.42796610000000002</v>
      </c>
    </row>
    <row r="319" spans="1:10" x14ac:dyDescent="0.3">
      <c r="A319">
        <v>317</v>
      </c>
      <c r="B319">
        <v>6075</v>
      </c>
      <c r="C319" t="b">
        <v>1</v>
      </c>
      <c r="D319">
        <v>8123</v>
      </c>
      <c r="E319">
        <v>8117</v>
      </c>
      <c r="F319">
        <v>297</v>
      </c>
      <c r="G319">
        <v>221.8</v>
      </c>
      <c r="H319">
        <v>1.3390442</v>
      </c>
      <c r="I319">
        <v>-0.33904414999999999</v>
      </c>
      <c r="J319">
        <v>0.42752507000000001</v>
      </c>
    </row>
    <row r="320" spans="1:10" x14ac:dyDescent="0.3">
      <c r="A320">
        <v>318</v>
      </c>
      <c r="B320">
        <v>6091</v>
      </c>
      <c r="C320" t="b">
        <v>1</v>
      </c>
      <c r="D320">
        <v>8152</v>
      </c>
      <c r="E320">
        <v>8123</v>
      </c>
      <c r="F320">
        <v>297</v>
      </c>
      <c r="G320">
        <v>221.8</v>
      </c>
      <c r="H320">
        <v>1.3390442</v>
      </c>
      <c r="I320">
        <v>-0.33904414999999999</v>
      </c>
      <c r="J320">
        <v>0.42752507000000001</v>
      </c>
    </row>
    <row r="321" spans="1:10" x14ac:dyDescent="0.3">
      <c r="A321">
        <v>319</v>
      </c>
      <c r="B321">
        <v>6107</v>
      </c>
      <c r="C321" t="b">
        <v>1</v>
      </c>
      <c r="D321">
        <v>8175</v>
      </c>
      <c r="E321">
        <v>8134</v>
      </c>
      <c r="F321">
        <v>297.33334000000002</v>
      </c>
      <c r="G321">
        <v>221.8</v>
      </c>
      <c r="H321">
        <v>1.3405471</v>
      </c>
      <c r="I321">
        <v>-0.34054706000000001</v>
      </c>
      <c r="J321">
        <v>0.42725053000000002</v>
      </c>
    </row>
    <row r="322" spans="1:10" x14ac:dyDescent="0.3">
      <c r="A322">
        <v>320</v>
      </c>
      <c r="B322">
        <v>6123</v>
      </c>
      <c r="C322" t="b">
        <v>1</v>
      </c>
      <c r="D322">
        <v>8152</v>
      </c>
      <c r="E322">
        <v>8146</v>
      </c>
      <c r="F322">
        <v>298.46667000000002</v>
      </c>
      <c r="G322">
        <v>221.06666999999999</v>
      </c>
      <c r="H322">
        <v>1.3501207</v>
      </c>
      <c r="I322">
        <v>-0.35012065999999997</v>
      </c>
      <c r="J322">
        <v>0.42551008000000001</v>
      </c>
    </row>
    <row r="323" spans="1:10" x14ac:dyDescent="0.3">
      <c r="A323">
        <v>321</v>
      </c>
      <c r="B323">
        <v>6138</v>
      </c>
      <c r="C323" t="b">
        <v>1</v>
      </c>
      <c r="D323">
        <v>8158</v>
      </c>
      <c r="E323">
        <v>8146</v>
      </c>
      <c r="F323">
        <v>299.26666</v>
      </c>
      <c r="G323">
        <v>220.26666</v>
      </c>
      <c r="H323">
        <v>1.3586562</v>
      </c>
      <c r="I323">
        <v>-0.35865617</v>
      </c>
      <c r="J323">
        <v>0.42397022000000001</v>
      </c>
    </row>
    <row r="324" spans="1:10" x14ac:dyDescent="0.3">
      <c r="A324">
        <v>322</v>
      </c>
      <c r="B324">
        <v>6154</v>
      </c>
      <c r="C324" t="b">
        <v>1</v>
      </c>
      <c r="D324">
        <v>8123</v>
      </c>
      <c r="E324">
        <v>8146</v>
      </c>
      <c r="F324">
        <v>300.06668000000002</v>
      </c>
      <c r="G324">
        <v>220.66667000000001</v>
      </c>
      <c r="H324">
        <v>1.3598188</v>
      </c>
      <c r="I324">
        <v>-0.35981876000000002</v>
      </c>
      <c r="J324">
        <v>0.42376137000000003</v>
      </c>
    </row>
    <row r="325" spans="1:10" x14ac:dyDescent="0.3">
      <c r="A325">
        <v>323</v>
      </c>
      <c r="B325">
        <v>6170</v>
      </c>
      <c r="C325" t="b">
        <v>1</v>
      </c>
      <c r="D325">
        <v>8158</v>
      </c>
      <c r="E325">
        <v>8146</v>
      </c>
      <c r="F325">
        <v>301.60000000000002</v>
      </c>
      <c r="G325">
        <v>220.66667000000001</v>
      </c>
      <c r="H325">
        <v>1.3667674000000001</v>
      </c>
      <c r="I325">
        <v>-0.36676737999999998</v>
      </c>
      <c r="J325">
        <v>0.42251724000000002</v>
      </c>
    </row>
    <row r="326" spans="1:10" x14ac:dyDescent="0.3">
      <c r="A326">
        <v>324</v>
      </c>
      <c r="B326">
        <v>6186</v>
      </c>
      <c r="C326" t="b">
        <v>1</v>
      </c>
      <c r="D326">
        <v>8123</v>
      </c>
      <c r="E326">
        <v>8129</v>
      </c>
      <c r="F326">
        <v>302.73334</v>
      </c>
      <c r="G326">
        <v>220.26666</v>
      </c>
      <c r="H326">
        <v>1.3743947999999999</v>
      </c>
      <c r="I326">
        <v>-0.37439470000000002</v>
      </c>
      <c r="J326">
        <v>0.42115995000000001</v>
      </c>
    </row>
    <row r="327" spans="1:10" x14ac:dyDescent="0.3">
      <c r="A327">
        <v>325</v>
      </c>
      <c r="B327">
        <v>6202</v>
      </c>
      <c r="C327" t="b">
        <v>1</v>
      </c>
      <c r="D327">
        <v>8158</v>
      </c>
      <c r="E327">
        <v>8129</v>
      </c>
      <c r="F327">
        <v>304.26666</v>
      </c>
      <c r="G327">
        <v>219.86667</v>
      </c>
      <c r="H327">
        <v>1.3838689</v>
      </c>
      <c r="I327">
        <v>-0.38386900000000002</v>
      </c>
      <c r="J327">
        <v>0.41948616999999999</v>
      </c>
    </row>
    <row r="328" spans="1:10" x14ac:dyDescent="0.3">
      <c r="A328">
        <v>326</v>
      </c>
      <c r="B328">
        <v>6218</v>
      </c>
      <c r="C328" t="b">
        <v>1</v>
      </c>
      <c r="D328">
        <v>8123</v>
      </c>
      <c r="E328">
        <v>8123</v>
      </c>
      <c r="F328">
        <v>303.46667000000002</v>
      </c>
      <c r="G328">
        <v>219.86667</v>
      </c>
      <c r="H328">
        <v>1.3802304000000001</v>
      </c>
      <c r="I328">
        <v>-0.38023045999999999</v>
      </c>
      <c r="J328">
        <v>0.42012736000000001</v>
      </c>
    </row>
    <row r="329" spans="1:10" x14ac:dyDescent="0.3">
      <c r="A329">
        <v>327</v>
      </c>
      <c r="B329">
        <v>6234</v>
      </c>
      <c r="C329" t="b">
        <v>1</v>
      </c>
      <c r="D329">
        <v>8117</v>
      </c>
      <c r="E329">
        <v>8146</v>
      </c>
      <c r="F329">
        <v>302.66665999999998</v>
      </c>
      <c r="G329">
        <v>219.86667</v>
      </c>
      <c r="H329">
        <v>1.3765917999999999</v>
      </c>
      <c r="I329">
        <v>-0.37659179999999998</v>
      </c>
      <c r="J329">
        <v>0.42077061999999998</v>
      </c>
    </row>
    <row r="330" spans="1:10" x14ac:dyDescent="0.3">
      <c r="A330">
        <v>328</v>
      </c>
      <c r="B330">
        <v>6250</v>
      </c>
      <c r="C330" t="b">
        <v>1</v>
      </c>
      <c r="D330">
        <v>8140</v>
      </c>
      <c r="E330">
        <v>8140</v>
      </c>
      <c r="F330">
        <v>301.86667</v>
      </c>
      <c r="G330">
        <v>219.86667</v>
      </c>
      <c r="H330">
        <v>1.3729533</v>
      </c>
      <c r="I330">
        <v>-0.37295329999999999</v>
      </c>
      <c r="J330">
        <v>0.42141580000000001</v>
      </c>
    </row>
    <row r="331" spans="1:10" x14ac:dyDescent="0.3">
      <c r="A331">
        <v>329</v>
      </c>
      <c r="B331">
        <v>6266</v>
      </c>
      <c r="C331" t="b">
        <v>1</v>
      </c>
      <c r="D331">
        <v>8146</v>
      </c>
      <c r="E331">
        <v>8129</v>
      </c>
      <c r="F331">
        <v>301.86667</v>
      </c>
      <c r="G331">
        <v>219.86667</v>
      </c>
      <c r="H331">
        <v>1.3729533</v>
      </c>
      <c r="I331">
        <v>-0.37295329999999999</v>
      </c>
      <c r="J331">
        <v>0.42141580000000001</v>
      </c>
    </row>
    <row r="332" spans="1:10" x14ac:dyDescent="0.3">
      <c r="A332">
        <v>330</v>
      </c>
      <c r="B332">
        <v>6282</v>
      </c>
      <c r="C332" t="b">
        <v>1</v>
      </c>
      <c r="D332">
        <v>8129</v>
      </c>
      <c r="E332">
        <v>8123</v>
      </c>
      <c r="F332">
        <v>301.13333</v>
      </c>
      <c r="G332">
        <v>219.53334000000001</v>
      </c>
      <c r="H332">
        <v>1.3716975</v>
      </c>
      <c r="I332">
        <v>-0.37169750000000001</v>
      </c>
      <c r="J332">
        <v>0.42163894000000002</v>
      </c>
    </row>
    <row r="333" spans="1:10" x14ac:dyDescent="0.3">
      <c r="A333">
        <v>331</v>
      </c>
      <c r="B333">
        <v>6314</v>
      </c>
      <c r="C333" t="b">
        <v>1</v>
      </c>
      <c r="D333">
        <v>8106</v>
      </c>
      <c r="E333">
        <v>8158</v>
      </c>
      <c r="F333">
        <v>300.39999999999998</v>
      </c>
      <c r="G333">
        <v>219.93333000000001</v>
      </c>
      <c r="H333">
        <v>1.3658684000000001</v>
      </c>
      <c r="I333">
        <v>-0.36586842000000003</v>
      </c>
      <c r="J333">
        <v>0.42267779999999999</v>
      </c>
    </row>
    <row r="334" spans="1:10" x14ac:dyDescent="0.3">
      <c r="A334">
        <v>332</v>
      </c>
      <c r="B334">
        <v>6345</v>
      </c>
      <c r="C334" t="b">
        <v>1</v>
      </c>
      <c r="D334">
        <v>8175</v>
      </c>
      <c r="E334">
        <v>8158</v>
      </c>
      <c r="F334">
        <v>300.73334</v>
      </c>
      <c r="G334">
        <v>220.33332999999999</v>
      </c>
      <c r="H334">
        <v>1.3649017000000001</v>
      </c>
      <c r="I334">
        <v>-0.36490171999999998</v>
      </c>
      <c r="J334">
        <v>0.42285057999999998</v>
      </c>
    </row>
    <row r="335" spans="1:10" x14ac:dyDescent="0.3">
      <c r="A335">
        <v>333</v>
      </c>
      <c r="B335">
        <v>6361</v>
      </c>
      <c r="C335" t="b">
        <v>1</v>
      </c>
      <c r="D335">
        <v>8111</v>
      </c>
      <c r="E335">
        <v>8182</v>
      </c>
      <c r="F335">
        <v>300</v>
      </c>
      <c r="G335">
        <v>222.26666</v>
      </c>
      <c r="H335">
        <v>1.3497300999999999</v>
      </c>
      <c r="I335">
        <v>-0.34973007</v>
      </c>
      <c r="J335">
        <v>0.42558079999999998</v>
      </c>
    </row>
    <row r="336" spans="1:10" x14ac:dyDescent="0.3">
      <c r="A336">
        <v>334</v>
      </c>
      <c r="B336">
        <v>6377</v>
      </c>
      <c r="C336" t="b">
        <v>1</v>
      </c>
      <c r="D336">
        <v>8100</v>
      </c>
      <c r="E336">
        <v>8129</v>
      </c>
      <c r="F336">
        <v>298.06668000000002</v>
      </c>
      <c r="G336">
        <v>224.2</v>
      </c>
      <c r="H336">
        <v>1.3294678</v>
      </c>
      <c r="I336">
        <v>-0.32946783000000002</v>
      </c>
      <c r="J336">
        <v>0.42928260000000001</v>
      </c>
    </row>
    <row r="337" spans="1:10" x14ac:dyDescent="0.3">
      <c r="A337">
        <v>335</v>
      </c>
      <c r="B337">
        <v>6393</v>
      </c>
      <c r="C337" t="b">
        <v>1</v>
      </c>
      <c r="D337">
        <v>8135</v>
      </c>
      <c r="E337">
        <v>8158</v>
      </c>
      <c r="F337">
        <v>295.33334000000002</v>
      </c>
      <c r="G337">
        <v>226.13333</v>
      </c>
      <c r="H337">
        <v>1.3060141999999999</v>
      </c>
      <c r="I337">
        <v>-0.30601420000000001</v>
      </c>
      <c r="J337">
        <v>0.43364868000000001</v>
      </c>
    </row>
    <row r="338" spans="1:10" x14ac:dyDescent="0.3">
      <c r="A338">
        <v>336</v>
      </c>
      <c r="B338">
        <v>6409</v>
      </c>
      <c r="C338" t="b">
        <v>1</v>
      </c>
      <c r="D338">
        <v>8106</v>
      </c>
      <c r="E338">
        <v>8134</v>
      </c>
      <c r="F338">
        <v>292.60000000000002</v>
      </c>
      <c r="G338">
        <v>227.73334</v>
      </c>
      <c r="H338">
        <v>1.2848360000000001</v>
      </c>
      <c r="I338">
        <v>-0.28483607999999999</v>
      </c>
      <c r="J338">
        <v>0.43766813999999998</v>
      </c>
    </row>
    <row r="339" spans="1:10" x14ac:dyDescent="0.3">
      <c r="A339">
        <v>337</v>
      </c>
      <c r="B339">
        <v>6424</v>
      </c>
      <c r="C339" t="b">
        <v>1</v>
      </c>
      <c r="D339">
        <v>8129</v>
      </c>
      <c r="E339">
        <v>8123</v>
      </c>
      <c r="F339">
        <v>289.86667</v>
      </c>
      <c r="G339">
        <v>226.93333000000001</v>
      </c>
      <c r="H339">
        <v>1.2773209000000001</v>
      </c>
      <c r="I339">
        <v>-0.27732079999999998</v>
      </c>
      <c r="J339">
        <v>0.43911250000000002</v>
      </c>
    </row>
    <row r="340" spans="1:10" x14ac:dyDescent="0.3">
      <c r="A340">
        <v>338</v>
      </c>
      <c r="B340">
        <v>6440</v>
      </c>
      <c r="C340" t="b">
        <v>1</v>
      </c>
      <c r="D340">
        <v>8152</v>
      </c>
      <c r="E340">
        <v>8123</v>
      </c>
      <c r="F340">
        <v>287.93331999999998</v>
      </c>
      <c r="G340">
        <v>225.8</v>
      </c>
      <c r="H340">
        <v>1.2751697</v>
      </c>
      <c r="I340">
        <v>-0.27516970000000002</v>
      </c>
      <c r="J340">
        <v>0.43952763</v>
      </c>
    </row>
    <row r="341" spans="1:10" x14ac:dyDescent="0.3">
      <c r="A341">
        <v>339</v>
      </c>
      <c r="B341">
        <v>6456</v>
      </c>
      <c r="C341" t="b">
        <v>1</v>
      </c>
      <c r="D341">
        <v>8169</v>
      </c>
      <c r="E341">
        <v>8146</v>
      </c>
      <c r="F341">
        <v>286.8</v>
      </c>
      <c r="G341">
        <v>225</v>
      </c>
      <c r="H341">
        <v>1.2746667</v>
      </c>
      <c r="I341">
        <v>-0.27466659999999998</v>
      </c>
      <c r="J341">
        <v>0.43962488</v>
      </c>
    </row>
    <row r="342" spans="1:10" x14ac:dyDescent="0.3">
      <c r="A342">
        <v>340</v>
      </c>
      <c r="B342">
        <v>6473</v>
      </c>
      <c r="C342" t="b">
        <v>1</v>
      </c>
      <c r="D342">
        <v>8163</v>
      </c>
      <c r="E342">
        <v>8146</v>
      </c>
      <c r="F342">
        <v>286.39999999999998</v>
      </c>
      <c r="G342">
        <v>224.2</v>
      </c>
      <c r="H342">
        <v>1.2774308999999999</v>
      </c>
      <c r="I342">
        <v>-0.27743086</v>
      </c>
      <c r="J342">
        <v>0.43909130000000002</v>
      </c>
    </row>
    <row r="343" spans="1:10" x14ac:dyDescent="0.3">
      <c r="A343">
        <v>341</v>
      </c>
      <c r="B343">
        <v>6489</v>
      </c>
      <c r="C343" t="b">
        <v>1</v>
      </c>
      <c r="D343">
        <v>8152</v>
      </c>
      <c r="E343">
        <v>8140</v>
      </c>
      <c r="F343">
        <v>288.33334000000002</v>
      </c>
      <c r="G343">
        <v>224.93333000000001</v>
      </c>
      <c r="H343">
        <v>1.2818613000000001</v>
      </c>
      <c r="I343">
        <v>-0.28186134000000002</v>
      </c>
      <c r="J343">
        <v>0.43823874000000002</v>
      </c>
    </row>
    <row r="344" spans="1:10" x14ac:dyDescent="0.3">
      <c r="A344">
        <v>342</v>
      </c>
      <c r="B344">
        <v>6505</v>
      </c>
      <c r="C344" t="b">
        <v>1</v>
      </c>
      <c r="D344">
        <v>8158</v>
      </c>
      <c r="E344">
        <v>8152</v>
      </c>
      <c r="F344">
        <v>290.66665999999998</v>
      </c>
      <c r="G344">
        <v>226.06666999999999</v>
      </c>
      <c r="H344">
        <v>1.2857563000000001</v>
      </c>
      <c r="I344">
        <v>-0.28575637999999998</v>
      </c>
      <c r="J344">
        <v>0.43749191999999998</v>
      </c>
    </row>
    <row r="345" spans="1:10" x14ac:dyDescent="0.3">
      <c r="A345">
        <v>343</v>
      </c>
      <c r="B345">
        <v>6521</v>
      </c>
      <c r="C345" t="b">
        <v>1</v>
      </c>
      <c r="D345">
        <v>8152</v>
      </c>
      <c r="E345">
        <v>8140</v>
      </c>
      <c r="F345">
        <v>293</v>
      </c>
      <c r="G345">
        <v>227.2</v>
      </c>
      <c r="H345">
        <v>1.2896126999999999</v>
      </c>
      <c r="I345">
        <v>-0.28961268000000001</v>
      </c>
      <c r="J345">
        <v>0.43675510000000001</v>
      </c>
    </row>
    <row r="346" spans="1:10" x14ac:dyDescent="0.3">
      <c r="A346">
        <v>344</v>
      </c>
      <c r="B346">
        <v>6537</v>
      </c>
      <c r="C346" t="b">
        <v>1</v>
      </c>
      <c r="D346">
        <v>8117</v>
      </c>
      <c r="E346">
        <v>8146</v>
      </c>
      <c r="F346">
        <v>293.8</v>
      </c>
      <c r="G346">
        <v>228.33332999999999</v>
      </c>
      <c r="H346">
        <v>1.2867153</v>
      </c>
      <c r="I346">
        <v>-0.28671530000000001</v>
      </c>
      <c r="J346">
        <v>0.43730849999999999</v>
      </c>
    </row>
    <row r="347" spans="1:10" x14ac:dyDescent="0.3">
      <c r="A347">
        <v>345</v>
      </c>
      <c r="B347">
        <v>6553</v>
      </c>
      <c r="C347" t="b">
        <v>1</v>
      </c>
      <c r="D347">
        <v>8140</v>
      </c>
      <c r="E347">
        <v>8140</v>
      </c>
      <c r="F347">
        <v>295.33334000000002</v>
      </c>
      <c r="G347">
        <v>229.06666999999999</v>
      </c>
      <c r="H347">
        <v>1.28929</v>
      </c>
      <c r="I347">
        <v>-0.28928991999999998</v>
      </c>
      <c r="J347">
        <v>0.43681666000000002</v>
      </c>
    </row>
    <row r="348" spans="1:10" x14ac:dyDescent="0.3">
      <c r="A348">
        <v>346</v>
      </c>
      <c r="B348">
        <v>6568</v>
      </c>
      <c r="C348" t="b">
        <v>1</v>
      </c>
      <c r="D348">
        <v>8129</v>
      </c>
      <c r="E348">
        <v>8117</v>
      </c>
      <c r="F348">
        <v>296.06668000000002</v>
      </c>
      <c r="G348">
        <v>229.06666999999999</v>
      </c>
      <c r="H348">
        <v>1.2924913</v>
      </c>
      <c r="I348">
        <v>-0.29249134999999998</v>
      </c>
      <c r="J348">
        <v>0.43620663999999998</v>
      </c>
    </row>
    <row r="349" spans="1:10" x14ac:dyDescent="0.3">
      <c r="A349">
        <v>347</v>
      </c>
      <c r="B349">
        <v>6584</v>
      </c>
      <c r="C349" t="b">
        <v>1</v>
      </c>
      <c r="D349">
        <v>8129</v>
      </c>
      <c r="E349">
        <v>8140</v>
      </c>
      <c r="F349">
        <v>295.33334000000002</v>
      </c>
      <c r="G349">
        <v>229.06666999999999</v>
      </c>
      <c r="H349">
        <v>1.28929</v>
      </c>
      <c r="I349">
        <v>-0.28928991999999998</v>
      </c>
      <c r="J349">
        <v>0.43681666000000002</v>
      </c>
    </row>
    <row r="350" spans="1:10" x14ac:dyDescent="0.3">
      <c r="A350">
        <v>348</v>
      </c>
      <c r="B350">
        <v>6600</v>
      </c>
      <c r="C350" t="b">
        <v>1</v>
      </c>
      <c r="D350">
        <v>8135</v>
      </c>
      <c r="E350">
        <v>8146</v>
      </c>
      <c r="F350">
        <v>295.33334000000002</v>
      </c>
      <c r="G350">
        <v>227.86667</v>
      </c>
      <c r="H350">
        <v>1.2960796000000001</v>
      </c>
      <c r="I350">
        <v>-0.2960796</v>
      </c>
      <c r="J350">
        <v>0.43552497000000001</v>
      </c>
    </row>
    <row r="351" spans="1:10" x14ac:dyDescent="0.3">
      <c r="A351">
        <v>349</v>
      </c>
      <c r="B351">
        <v>6632</v>
      </c>
      <c r="C351" t="b">
        <v>1</v>
      </c>
      <c r="D351">
        <v>8123</v>
      </c>
      <c r="E351">
        <v>8134</v>
      </c>
      <c r="F351">
        <v>296.53332999999998</v>
      </c>
      <c r="G351">
        <v>226.66667000000001</v>
      </c>
      <c r="H351">
        <v>1.3082353</v>
      </c>
      <c r="I351">
        <v>-0.30823523000000003</v>
      </c>
      <c r="J351">
        <v>0.43323138</v>
      </c>
    </row>
    <row r="352" spans="1:10" x14ac:dyDescent="0.3">
      <c r="A352">
        <v>350</v>
      </c>
      <c r="B352">
        <v>6663</v>
      </c>
      <c r="C352" t="b">
        <v>1</v>
      </c>
      <c r="D352">
        <v>8146</v>
      </c>
      <c r="E352">
        <v>8146</v>
      </c>
      <c r="F352">
        <v>297.73334</v>
      </c>
      <c r="G352">
        <v>225.46665999999999</v>
      </c>
      <c r="H352">
        <v>1.3205205</v>
      </c>
      <c r="I352">
        <v>-0.32052046000000001</v>
      </c>
      <c r="J352">
        <v>0.43093779999999998</v>
      </c>
    </row>
    <row r="353" spans="1:10" x14ac:dyDescent="0.3">
      <c r="A353">
        <v>351</v>
      </c>
      <c r="B353">
        <v>6695</v>
      </c>
      <c r="C353" t="b">
        <v>1</v>
      </c>
      <c r="D353">
        <v>8158</v>
      </c>
      <c r="E353">
        <v>8146</v>
      </c>
      <c r="F353">
        <v>299.33334000000002</v>
      </c>
      <c r="G353">
        <v>224.66667000000001</v>
      </c>
      <c r="H353">
        <v>1.3323442000000001</v>
      </c>
      <c r="I353">
        <v>-0.33234423000000002</v>
      </c>
      <c r="J353">
        <v>0.4287532</v>
      </c>
    </row>
    <row r="354" spans="1:10" x14ac:dyDescent="0.3">
      <c r="A354">
        <v>352</v>
      </c>
      <c r="B354">
        <v>6710</v>
      </c>
      <c r="C354" t="b">
        <v>1</v>
      </c>
      <c r="D354">
        <v>8169</v>
      </c>
      <c r="E354">
        <v>8158</v>
      </c>
      <c r="F354">
        <v>301.66665999999998</v>
      </c>
      <c r="G354">
        <v>225.46665999999999</v>
      </c>
      <c r="H354">
        <v>1.3379657</v>
      </c>
      <c r="I354">
        <v>-0.33796569999999998</v>
      </c>
      <c r="J354">
        <v>0.42772228000000001</v>
      </c>
    </row>
    <row r="355" spans="1:10" x14ac:dyDescent="0.3">
      <c r="A355">
        <v>353</v>
      </c>
      <c r="B355">
        <v>6726</v>
      </c>
      <c r="C355" t="b">
        <v>1</v>
      </c>
      <c r="D355">
        <v>8123</v>
      </c>
      <c r="E355">
        <v>8146</v>
      </c>
      <c r="F355">
        <v>302.8</v>
      </c>
      <c r="G355">
        <v>226.6</v>
      </c>
      <c r="H355">
        <v>1.3362753000000001</v>
      </c>
      <c r="I355">
        <v>-0.33627528000000001</v>
      </c>
      <c r="J355">
        <v>0.42803170000000001</v>
      </c>
    </row>
    <row r="356" spans="1:10" x14ac:dyDescent="0.3">
      <c r="A356">
        <v>354</v>
      </c>
      <c r="B356">
        <v>6758</v>
      </c>
      <c r="C356" t="b">
        <v>1</v>
      </c>
      <c r="D356">
        <v>8135</v>
      </c>
      <c r="E356">
        <v>8158</v>
      </c>
      <c r="F356">
        <v>303.53332999999998</v>
      </c>
      <c r="G356">
        <v>227.4</v>
      </c>
      <c r="H356">
        <v>1.3347992</v>
      </c>
      <c r="I356">
        <v>-0.33479916999999998</v>
      </c>
      <c r="J356">
        <v>0.42830235</v>
      </c>
    </row>
    <row r="357" spans="1:10" x14ac:dyDescent="0.3">
      <c r="A357">
        <v>355</v>
      </c>
      <c r="B357">
        <v>6774</v>
      </c>
      <c r="C357" t="b">
        <v>1</v>
      </c>
      <c r="D357">
        <v>8111</v>
      </c>
      <c r="E357">
        <v>8152</v>
      </c>
      <c r="F357">
        <v>302.39999999999998</v>
      </c>
      <c r="G357">
        <v>228.6</v>
      </c>
      <c r="H357">
        <v>1.3228346</v>
      </c>
      <c r="I357">
        <v>-0.32283457999999998</v>
      </c>
      <c r="J357">
        <v>0.43050850000000002</v>
      </c>
    </row>
    <row r="358" spans="1:10" x14ac:dyDescent="0.3">
      <c r="A358">
        <v>356</v>
      </c>
      <c r="B358">
        <v>6790</v>
      </c>
      <c r="C358" t="b">
        <v>1</v>
      </c>
      <c r="D358">
        <v>8146</v>
      </c>
      <c r="E358">
        <v>8140</v>
      </c>
      <c r="F358">
        <v>301.26666</v>
      </c>
      <c r="G358">
        <v>229.4</v>
      </c>
      <c r="H358">
        <v>1.3132809999999999</v>
      </c>
      <c r="I358">
        <v>-0.31328103000000002</v>
      </c>
      <c r="J358">
        <v>0.43228643999999999</v>
      </c>
    </row>
    <row r="359" spans="1:10" x14ac:dyDescent="0.3">
      <c r="A359">
        <v>357</v>
      </c>
      <c r="B359">
        <v>6806</v>
      </c>
      <c r="C359" t="b">
        <v>1</v>
      </c>
      <c r="D359">
        <v>8158</v>
      </c>
      <c r="E359">
        <v>8129</v>
      </c>
      <c r="F359">
        <v>299.73334</v>
      </c>
      <c r="G359">
        <v>229.4</v>
      </c>
      <c r="H359">
        <v>1.306597</v>
      </c>
      <c r="I359">
        <v>-0.30659695999999997</v>
      </c>
      <c r="J359">
        <v>0.43353912</v>
      </c>
    </row>
    <row r="360" spans="1:10" x14ac:dyDescent="0.3">
      <c r="A360">
        <v>358</v>
      </c>
      <c r="B360">
        <v>6822</v>
      </c>
      <c r="C360" t="b">
        <v>1</v>
      </c>
      <c r="D360">
        <v>8094</v>
      </c>
      <c r="E360">
        <v>8129</v>
      </c>
      <c r="F360">
        <v>298.2</v>
      </c>
      <c r="G360">
        <v>229</v>
      </c>
      <c r="H360">
        <v>1.3021834999999999</v>
      </c>
      <c r="I360">
        <v>-0.30218345000000002</v>
      </c>
      <c r="J360">
        <v>0.43437025000000001</v>
      </c>
    </row>
    <row r="361" spans="1:10" x14ac:dyDescent="0.3">
      <c r="A361">
        <v>359</v>
      </c>
      <c r="B361">
        <v>6838</v>
      </c>
      <c r="C361" t="b">
        <v>1</v>
      </c>
      <c r="D361">
        <v>8158</v>
      </c>
      <c r="E361">
        <v>8152</v>
      </c>
      <c r="F361">
        <v>297.8</v>
      </c>
      <c r="G361">
        <v>228.6</v>
      </c>
      <c r="H361">
        <v>1.3027120999999999</v>
      </c>
      <c r="I361">
        <v>-0.30271207999999999</v>
      </c>
      <c r="J361">
        <v>0.4342705</v>
      </c>
    </row>
    <row r="362" spans="1:10" x14ac:dyDescent="0.3">
      <c r="A362">
        <v>360</v>
      </c>
      <c r="B362">
        <v>6854</v>
      </c>
      <c r="C362" t="b">
        <v>1</v>
      </c>
      <c r="D362">
        <v>8146</v>
      </c>
      <c r="E362">
        <v>8134</v>
      </c>
      <c r="F362">
        <v>297.39999999999998</v>
      </c>
      <c r="G362">
        <v>228.2</v>
      </c>
      <c r="H362">
        <v>1.3032428</v>
      </c>
      <c r="I362">
        <v>-0.30324276999999999</v>
      </c>
      <c r="J362">
        <v>0.43417048000000003</v>
      </c>
    </row>
    <row r="363" spans="1:10" x14ac:dyDescent="0.3">
      <c r="A363">
        <v>361</v>
      </c>
      <c r="B363">
        <v>6869</v>
      </c>
      <c r="C363" t="b">
        <v>1</v>
      </c>
      <c r="D363">
        <v>8106</v>
      </c>
      <c r="E363">
        <v>8134</v>
      </c>
      <c r="F363">
        <v>297.8</v>
      </c>
      <c r="G363">
        <v>227.8</v>
      </c>
      <c r="H363">
        <v>1.3072870000000001</v>
      </c>
      <c r="I363">
        <v>-0.30728704000000001</v>
      </c>
      <c r="J363">
        <v>0.43340944999999997</v>
      </c>
    </row>
    <row r="364" spans="1:10" x14ac:dyDescent="0.3">
      <c r="A364">
        <v>362</v>
      </c>
      <c r="B364">
        <v>6885</v>
      </c>
      <c r="C364" t="b">
        <v>1</v>
      </c>
      <c r="D364">
        <v>8111</v>
      </c>
      <c r="E364">
        <v>8152</v>
      </c>
      <c r="F364">
        <v>296.60000000000002</v>
      </c>
      <c r="G364">
        <v>227.4</v>
      </c>
      <c r="H364">
        <v>1.3043096000000001</v>
      </c>
      <c r="I364">
        <v>-0.30430963999999999</v>
      </c>
      <c r="J364">
        <v>0.43396947000000002</v>
      </c>
    </row>
    <row r="365" spans="1:10" x14ac:dyDescent="0.3">
      <c r="A365">
        <v>363</v>
      </c>
      <c r="B365">
        <v>6901</v>
      </c>
      <c r="C365" t="b">
        <v>1</v>
      </c>
      <c r="D365">
        <v>8163</v>
      </c>
      <c r="E365">
        <v>8123</v>
      </c>
      <c r="F365">
        <v>297.73334</v>
      </c>
      <c r="G365">
        <v>227</v>
      </c>
      <c r="H365">
        <v>1.3116006</v>
      </c>
      <c r="I365">
        <v>-0.31160060000000001</v>
      </c>
      <c r="J365">
        <v>0.43260068000000002</v>
      </c>
    </row>
    <row r="366" spans="1:10" x14ac:dyDescent="0.3">
      <c r="A366">
        <v>364</v>
      </c>
      <c r="B366">
        <v>6917</v>
      </c>
      <c r="C366" t="b">
        <v>1</v>
      </c>
      <c r="D366">
        <v>8152</v>
      </c>
      <c r="E366">
        <v>8146</v>
      </c>
      <c r="F366">
        <v>298.86667</v>
      </c>
      <c r="G366">
        <v>226.6</v>
      </c>
      <c r="H366">
        <v>1.3189173000000001</v>
      </c>
      <c r="I366">
        <v>-0.31891730000000001</v>
      </c>
      <c r="J366">
        <v>0.43123572999999998</v>
      </c>
    </row>
    <row r="367" spans="1:10" x14ac:dyDescent="0.3">
      <c r="A367">
        <v>365</v>
      </c>
      <c r="B367">
        <v>6933</v>
      </c>
      <c r="C367" t="b">
        <v>1</v>
      </c>
      <c r="D367">
        <v>8135</v>
      </c>
      <c r="E367">
        <v>8158</v>
      </c>
      <c r="F367">
        <v>299.26666</v>
      </c>
      <c r="G367">
        <v>227</v>
      </c>
      <c r="H367">
        <v>1.3183552999999999</v>
      </c>
      <c r="I367">
        <v>-0.31835534999999998</v>
      </c>
      <c r="J367">
        <v>0.43134024999999998</v>
      </c>
    </row>
    <row r="368" spans="1:10" x14ac:dyDescent="0.3">
      <c r="A368">
        <v>366</v>
      </c>
      <c r="B368">
        <v>6949</v>
      </c>
      <c r="C368" t="b">
        <v>1</v>
      </c>
      <c r="D368">
        <v>8146</v>
      </c>
      <c r="E368">
        <v>8164</v>
      </c>
      <c r="F368">
        <v>300</v>
      </c>
      <c r="G368">
        <v>227.4</v>
      </c>
      <c r="H368">
        <v>1.3192611999999999</v>
      </c>
      <c r="I368">
        <v>-0.31926125</v>
      </c>
      <c r="J368">
        <v>0.43117175000000002</v>
      </c>
    </row>
    <row r="369" spans="1:10" x14ac:dyDescent="0.3">
      <c r="A369">
        <v>367</v>
      </c>
      <c r="B369">
        <v>6981</v>
      </c>
      <c r="C369" t="b">
        <v>1</v>
      </c>
      <c r="D369">
        <v>8129</v>
      </c>
      <c r="E369">
        <v>8146</v>
      </c>
      <c r="F369">
        <v>300</v>
      </c>
      <c r="G369">
        <v>227.4</v>
      </c>
      <c r="H369">
        <v>1.3192611999999999</v>
      </c>
      <c r="I369">
        <v>-0.31926125</v>
      </c>
      <c r="J369">
        <v>0.43117175000000002</v>
      </c>
    </row>
    <row r="370" spans="1:10" x14ac:dyDescent="0.3">
      <c r="A370">
        <v>368</v>
      </c>
      <c r="B370">
        <v>6997</v>
      </c>
      <c r="C370" t="b">
        <v>1</v>
      </c>
      <c r="D370">
        <v>8106</v>
      </c>
      <c r="E370">
        <v>8134</v>
      </c>
      <c r="F370">
        <v>299.26666</v>
      </c>
      <c r="G370">
        <v>227.4</v>
      </c>
      <c r="H370">
        <v>1.3160362999999999</v>
      </c>
      <c r="I370">
        <v>-0.31603637000000001</v>
      </c>
      <c r="J370">
        <v>0.43177217000000001</v>
      </c>
    </row>
    <row r="371" spans="1:10" x14ac:dyDescent="0.3">
      <c r="A371">
        <v>369</v>
      </c>
      <c r="B371">
        <v>7013</v>
      </c>
      <c r="C371" t="b">
        <v>1</v>
      </c>
      <c r="D371">
        <v>8106</v>
      </c>
      <c r="E371">
        <v>8123</v>
      </c>
      <c r="F371">
        <v>298.13333</v>
      </c>
      <c r="G371">
        <v>227.4</v>
      </c>
      <c r="H371">
        <v>1.3110526</v>
      </c>
      <c r="I371">
        <v>-0.31105250000000001</v>
      </c>
      <c r="J371">
        <v>0.43270330000000001</v>
      </c>
    </row>
    <row r="372" spans="1:10" x14ac:dyDescent="0.3">
      <c r="A372">
        <v>370</v>
      </c>
      <c r="B372">
        <v>7045</v>
      </c>
      <c r="C372" t="b">
        <v>1</v>
      </c>
      <c r="D372">
        <v>8100</v>
      </c>
      <c r="E372">
        <v>8140</v>
      </c>
      <c r="F372">
        <v>296.2</v>
      </c>
      <c r="G372">
        <v>226.6</v>
      </c>
      <c r="H372">
        <v>1.3071492</v>
      </c>
      <c r="I372">
        <v>-0.30714917000000003</v>
      </c>
      <c r="J372">
        <v>0.43343532000000001</v>
      </c>
    </row>
    <row r="373" spans="1:10" x14ac:dyDescent="0.3">
      <c r="A373">
        <v>371</v>
      </c>
      <c r="B373">
        <v>7076</v>
      </c>
      <c r="C373" t="b">
        <v>1</v>
      </c>
      <c r="D373">
        <v>8152</v>
      </c>
      <c r="E373">
        <v>8123</v>
      </c>
      <c r="F373">
        <v>294.26666</v>
      </c>
      <c r="G373">
        <v>225.4</v>
      </c>
      <c r="H373">
        <v>1.3055308999999999</v>
      </c>
      <c r="I373">
        <v>-0.30553093999999997</v>
      </c>
      <c r="J373">
        <v>0.4337396</v>
      </c>
    </row>
    <row r="374" spans="1:10" x14ac:dyDescent="0.3">
      <c r="A374">
        <v>372</v>
      </c>
      <c r="B374">
        <v>7092</v>
      </c>
      <c r="C374" t="b">
        <v>1</v>
      </c>
      <c r="D374">
        <v>8181</v>
      </c>
      <c r="E374">
        <v>8146</v>
      </c>
      <c r="F374">
        <v>292.33334000000002</v>
      </c>
      <c r="G374">
        <v>224.6</v>
      </c>
      <c r="H374">
        <v>1.3015732</v>
      </c>
      <c r="I374">
        <v>-0.30157319999999999</v>
      </c>
      <c r="J374">
        <v>0.43448544</v>
      </c>
    </row>
    <row r="375" spans="1:10" x14ac:dyDescent="0.3">
      <c r="A375">
        <v>373</v>
      </c>
      <c r="B375">
        <v>7108</v>
      </c>
      <c r="C375" t="b">
        <v>1</v>
      </c>
      <c r="D375">
        <v>8152</v>
      </c>
      <c r="E375">
        <v>8129</v>
      </c>
      <c r="F375">
        <v>293.46667000000002</v>
      </c>
      <c r="G375">
        <v>223.86667</v>
      </c>
      <c r="H375">
        <v>1.3108994</v>
      </c>
      <c r="I375">
        <v>-0.31089938</v>
      </c>
      <c r="J375">
        <v>0.43273192999999999</v>
      </c>
    </row>
    <row r="376" spans="1:10" x14ac:dyDescent="0.3">
      <c r="A376">
        <v>374</v>
      </c>
      <c r="B376">
        <v>7124</v>
      </c>
      <c r="C376" t="b">
        <v>1</v>
      </c>
      <c r="D376">
        <v>8077</v>
      </c>
      <c r="E376">
        <v>8146</v>
      </c>
      <c r="F376">
        <v>293.86667</v>
      </c>
      <c r="G376">
        <v>223.86667</v>
      </c>
      <c r="H376">
        <v>1.3126861000000001</v>
      </c>
      <c r="I376">
        <v>-0.31268612000000001</v>
      </c>
      <c r="J376">
        <v>0.43239762999999998</v>
      </c>
    </row>
    <row r="377" spans="1:10" x14ac:dyDescent="0.3">
      <c r="A377">
        <v>375</v>
      </c>
      <c r="B377">
        <v>7140</v>
      </c>
      <c r="C377" t="b">
        <v>1</v>
      </c>
      <c r="D377">
        <v>8123</v>
      </c>
      <c r="E377">
        <v>8152</v>
      </c>
      <c r="F377">
        <v>294.26666</v>
      </c>
      <c r="G377">
        <v>224.66667000000001</v>
      </c>
      <c r="H377">
        <v>1.3097923</v>
      </c>
      <c r="I377">
        <v>-0.30979224999999999</v>
      </c>
      <c r="J377">
        <v>0.43293935</v>
      </c>
    </row>
    <row r="378" spans="1:10" x14ac:dyDescent="0.3">
      <c r="A378">
        <v>376</v>
      </c>
      <c r="B378">
        <v>7172</v>
      </c>
      <c r="C378" t="b">
        <v>1</v>
      </c>
      <c r="D378">
        <v>8152</v>
      </c>
      <c r="E378">
        <v>8140</v>
      </c>
      <c r="F378">
        <v>294.66665999999998</v>
      </c>
      <c r="G378">
        <v>225.46665999999999</v>
      </c>
      <c r="H378">
        <v>1.3069189999999999</v>
      </c>
      <c r="I378">
        <v>-0.30691898000000001</v>
      </c>
      <c r="J378">
        <v>0.43347859999999999</v>
      </c>
    </row>
    <row r="379" spans="1:10" x14ac:dyDescent="0.3">
      <c r="A379">
        <v>377</v>
      </c>
      <c r="B379">
        <v>7188</v>
      </c>
      <c r="C379" t="b">
        <v>1</v>
      </c>
      <c r="D379">
        <v>8192</v>
      </c>
      <c r="E379">
        <v>8146</v>
      </c>
      <c r="F379">
        <v>297.39999999999998</v>
      </c>
      <c r="G379">
        <v>226.26666</v>
      </c>
      <c r="H379">
        <v>1.3143783</v>
      </c>
      <c r="I379">
        <v>-0.31437831999999999</v>
      </c>
      <c r="J379">
        <v>0.43208150000000001</v>
      </c>
    </row>
    <row r="380" spans="1:10" x14ac:dyDescent="0.3">
      <c r="A380">
        <v>378</v>
      </c>
      <c r="B380">
        <v>7204</v>
      </c>
      <c r="C380" t="b">
        <v>1</v>
      </c>
      <c r="D380">
        <v>8111</v>
      </c>
      <c r="E380">
        <v>8152</v>
      </c>
      <c r="F380">
        <v>295.86667</v>
      </c>
      <c r="G380">
        <v>227.06666999999999</v>
      </c>
      <c r="H380">
        <v>1.3029947</v>
      </c>
      <c r="I380">
        <v>-0.30299472999999999</v>
      </c>
      <c r="J380">
        <v>0.43421720000000003</v>
      </c>
    </row>
    <row r="381" spans="1:10" x14ac:dyDescent="0.3">
      <c r="A381">
        <v>379</v>
      </c>
      <c r="B381">
        <v>7220</v>
      </c>
      <c r="C381" t="b">
        <v>1</v>
      </c>
      <c r="D381">
        <v>8135</v>
      </c>
      <c r="E381">
        <v>8134</v>
      </c>
      <c r="F381">
        <v>295.13333</v>
      </c>
      <c r="G381">
        <v>227.86667</v>
      </c>
      <c r="H381">
        <v>1.2952018999999999</v>
      </c>
      <c r="I381">
        <v>-0.29520183999999999</v>
      </c>
      <c r="J381">
        <v>0.43569153999999999</v>
      </c>
    </row>
    <row r="382" spans="1:10" x14ac:dyDescent="0.3">
      <c r="A382">
        <v>380</v>
      </c>
      <c r="B382">
        <v>7236</v>
      </c>
      <c r="C382" t="b">
        <v>1</v>
      </c>
      <c r="D382">
        <v>8186</v>
      </c>
      <c r="E382">
        <v>8129</v>
      </c>
      <c r="F382">
        <v>296.26666</v>
      </c>
      <c r="G382">
        <v>227.46665999999999</v>
      </c>
      <c r="H382">
        <v>1.3024619</v>
      </c>
      <c r="I382">
        <v>-0.30246192</v>
      </c>
      <c r="J382">
        <v>0.43431769999999997</v>
      </c>
    </row>
    <row r="383" spans="1:10" x14ac:dyDescent="0.3">
      <c r="A383">
        <v>381</v>
      </c>
      <c r="B383">
        <v>7252</v>
      </c>
      <c r="C383" t="b">
        <v>1</v>
      </c>
      <c r="D383">
        <v>8123</v>
      </c>
      <c r="E383">
        <v>8134</v>
      </c>
      <c r="F383">
        <v>295.53332999999998</v>
      </c>
      <c r="G383">
        <v>226.26666</v>
      </c>
      <c r="H383">
        <v>1.3061285</v>
      </c>
      <c r="I383">
        <v>-0.30612844</v>
      </c>
      <c r="J383">
        <v>0.43362719999999999</v>
      </c>
    </row>
    <row r="384" spans="1:10" x14ac:dyDescent="0.3">
      <c r="A384">
        <v>382</v>
      </c>
      <c r="B384">
        <v>7267</v>
      </c>
      <c r="C384" t="b">
        <v>1</v>
      </c>
      <c r="D384">
        <v>8175</v>
      </c>
      <c r="E384">
        <v>8146</v>
      </c>
      <c r="F384">
        <v>294.8</v>
      </c>
      <c r="G384">
        <v>225.46665999999999</v>
      </c>
      <c r="H384">
        <v>1.3075104</v>
      </c>
      <c r="I384">
        <v>-0.30751034999999999</v>
      </c>
      <c r="J384">
        <v>0.43336750000000002</v>
      </c>
    </row>
    <row r="385" spans="1:10" x14ac:dyDescent="0.3">
      <c r="A385">
        <v>383</v>
      </c>
      <c r="B385">
        <v>7284</v>
      </c>
      <c r="C385" t="b">
        <v>1</v>
      </c>
      <c r="D385">
        <v>8123</v>
      </c>
      <c r="E385">
        <v>8134</v>
      </c>
      <c r="F385">
        <v>294.8</v>
      </c>
      <c r="G385">
        <v>224.66667000000001</v>
      </c>
      <c r="H385">
        <v>1.3121661</v>
      </c>
      <c r="I385">
        <v>-0.3121661</v>
      </c>
      <c r="J385">
        <v>0.43249488000000003</v>
      </c>
    </row>
    <row r="386" spans="1:10" x14ac:dyDescent="0.3">
      <c r="A386">
        <v>384</v>
      </c>
      <c r="B386">
        <v>7299</v>
      </c>
      <c r="C386" t="b">
        <v>1</v>
      </c>
      <c r="D386">
        <v>8140</v>
      </c>
      <c r="E386">
        <v>8140</v>
      </c>
      <c r="F386">
        <v>295.53332999999998</v>
      </c>
      <c r="G386">
        <v>223.86667</v>
      </c>
      <c r="H386">
        <v>1.3201309999999999</v>
      </c>
      <c r="I386">
        <v>-0.32013097000000001</v>
      </c>
      <c r="J386">
        <v>0.43101012999999999</v>
      </c>
    </row>
    <row r="387" spans="1:10" x14ac:dyDescent="0.3">
      <c r="A387">
        <v>385</v>
      </c>
      <c r="B387">
        <v>7315</v>
      </c>
      <c r="C387" t="b">
        <v>1</v>
      </c>
      <c r="D387">
        <v>8129</v>
      </c>
      <c r="E387">
        <v>8123</v>
      </c>
      <c r="F387">
        <v>297.06668000000002</v>
      </c>
      <c r="G387">
        <v>223.46665999999999</v>
      </c>
      <c r="H387">
        <v>1.3293557</v>
      </c>
      <c r="I387">
        <v>-0.32935572000000002</v>
      </c>
      <c r="J387">
        <v>0.42930326000000002</v>
      </c>
    </row>
    <row r="388" spans="1:10" x14ac:dyDescent="0.3">
      <c r="A388">
        <v>386</v>
      </c>
      <c r="B388">
        <v>7347</v>
      </c>
      <c r="C388" t="b">
        <v>1</v>
      </c>
      <c r="D388">
        <v>8163</v>
      </c>
      <c r="E388">
        <v>8146</v>
      </c>
      <c r="F388">
        <v>299.33334000000002</v>
      </c>
      <c r="G388">
        <v>223.86667</v>
      </c>
      <c r="H388">
        <v>1.3371055000000001</v>
      </c>
      <c r="I388">
        <v>-0.33710544999999997</v>
      </c>
      <c r="J388">
        <v>0.42787972000000002</v>
      </c>
    </row>
    <row r="389" spans="1:10" x14ac:dyDescent="0.3">
      <c r="A389">
        <v>387</v>
      </c>
      <c r="B389">
        <v>7362</v>
      </c>
      <c r="C389" t="b">
        <v>1</v>
      </c>
      <c r="D389">
        <v>8175</v>
      </c>
      <c r="E389">
        <v>8140</v>
      </c>
      <c r="F389">
        <v>301.60000000000002</v>
      </c>
      <c r="G389">
        <v>224.26666</v>
      </c>
      <c r="H389">
        <v>1.3448277</v>
      </c>
      <c r="I389">
        <v>-0.34482764999999999</v>
      </c>
      <c r="J389">
        <v>0.42647055</v>
      </c>
    </row>
    <row r="390" spans="1:10" x14ac:dyDescent="0.3">
      <c r="A390">
        <v>388</v>
      </c>
      <c r="B390">
        <v>7378</v>
      </c>
      <c r="C390" t="b">
        <v>1</v>
      </c>
      <c r="D390">
        <v>8117</v>
      </c>
      <c r="E390">
        <v>8111</v>
      </c>
      <c r="F390">
        <v>300.8</v>
      </c>
      <c r="G390">
        <v>225</v>
      </c>
      <c r="H390">
        <v>1.3368888000000001</v>
      </c>
      <c r="I390">
        <v>-0.33688881999999998</v>
      </c>
      <c r="J390">
        <v>0.42791936000000003</v>
      </c>
    </row>
    <row r="391" spans="1:10" x14ac:dyDescent="0.3">
      <c r="A391">
        <v>389</v>
      </c>
      <c r="B391">
        <v>7394</v>
      </c>
      <c r="C391" t="b">
        <v>1</v>
      </c>
      <c r="D391">
        <v>8140</v>
      </c>
      <c r="E391">
        <v>8134</v>
      </c>
      <c r="F391">
        <v>300</v>
      </c>
      <c r="G391">
        <v>224.6</v>
      </c>
      <c r="H391">
        <v>1.3357079000000001</v>
      </c>
      <c r="I391">
        <v>-0.3357079</v>
      </c>
      <c r="J391">
        <v>0.42813574999999998</v>
      </c>
    </row>
    <row r="392" spans="1:10" x14ac:dyDescent="0.3">
      <c r="A392">
        <v>390</v>
      </c>
      <c r="B392">
        <v>7410</v>
      </c>
      <c r="C392" t="b">
        <v>1</v>
      </c>
      <c r="D392">
        <v>8123</v>
      </c>
      <c r="E392">
        <v>8152</v>
      </c>
      <c r="F392">
        <v>299.2</v>
      </c>
      <c r="G392">
        <v>224.2</v>
      </c>
      <c r="H392">
        <v>1.3345228</v>
      </c>
      <c r="I392">
        <v>-0.33452280000000001</v>
      </c>
      <c r="J392">
        <v>0.42835304000000002</v>
      </c>
    </row>
    <row r="393" spans="1:10" x14ac:dyDescent="0.3">
      <c r="A393">
        <v>391</v>
      </c>
      <c r="B393">
        <v>7426</v>
      </c>
      <c r="C393" t="b">
        <v>1</v>
      </c>
      <c r="D393">
        <v>8152</v>
      </c>
      <c r="E393">
        <v>8140</v>
      </c>
      <c r="F393">
        <v>298.39999999999998</v>
      </c>
      <c r="G393">
        <v>223.8</v>
      </c>
      <c r="H393">
        <v>1.3333333000000001</v>
      </c>
      <c r="I393">
        <v>-0.33333328000000001</v>
      </c>
      <c r="J393">
        <v>0.42857142999999998</v>
      </c>
    </row>
    <row r="394" spans="1:10" x14ac:dyDescent="0.3">
      <c r="A394">
        <v>392</v>
      </c>
      <c r="B394">
        <v>7441</v>
      </c>
      <c r="C394" t="b">
        <v>1</v>
      </c>
      <c r="D394">
        <v>8140</v>
      </c>
      <c r="E394">
        <v>8140</v>
      </c>
      <c r="F394">
        <v>297.60000000000002</v>
      </c>
      <c r="G394">
        <v>223.4</v>
      </c>
      <c r="H394">
        <v>1.3321396999999999</v>
      </c>
      <c r="I394">
        <v>-0.33213973000000002</v>
      </c>
      <c r="J394">
        <v>0.42879077999999998</v>
      </c>
    </row>
    <row r="395" spans="1:10" x14ac:dyDescent="0.3">
      <c r="A395">
        <v>393</v>
      </c>
      <c r="B395">
        <v>7473</v>
      </c>
      <c r="C395" t="b">
        <v>1</v>
      </c>
      <c r="D395">
        <v>8135</v>
      </c>
      <c r="E395">
        <v>8170</v>
      </c>
      <c r="F395">
        <v>298.73334</v>
      </c>
      <c r="G395">
        <v>223</v>
      </c>
      <c r="H395">
        <v>1.3396113999999999</v>
      </c>
      <c r="I395">
        <v>-0.33961138000000002</v>
      </c>
      <c r="J395">
        <v>0.42742142</v>
      </c>
    </row>
    <row r="396" spans="1:10" x14ac:dyDescent="0.3">
      <c r="A396">
        <v>394</v>
      </c>
      <c r="B396">
        <v>7488</v>
      </c>
      <c r="C396" t="b">
        <v>1</v>
      </c>
      <c r="D396">
        <v>8146</v>
      </c>
      <c r="E396">
        <v>8111</v>
      </c>
      <c r="F396">
        <v>299.06668000000002</v>
      </c>
      <c r="G396">
        <v>222.6</v>
      </c>
      <c r="H396">
        <v>1.3435159999999999</v>
      </c>
      <c r="I396">
        <v>-0.34351605000000002</v>
      </c>
      <c r="J396">
        <v>0.42670925999999998</v>
      </c>
    </row>
    <row r="397" spans="1:10" x14ac:dyDescent="0.3">
      <c r="A397">
        <v>395</v>
      </c>
      <c r="B397">
        <v>7504</v>
      </c>
      <c r="C397" t="b">
        <v>1</v>
      </c>
      <c r="D397">
        <v>8100</v>
      </c>
      <c r="E397">
        <v>8146</v>
      </c>
      <c r="F397">
        <v>298.26666</v>
      </c>
      <c r="G397">
        <v>222.6</v>
      </c>
      <c r="H397">
        <v>1.3399220999999999</v>
      </c>
      <c r="I397">
        <v>-0.33992207000000002</v>
      </c>
      <c r="J397">
        <v>0.42736465000000001</v>
      </c>
    </row>
    <row r="398" spans="1:10" x14ac:dyDescent="0.3">
      <c r="A398">
        <v>396</v>
      </c>
      <c r="B398">
        <v>7520</v>
      </c>
      <c r="C398" t="b">
        <v>1</v>
      </c>
      <c r="D398">
        <v>8181</v>
      </c>
      <c r="E398">
        <v>8182</v>
      </c>
      <c r="F398">
        <v>298.60000000000002</v>
      </c>
      <c r="G398">
        <v>223.4</v>
      </c>
      <c r="H398">
        <v>1.336616</v>
      </c>
      <c r="I398">
        <v>-0.33661600000000003</v>
      </c>
      <c r="J398">
        <v>0.42796933999999998</v>
      </c>
    </row>
    <row r="399" spans="1:10" x14ac:dyDescent="0.3">
      <c r="A399">
        <v>397</v>
      </c>
      <c r="B399">
        <v>7536</v>
      </c>
      <c r="C399" t="b">
        <v>1</v>
      </c>
      <c r="D399">
        <v>8186</v>
      </c>
      <c r="E399">
        <v>8140</v>
      </c>
      <c r="F399">
        <v>299.33334000000002</v>
      </c>
      <c r="G399">
        <v>224.2</v>
      </c>
      <c r="H399">
        <v>1.3351175</v>
      </c>
      <c r="I399">
        <v>-0.33511752</v>
      </c>
      <c r="J399">
        <v>0.42824400000000001</v>
      </c>
    </row>
    <row r="400" spans="1:10" x14ac:dyDescent="0.3">
      <c r="A400">
        <v>398</v>
      </c>
      <c r="B400">
        <v>7551</v>
      </c>
      <c r="C400" t="b">
        <v>1</v>
      </c>
      <c r="D400">
        <v>8152</v>
      </c>
      <c r="E400">
        <v>8146</v>
      </c>
      <c r="F400">
        <v>300.46667000000002</v>
      </c>
      <c r="G400">
        <v>225</v>
      </c>
      <c r="H400">
        <v>1.3354075000000001</v>
      </c>
      <c r="I400">
        <v>-0.33540744</v>
      </c>
      <c r="J400">
        <v>0.42819079999999998</v>
      </c>
    </row>
    <row r="401" spans="1:10" x14ac:dyDescent="0.3">
      <c r="A401">
        <v>399</v>
      </c>
      <c r="B401">
        <v>7568</v>
      </c>
      <c r="C401" t="b">
        <v>1</v>
      </c>
      <c r="D401">
        <v>8152</v>
      </c>
      <c r="E401">
        <v>8129</v>
      </c>
      <c r="F401">
        <v>301.26666</v>
      </c>
      <c r="G401">
        <v>225.8</v>
      </c>
      <c r="H401">
        <v>1.334219</v>
      </c>
      <c r="I401">
        <v>-0.33421904000000002</v>
      </c>
      <c r="J401">
        <v>0.42840883000000002</v>
      </c>
    </row>
    <row r="402" spans="1:10" x14ac:dyDescent="0.3">
      <c r="A402">
        <v>400</v>
      </c>
      <c r="B402">
        <v>7583</v>
      </c>
      <c r="C402" t="b">
        <v>1</v>
      </c>
      <c r="D402">
        <v>8123</v>
      </c>
      <c r="E402">
        <v>8152</v>
      </c>
      <c r="F402">
        <v>302.8</v>
      </c>
      <c r="G402">
        <v>226.6</v>
      </c>
      <c r="H402">
        <v>1.3362753000000001</v>
      </c>
      <c r="I402">
        <v>-0.33627528000000001</v>
      </c>
      <c r="J402">
        <v>0.42803170000000001</v>
      </c>
    </row>
    <row r="403" spans="1:10" x14ac:dyDescent="0.3">
      <c r="A403">
        <v>401</v>
      </c>
      <c r="B403">
        <v>7599</v>
      </c>
      <c r="C403" t="b">
        <v>1</v>
      </c>
      <c r="D403">
        <v>8135</v>
      </c>
      <c r="E403">
        <v>8117</v>
      </c>
      <c r="F403">
        <v>303.60000000000002</v>
      </c>
      <c r="G403">
        <v>226.6</v>
      </c>
      <c r="H403">
        <v>1.3398057999999999</v>
      </c>
      <c r="I403">
        <v>-0.33980579999999999</v>
      </c>
      <c r="J403">
        <v>0.42738589999999999</v>
      </c>
    </row>
    <row r="404" spans="1:10" x14ac:dyDescent="0.3">
      <c r="A404">
        <v>402</v>
      </c>
      <c r="B404">
        <v>7631</v>
      </c>
      <c r="C404" t="b">
        <v>1</v>
      </c>
      <c r="D404">
        <v>8117</v>
      </c>
      <c r="E404">
        <v>8129</v>
      </c>
      <c r="F404">
        <v>303.26666</v>
      </c>
      <c r="G404">
        <v>225.86667</v>
      </c>
      <c r="H404">
        <v>1.3426800000000001</v>
      </c>
      <c r="I404">
        <v>-0.34267999999999998</v>
      </c>
      <c r="J404">
        <v>0.42686154999999998</v>
      </c>
    </row>
    <row r="405" spans="1:10" x14ac:dyDescent="0.3">
      <c r="A405">
        <v>403</v>
      </c>
      <c r="B405">
        <v>7663</v>
      </c>
      <c r="C405" t="b">
        <v>1</v>
      </c>
      <c r="D405">
        <v>8129</v>
      </c>
      <c r="E405">
        <v>8129</v>
      </c>
      <c r="F405">
        <v>302.53332999999998</v>
      </c>
      <c r="G405">
        <v>225.13333</v>
      </c>
      <c r="H405">
        <v>1.3437962999999999</v>
      </c>
      <c r="I405">
        <v>-0.34379625000000003</v>
      </c>
      <c r="J405">
        <v>0.42665827000000001</v>
      </c>
    </row>
    <row r="406" spans="1:10" x14ac:dyDescent="0.3">
      <c r="A406">
        <v>404</v>
      </c>
      <c r="B406">
        <v>7694</v>
      </c>
      <c r="C406" t="b">
        <v>1</v>
      </c>
      <c r="D406">
        <v>8135</v>
      </c>
      <c r="E406">
        <v>8158</v>
      </c>
      <c r="F406">
        <v>301.8</v>
      </c>
      <c r="G406">
        <v>224.8</v>
      </c>
      <c r="H406">
        <v>1.3425267000000001</v>
      </c>
      <c r="I406">
        <v>-0.34252660000000001</v>
      </c>
      <c r="J406">
        <v>0.42688949999999998</v>
      </c>
    </row>
    <row r="407" spans="1:10" x14ac:dyDescent="0.3">
      <c r="A407">
        <v>405</v>
      </c>
      <c r="B407">
        <v>7710</v>
      </c>
      <c r="C407" t="b">
        <v>1</v>
      </c>
      <c r="D407">
        <v>8163</v>
      </c>
      <c r="E407">
        <v>8152</v>
      </c>
      <c r="F407">
        <v>301.46667000000002</v>
      </c>
      <c r="G407">
        <v>224.06666999999999</v>
      </c>
      <c r="H407">
        <v>1.3454330000000001</v>
      </c>
      <c r="I407">
        <v>-0.34543294000000002</v>
      </c>
      <c r="J407">
        <v>0.42636052000000002</v>
      </c>
    </row>
    <row r="408" spans="1:10" x14ac:dyDescent="0.3">
      <c r="A408">
        <v>406</v>
      </c>
      <c r="B408">
        <v>7726</v>
      </c>
      <c r="C408" t="b">
        <v>1</v>
      </c>
      <c r="D408">
        <v>8111</v>
      </c>
      <c r="E408">
        <v>8117</v>
      </c>
      <c r="F408">
        <v>300.73334</v>
      </c>
      <c r="G408">
        <v>223.33332999999999</v>
      </c>
      <c r="H408">
        <v>1.3465672</v>
      </c>
      <c r="I408">
        <v>-0.34656720000000002</v>
      </c>
      <c r="J408">
        <v>0.42615442999999997</v>
      </c>
    </row>
    <row r="409" spans="1:10" x14ac:dyDescent="0.3">
      <c r="A409">
        <v>407</v>
      </c>
      <c r="B409">
        <v>7742</v>
      </c>
      <c r="C409" t="b">
        <v>1</v>
      </c>
      <c r="D409">
        <v>8117</v>
      </c>
      <c r="E409">
        <v>8117</v>
      </c>
      <c r="F409">
        <v>300</v>
      </c>
      <c r="G409">
        <v>222.6</v>
      </c>
      <c r="H409">
        <v>1.3477087999999999</v>
      </c>
      <c r="I409">
        <v>-0.34770885000000001</v>
      </c>
      <c r="J409">
        <v>0.42594722000000002</v>
      </c>
    </row>
    <row r="410" spans="1:10" x14ac:dyDescent="0.3">
      <c r="A410">
        <v>408</v>
      </c>
      <c r="B410">
        <v>7758</v>
      </c>
      <c r="C410" t="b">
        <v>1</v>
      </c>
      <c r="D410">
        <v>8146</v>
      </c>
      <c r="E410">
        <v>8140</v>
      </c>
      <c r="F410">
        <v>299.66665999999998</v>
      </c>
      <c r="G410">
        <v>222.6</v>
      </c>
      <c r="H410">
        <v>1.3462113</v>
      </c>
      <c r="I410">
        <v>-0.34621133999999998</v>
      </c>
      <c r="J410">
        <v>0.42621904999999999</v>
      </c>
    </row>
    <row r="411" spans="1:10" x14ac:dyDescent="0.3">
      <c r="A411">
        <v>409</v>
      </c>
      <c r="B411">
        <v>7790</v>
      </c>
      <c r="C411" t="b">
        <v>1</v>
      </c>
      <c r="D411">
        <v>8163</v>
      </c>
      <c r="E411">
        <v>8152</v>
      </c>
      <c r="F411">
        <v>300.06668000000002</v>
      </c>
      <c r="G411">
        <v>222.6</v>
      </c>
      <c r="H411">
        <v>1.3480084000000001</v>
      </c>
      <c r="I411">
        <v>-0.34800841999999998</v>
      </c>
      <c r="J411">
        <v>0.42589285999999998</v>
      </c>
    </row>
    <row r="412" spans="1:10" x14ac:dyDescent="0.3">
      <c r="A412">
        <v>410</v>
      </c>
      <c r="B412">
        <v>7806</v>
      </c>
      <c r="C412" t="b">
        <v>1</v>
      </c>
      <c r="D412">
        <v>8123</v>
      </c>
      <c r="E412">
        <v>8146</v>
      </c>
      <c r="F412">
        <v>298.93331999999998</v>
      </c>
      <c r="G412">
        <v>222.6</v>
      </c>
      <c r="H412">
        <v>1.3429169999999999</v>
      </c>
      <c r="I412">
        <v>-0.34291694</v>
      </c>
      <c r="J412">
        <v>0.42681837</v>
      </c>
    </row>
    <row r="413" spans="1:10" x14ac:dyDescent="0.3">
      <c r="A413">
        <v>411</v>
      </c>
      <c r="B413">
        <v>7822</v>
      </c>
      <c r="C413" t="b">
        <v>1</v>
      </c>
      <c r="D413">
        <v>8111</v>
      </c>
      <c r="E413">
        <v>8158</v>
      </c>
      <c r="F413">
        <v>297.8</v>
      </c>
      <c r="G413">
        <v>222.6</v>
      </c>
      <c r="H413">
        <v>1.3378257</v>
      </c>
      <c r="I413">
        <v>-0.3378256</v>
      </c>
      <c r="J413">
        <v>0.42774788000000002</v>
      </c>
    </row>
    <row r="414" spans="1:10" x14ac:dyDescent="0.3">
      <c r="A414">
        <v>412</v>
      </c>
      <c r="B414">
        <v>7838</v>
      </c>
      <c r="C414" t="b">
        <v>1</v>
      </c>
      <c r="D414">
        <v>8111</v>
      </c>
      <c r="E414">
        <v>8140</v>
      </c>
      <c r="F414">
        <v>296.26666</v>
      </c>
      <c r="G414">
        <v>222.6</v>
      </c>
      <c r="H414">
        <v>1.3309374</v>
      </c>
      <c r="I414">
        <v>-0.33093736000000001</v>
      </c>
      <c r="J414">
        <v>0.42901193999999998</v>
      </c>
    </row>
    <row r="415" spans="1:10" x14ac:dyDescent="0.3">
      <c r="A415">
        <v>413</v>
      </c>
      <c r="B415">
        <v>7853</v>
      </c>
      <c r="C415" t="b">
        <v>1</v>
      </c>
      <c r="D415">
        <v>8140</v>
      </c>
      <c r="E415">
        <v>8111</v>
      </c>
      <c r="F415">
        <v>294.33334000000002</v>
      </c>
      <c r="G415">
        <v>222.6</v>
      </c>
      <c r="H415">
        <v>1.3222522000000001</v>
      </c>
      <c r="I415">
        <v>-0.32225218</v>
      </c>
      <c r="J415">
        <v>0.43061646999999997</v>
      </c>
    </row>
    <row r="416" spans="1:10" x14ac:dyDescent="0.3">
      <c r="A416">
        <v>414</v>
      </c>
      <c r="B416">
        <v>7870</v>
      </c>
      <c r="C416" t="b">
        <v>1</v>
      </c>
      <c r="D416">
        <v>8163</v>
      </c>
      <c r="E416">
        <v>8129</v>
      </c>
      <c r="F416">
        <v>292.39999999999998</v>
      </c>
      <c r="G416">
        <v>222.2</v>
      </c>
      <c r="H416">
        <v>1.3159316000000001</v>
      </c>
      <c r="I416">
        <v>-0.31593159999999998</v>
      </c>
      <c r="J416">
        <v>0.4317917</v>
      </c>
    </row>
    <row r="417" spans="1:10" x14ac:dyDescent="0.3">
      <c r="A417">
        <v>415</v>
      </c>
      <c r="B417">
        <v>7886</v>
      </c>
      <c r="C417" t="b">
        <v>1</v>
      </c>
      <c r="D417">
        <v>8140</v>
      </c>
      <c r="E417">
        <v>8134</v>
      </c>
      <c r="F417">
        <v>291.60000000000002</v>
      </c>
      <c r="G417">
        <v>221.4</v>
      </c>
      <c r="H417">
        <v>1.3170732000000001</v>
      </c>
      <c r="I417">
        <v>-0.31707322999999998</v>
      </c>
      <c r="J417">
        <v>0.43157893000000003</v>
      </c>
    </row>
    <row r="418" spans="1:10" x14ac:dyDescent="0.3">
      <c r="A418">
        <v>416</v>
      </c>
      <c r="B418">
        <v>7901</v>
      </c>
      <c r="C418" t="b">
        <v>1</v>
      </c>
      <c r="D418">
        <v>8135</v>
      </c>
      <c r="E418">
        <v>8140</v>
      </c>
      <c r="F418">
        <v>290.8</v>
      </c>
      <c r="G418">
        <v>221</v>
      </c>
      <c r="H418">
        <v>1.3158369999999999</v>
      </c>
      <c r="I418">
        <v>-0.31583706</v>
      </c>
      <c r="J418">
        <v>0.43180930000000001</v>
      </c>
    </row>
    <row r="419" spans="1:10" x14ac:dyDescent="0.3">
      <c r="A419">
        <v>417</v>
      </c>
      <c r="B419">
        <v>7917</v>
      </c>
      <c r="C419" t="b">
        <v>1</v>
      </c>
      <c r="D419">
        <v>8140</v>
      </c>
      <c r="E419">
        <v>8164</v>
      </c>
      <c r="F419">
        <v>291.13333</v>
      </c>
      <c r="G419">
        <v>221.33332999999999</v>
      </c>
      <c r="H419">
        <v>1.3153615000000001</v>
      </c>
      <c r="I419">
        <v>-0.31536146999999998</v>
      </c>
      <c r="J419">
        <v>0.431898</v>
      </c>
    </row>
    <row r="420" spans="1:10" x14ac:dyDescent="0.3">
      <c r="A420">
        <v>418</v>
      </c>
      <c r="B420">
        <v>7933</v>
      </c>
      <c r="C420" t="b">
        <v>1</v>
      </c>
      <c r="D420">
        <v>8129</v>
      </c>
      <c r="E420">
        <v>8146</v>
      </c>
      <c r="F420">
        <v>291.86667</v>
      </c>
      <c r="G420">
        <v>222.06666999999999</v>
      </c>
      <c r="H420">
        <v>1.3143201</v>
      </c>
      <c r="I420">
        <v>-0.31432002999999997</v>
      </c>
      <c r="J420">
        <v>0.43209234000000002</v>
      </c>
    </row>
    <row r="421" spans="1:10" x14ac:dyDescent="0.3">
      <c r="A421">
        <v>419</v>
      </c>
      <c r="B421">
        <v>7949</v>
      </c>
      <c r="C421" t="b">
        <v>1</v>
      </c>
      <c r="D421">
        <v>8163</v>
      </c>
      <c r="E421">
        <v>8140</v>
      </c>
      <c r="F421">
        <v>292.60000000000002</v>
      </c>
      <c r="G421">
        <v>222.8</v>
      </c>
      <c r="H421">
        <v>1.3132855000000001</v>
      </c>
      <c r="I421">
        <v>-0.31328547000000001</v>
      </c>
      <c r="J421">
        <v>0.43228558</v>
      </c>
    </row>
    <row r="422" spans="1:10" x14ac:dyDescent="0.3">
      <c r="A422">
        <v>420</v>
      </c>
      <c r="B422">
        <v>7965</v>
      </c>
      <c r="C422" t="b">
        <v>1</v>
      </c>
      <c r="D422">
        <v>8163</v>
      </c>
      <c r="E422">
        <v>8146</v>
      </c>
      <c r="F422">
        <v>292.93331999999998</v>
      </c>
      <c r="G422">
        <v>223.93333000000001</v>
      </c>
      <c r="H422">
        <v>1.3081274000000001</v>
      </c>
      <c r="I422">
        <v>-0.30812734000000003</v>
      </c>
      <c r="J422">
        <v>0.43325167999999997</v>
      </c>
    </row>
    <row r="423" spans="1:10" x14ac:dyDescent="0.3">
      <c r="A423">
        <v>421</v>
      </c>
      <c r="B423">
        <v>7981</v>
      </c>
      <c r="C423" t="b">
        <v>1</v>
      </c>
      <c r="D423">
        <v>8152</v>
      </c>
      <c r="E423">
        <v>8146</v>
      </c>
      <c r="F423">
        <v>294.46667000000002</v>
      </c>
      <c r="G423">
        <v>225.06666999999999</v>
      </c>
      <c r="H423">
        <v>1.3083530999999999</v>
      </c>
      <c r="I423">
        <v>-0.30835312999999998</v>
      </c>
      <c r="J423">
        <v>0.43320930000000002</v>
      </c>
    </row>
    <row r="424" spans="1:10" x14ac:dyDescent="0.3">
      <c r="A424">
        <v>422</v>
      </c>
      <c r="B424">
        <v>7996</v>
      </c>
      <c r="C424" t="b">
        <v>1</v>
      </c>
      <c r="D424">
        <v>8106</v>
      </c>
      <c r="E424">
        <v>8140</v>
      </c>
      <c r="F424">
        <v>296</v>
      </c>
      <c r="G424">
        <v>226.2</v>
      </c>
      <c r="H424">
        <v>1.3085765</v>
      </c>
      <c r="I424">
        <v>-0.30857649999999998</v>
      </c>
      <c r="J424">
        <v>0.43316734000000001</v>
      </c>
    </row>
    <row r="425" spans="1:10" x14ac:dyDescent="0.3">
      <c r="A425">
        <v>423</v>
      </c>
      <c r="B425">
        <v>8012</v>
      </c>
      <c r="C425" t="b">
        <v>1</v>
      </c>
      <c r="D425">
        <v>8158</v>
      </c>
      <c r="E425">
        <v>8158</v>
      </c>
      <c r="F425">
        <v>297.53332999999998</v>
      </c>
      <c r="G425">
        <v>226.6</v>
      </c>
      <c r="H425">
        <v>1.3130332</v>
      </c>
      <c r="I425">
        <v>-0.31303315999999998</v>
      </c>
      <c r="J425">
        <v>0.43233278000000003</v>
      </c>
    </row>
    <row r="426" spans="1:10" x14ac:dyDescent="0.3">
      <c r="A426">
        <v>424</v>
      </c>
      <c r="B426">
        <v>8028</v>
      </c>
      <c r="C426" t="b">
        <v>1</v>
      </c>
      <c r="D426">
        <v>8123</v>
      </c>
      <c r="E426">
        <v>8170</v>
      </c>
      <c r="F426">
        <v>297.93331999999998</v>
      </c>
      <c r="G426">
        <v>227</v>
      </c>
      <c r="H426">
        <v>1.3124815000000001</v>
      </c>
      <c r="I426">
        <v>-0.31248157999999998</v>
      </c>
      <c r="J426">
        <v>0.43243584000000002</v>
      </c>
    </row>
    <row r="427" spans="1:10" x14ac:dyDescent="0.3">
      <c r="A427">
        <v>425</v>
      </c>
      <c r="B427">
        <v>8044</v>
      </c>
      <c r="C427" t="b">
        <v>1</v>
      </c>
      <c r="D427">
        <v>8123</v>
      </c>
      <c r="E427">
        <v>8134</v>
      </c>
      <c r="F427">
        <v>297.93331999999998</v>
      </c>
      <c r="G427">
        <v>227.4</v>
      </c>
      <c r="H427">
        <v>1.3101729</v>
      </c>
      <c r="I427">
        <v>-0.31017295</v>
      </c>
      <c r="J427">
        <v>0.43286803000000001</v>
      </c>
    </row>
    <row r="428" spans="1:10" x14ac:dyDescent="0.3">
      <c r="A428">
        <v>426</v>
      </c>
      <c r="B428">
        <v>8060</v>
      </c>
      <c r="C428" t="b">
        <v>1</v>
      </c>
      <c r="D428">
        <v>8129</v>
      </c>
      <c r="E428">
        <v>8152</v>
      </c>
      <c r="F428">
        <v>297.93331999999998</v>
      </c>
      <c r="G428">
        <v>227.8</v>
      </c>
      <c r="H428">
        <v>1.3078723000000001</v>
      </c>
      <c r="I428">
        <v>-0.30787233000000003</v>
      </c>
      <c r="J428">
        <v>0.4332995</v>
      </c>
    </row>
    <row r="429" spans="1:10" x14ac:dyDescent="0.3">
      <c r="A429">
        <v>427</v>
      </c>
      <c r="B429">
        <v>8076</v>
      </c>
      <c r="C429" t="b">
        <v>1</v>
      </c>
      <c r="D429">
        <v>8181</v>
      </c>
      <c r="E429">
        <v>8123</v>
      </c>
      <c r="F429">
        <v>298.33334000000002</v>
      </c>
      <c r="G429">
        <v>228.2</v>
      </c>
      <c r="H429">
        <v>1.3073328</v>
      </c>
      <c r="I429">
        <v>-0.30733280000000002</v>
      </c>
      <c r="J429">
        <v>0.43340086999999999</v>
      </c>
    </row>
    <row r="430" spans="1:10" x14ac:dyDescent="0.3">
      <c r="A430">
        <v>428</v>
      </c>
      <c r="B430">
        <v>8092</v>
      </c>
      <c r="C430" t="b">
        <v>1</v>
      </c>
      <c r="D430">
        <v>8158</v>
      </c>
      <c r="E430">
        <v>8123</v>
      </c>
      <c r="F430">
        <v>298.73334</v>
      </c>
      <c r="G430">
        <v>227.4</v>
      </c>
      <c r="H430">
        <v>1.3136909999999999</v>
      </c>
      <c r="I430">
        <v>-0.31369105000000003</v>
      </c>
      <c r="J430">
        <v>0.43220985000000001</v>
      </c>
    </row>
    <row r="431" spans="1:10" x14ac:dyDescent="0.3">
      <c r="A431">
        <v>429</v>
      </c>
      <c r="B431">
        <v>8108</v>
      </c>
      <c r="C431" t="b">
        <v>1</v>
      </c>
      <c r="D431">
        <v>8158</v>
      </c>
      <c r="E431">
        <v>8123</v>
      </c>
      <c r="F431">
        <v>301.06668000000002</v>
      </c>
      <c r="G431">
        <v>226.26666</v>
      </c>
      <c r="H431">
        <v>1.3305834999999999</v>
      </c>
      <c r="I431">
        <v>-0.33058347999999999</v>
      </c>
      <c r="J431">
        <v>0.42907709999999999</v>
      </c>
    </row>
    <row r="432" spans="1:10" x14ac:dyDescent="0.3">
      <c r="A432">
        <v>430</v>
      </c>
      <c r="B432">
        <v>8124</v>
      </c>
      <c r="C432" t="b">
        <v>1</v>
      </c>
      <c r="D432">
        <v>8100</v>
      </c>
      <c r="E432">
        <v>8152</v>
      </c>
      <c r="F432">
        <v>302.26666</v>
      </c>
      <c r="G432">
        <v>225.53334000000001</v>
      </c>
      <c r="H432">
        <v>1.3402305000000001</v>
      </c>
      <c r="I432">
        <v>-0.34023049999999999</v>
      </c>
      <c r="J432">
        <v>0.42730835</v>
      </c>
    </row>
    <row r="433" spans="1:10" x14ac:dyDescent="0.3">
      <c r="A433">
        <v>431</v>
      </c>
      <c r="B433">
        <v>8139</v>
      </c>
      <c r="C433" t="b">
        <v>1</v>
      </c>
      <c r="D433">
        <v>8204</v>
      </c>
      <c r="E433">
        <v>8111</v>
      </c>
      <c r="F433">
        <v>303.46667000000002</v>
      </c>
      <c r="G433">
        <v>224.8</v>
      </c>
      <c r="H433">
        <v>1.3499407000000001</v>
      </c>
      <c r="I433">
        <v>-0.34994071999999998</v>
      </c>
      <c r="J433">
        <v>0.42554265000000002</v>
      </c>
    </row>
    <row r="434" spans="1:10" x14ac:dyDescent="0.3">
      <c r="A434">
        <v>432</v>
      </c>
      <c r="B434">
        <v>8155</v>
      </c>
      <c r="C434" t="b">
        <v>1</v>
      </c>
      <c r="D434">
        <v>8088</v>
      </c>
      <c r="E434">
        <v>8105</v>
      </c>
      <c r="F434">
        <v>304.66665999999998</v>
      </c>
      <c r="G434">
        <v>224.06666999999999</v>
      </c>
      <c r="H434">
        <v>1.3597144000000001</v>
      </c>
      <c r="I434">
        <v>-0.35971433000000003</v>
      </c>
      <c r="J434">
        <v>0.42378008</v>
      </c>
    </row>
    <row r="435" spans="1:10" x14ac:dyDescent="0.3">
      <c r="A435">
        <v>433</v>
      </c>
      <c r="B435">
        <v>8171</v>
      </c>
      <c r="C435" t="b">
        <v>1</v>
      </c>
      <c r="D435">
        <v>8152</v>
      </c>
      <c r="E435">
        <v>8105</v>
      </c>
      <c r="F435">
        <v>305.46667000000002</v>
      </c>
      <c r="G435">
        <v>222.13333</v>
      </c>
      <c r="H435">
        <v>1.3751500999999999</v>
      </c>
      <c r="I435">
        <v>-0.37515009999999999</v>
      </c>
      <c r="J435">
        <v>0.42102604999999999</v>
      </c>
    </row>
    <row r="436" spans="1:10" x14ac:dyDescent="0.3">
      <c r="A436">
        <v>434</v>
      </c>
      <c r="B436">
        <v>8187</v>
      </c>
      <c r="C436" t="b">
        <v>1</v>
      </c>
      <c r="D436">
        <v>8135</v>
      </c>
      <c r="E436">
        <v>8152</v>
      </c>
      <c r="F436">
        <v>305.13333</v>
      </c>
      <c r="G436">
        <v>220.2</v>
      </c>
      <c r="H436">
        <v>1.38571</v>
      </c>
      <c r="I436">
        <v>-0.38570997000000001</v>
      </c>
      <c r="J436">
        <v>0.41916245000000002</v>
      </c>
    </row>
    <row r="437" spans="1:10" x14ac:dyDescent="0.3">
      <c r="A437">
        <v>435</v>
      </c>
      <c r="B437">
        <v>8203</v>
      </c>
      <c r="C437" t="b">
        <v>1</v>
      </c>
      <c r="D437">
        <v>8146</v>
      </c>
      <c r="E437">
        <v>8140</v>
      </c>
      <c r="F437">
        <v>305.53332999999998</v>
      </c>
      <c r="G437">
        <v>217.86667</v>
      </c>
      <c r="H437">
        <v>1.4023867999999999</v>
      </c>
      <c r="I437">
        <v>-0.40238671999999998</v>
      </c>
      <c r="J437">
        <v>0.41625269999999998</v>
      </c>
    </row>
    <row r="438" spans="1:10" x14ac:dyDescent="0.3">
      <c r="A438">
        <v>436</v>
      </c>
      <c r="B438">
        <v>8219</v>
      </c>
      <c r="C438" t="b">
        <v>1</v>
      </c>
      <c r="D438">
        <v>8158</v>
      </c>
      <c r="E438">
        <v>8170</v>
      </c>
      <c r="F438">
        <v>305.13333</v>
      </c>
      <c r="G438">
        <v>217.46665999999999</v>
      </c>
      <c r="H438">
        <v>1.403127</v>
      </c>
      <c r="I438">
        <v>-0.40312695999999998</v>
      </c>
      <c r="J438">
        <v>0.41612452</v>
      </c>
    </row>
    <row r="439" spans="1:10" x14ac:dyDescent="0.3">
      <c r="A439">
        <v>437</v>
      </c>
      <c r="B439">
        <v>8234</v>
      </c>
      <c r="C439" t="b">
        <v>1</v>
      </c>
      <c r="D439">
        <v>8186</v>
      </c>
      <c r="E439">
        <v>8146</v>
      </c>
      <c r="F439">
        <v>305.13333</v>
      </c>
      <c r="G439">
        <v>217.46665999999999</v>
      </c>
      <c r="H439">
        <v>1.403127</v>
      </c>
      <c r="I439">
        <v>-0.40312695999999998</v>
      </c>
      <c r="J439">
        <v>0.41612452</v>
      </c>
    </row>
    <row r="440" spans="1:10" x14ac:dyDescent="0.3">
      <c r="A440">
        <v>438</v>
      </c>
      <c r="B440">
        <v>8250</v>
      </c>
      <c r="C440" t="b">
        <v>1</v>
      </c>
      <c r="D440">
        <v>8135</v>
      </c>
      <c r="E440">
        <v>8134</v>
      </c>
      <c r="F440">
        <v>304.33334000000002</v>
      </c>
      <c r="G440">
        <v>217.46665999999999</v>
      </c>
      <c r="H440">
        <v>1.3994483</v>
      </c>
      <c r="I440">
        <v>-0.39944827999999999</v>
      </c>
      <c r="J440">
        <v>0.41676247</v>
      </c>
    </row>
    <row r="441" spans="1:10" x14ac:dyDescent="0.3">
      <c r="A441">
        <v>439</v>
      </c>
      <c r="B441">
        <v>8266</v>
      </c>
      <c r="C441" t="b">
        <v>1</v>
      </c>
      <c r="D441">
        <v>8181</v>
      </c>
      <c r="E441">
        <v>8158</v>
      </c>
      <c r="F441">
        <v>304.73334</v>
      </c>
      <c r="G441">
        <v>217.46665999999999</v>
      </c>
      <c r="H441">
        <v>1.4012876999999999</v>
      </c>
      <c r="I441">
        <v>-0.40128762000000001</v>
      </c>
      <c r="J441">
        <v>0.41644323</v>
      </c>
    </row>
    <row r="442" spans="1:10" x14ac:dyDescent="0.3">
      <c r="A442">
        <v>440</v>
      </c>
      <c r="B442">
        <v>8282</v>
      </c>
      <c r="C442" t="b">
        <v>1</v>
      </c>
      <c r="D442">
        <v>8123</v>
      </c>
      <c r="E442">
        <v>8152</v>
      </c>
      <c r="F442">
        <v>307.06668000000002</v>
      </c>
      <c r="G442">
        <v>217.86667</v>
      </c>
      <c r="H442">
        <v>1.4094248</v>
      </c>
      <c r="I442">
        <v>-0.40942477999999999</v>
      </c>
      <c r="J442">
        <v>0.41503683000000002</v>
      </c>
    </row>
    <row r="443" spans="1:10" x14ac:dyDescent="0.3">
      <c r="A443">
        <v>441</v>
      </c>
      <c r="B443">
        <v>8299</v>
      </c>
      <c r="C443" t="b">
        <v>1</v>
      </c>
      <c r="D443">
        <v>8158</v>
      </c>
      <c r="E443">
        <v>8146</v>
      </c>
      <c r="F443">
        <v>309.39999999999998</v>
      </c>
      <c r="G443">
        <v>217.46665999999999</v>
      </c>
      <c r="H443">
        <v>1.4227468000000001</v>
      </c>
      <c r="I443">
        <v>-0.42274679999999998</v>
      </c>
      <c r="J443">
        <v>0.41275465</v>
      </c>
    </row>
    <row r="444" spans="1:10" x14ac:dyDescent="0.3">
      <c r="A444">
        <v>442</v>
      </c>
      <c r="B444">
        <v>8330</v>
      </c>
      <c r="C444" t="b">
        <v>1</v>
      </c>
      <c r="D444">
        <v>8140</v>
      </c>
      <c r="E444">
        <v>8129</v>
      </c>
      <c r="F444">
        <v>310.13333</v>
      </c>
      <c r="G444">
        <v>217.06666999999999</v>
      </c>
      <c r="H444">
        <v>1.4287468999999999</v>
      </c>
      <c r="I444">
        <v>-0.42874694000000002</v>
      </c>
      <c r="J444">
        <v>0.41173493999999999</v>
      </c>
    </row>
    <row r="445" spans="1:10" x14ac:dyDescent="0.3">
      <c r="A445">
        <v>443</v>
      </c>
      <c r="B445">
        <v>8362</v>
      </c>
      <c r="C445" t="b">
        <v>1</v>
      </c>
      <c r="D445">
        <v>8158</v>
      </c>
      <c r="E445">
        <v>8164</v>
      </c>
      <c r="F445">
        <v>312.06668000000002</v>
      </c>
      <c r="G445">
        <v>218.26666</v>
      </c>
      <c r="H445">
        <v>1.4297496000000001</v>
      </c>
      <c r="I445">
        <v>-0.42974963999999999</v>
      </c>
      <c r="J445">
        <v>0.41156500000000001</v>
      </c>
    </row>
    <row r="446" spans="1:10" x14ac:dyDescent="0.3">
      <c r="A446">
        <v>444</v>
      </c>
      <c r="B446">
        <v>8377</v>
      </c>
      <c r="C446" t="b">
        <v>1</v>
      </c>
      <c r="D446">
        <v>8123</v>
      </c>
      <c r="E446">
        <v>8158</v>
      </c>
      <c r="F446">
        <v>310.86667</v>
      </c>
      <c r="G446">
        <v>220.2</v>
      </c>
      <c r="H446">
        <v>1.4117470000000001</v>
      </c>
      <c r="I446">
        <v>-0.41174692000000002</v>
      </c>
      <c r="J446">
        <v>0.41463719999999998</v>
      </c>
    </row>
    <row r="447" spans="1:10" x14ac:dyDescent="0.3">
      <c r="A447">
        <v>445</v>
      </c>
      <c r="B447">
        <v>8393</v>
      </c>
      <c r="C447" t="b">
        <v>1</v>
      </c>
      <c r="D447">
        <v>8175</v>
      </c>
      <c r="E447">
        <v>8134</v>
      </c>
      <c r="F447">
        <v>310.86667</v>
      </c>
      <c r="G447">
        <v>221.73334</v>
      </c>
      <c r="H447">
        <v>1.4019843000000001</v>
      </c>
      <c r="I447">
        <v>-0.40198435999999999</v>
      </c>
      <c r="J447">
        <v>0.41632247</v>
      </c>
    </row>
    <row r="448" spans="1:10" x14ac:dyDescent="0.3">
      <c r="A448">
        <v>446</v>
      </c>
      <c r="B448">
        <v>8409</v>
      </c>
      <c r="C448" t="b">
        <v>1</v>
      </c>
      <c r="D448">
        <v>8146</v>
      </c>
      <c r="E448">
        <v>8134</v>
      </c>
      <c r="F448">
        <v>310.06668000000002</v>
      </c>
      <c r="G448">
        <v>222.46665999999999</v>
      </c>
      <c r="H448">
        <v>1.393767</v>
      </c>
      <c r="I448">
        <v>-0.39376696999999999</v>
      </c>
      <c r="J448">
        <v>0.4177516</v>
      </c>
    </row>
    <row r="449" spans="1:10" x14ac:dyDescent="0.3">
      <c r="A449">
        <v>447</v>
      </c>
      <c r="B449">
        <v>8425</v>
      </c>
      <c r="C449" t="b">
        <v>1</v>
      </c>
      <c r="D449">
        <v>8152</v>
      </c>
      <c r="E449">
        <v>8134</v>
      </c>
      <c r="F449">
        <v>309.66665999999998</v>
      </c>
      <c r="G449">
        <v>223.2</v>
      </c>
      <c r="H449">
        <v>1.3873953999999999</v>
      </c>
      <c r="I449">
        <v>-0.38739543999999998</v>
      </c>
      <c r="J449">
        <v>0.41886652000000002</v>
      </c>
    </row>
    <row r="450" spans="1:10" x14ac:dyDescent="0.3">
      <c r="A450">
        <v>448</v>
      </c>
      <c r="B450">
        <v>8441</v>
      </c>
      <c r="C450" t="b">
        <v>1</v>
      </c>
      <c r="D450">
        <v>8129</v>
      </c>
      <c r="E450">
        <v>8129</v>
      </c>
      <c r="F450">
        <v>309.26666</v>
      </c>
      <c r="G450">
        <v>224.73334</v>
      </c>
      <c r="H450">
        <v>1.3761494000000001</v>
      </c>
      <c r="I450">
        <v>-0.37614947999999998</v>
      </c>
      <c r="J450">
        <v>0.42084894</v>
      </c>
    </row>
    <row r="451" spans="1:10" x14ac:dyDescent="0.3">
      <c r="A451">
        <v>449</v>
      </c>
      <c r="B451">
        <v>8456</v>
      </c>
      <c r="C451" t="b">
        <v>1</v>
      </c>
      <c r="D451">
        <v>8135</v>
      </c>
      <c r="E451">
        <v>8093</v>
      </c>
      <c r="F451">
        <v>310</v>
      </c>
      <c r="G451">
        <v>226.26666</v>
      </c>
      <c r="H451">
        <v>1.3700649</v>
      </c>
      <c r="I451">
        <v>-0.37006485</v>
      </c>
      <c r="J451">
        <v>0.42192940000000001</v>
      </c>
    </row>
    <row r="452" spans="1:10" x14ac:dyDescent="0.3">
      <c r="A452">
        <v>450</v>
      </c>
      <c r="B452">
        <v>8472</v>
      </c>
      <c r="C452" t="b">
        <v>1</v>
      </c>
      <c r="D452">
        <v>8152</v>
      </c>
      <c r="E452">
        <v>8105</v>
      </c>
      <c r="F452">
        <v>310</v>
      </c>
      <c r="G452">
        <v>227.46665999999999</v>
      </c>
      <c r="H452">
        <v>1.3628370999999999</v>
      </c>
      <c r="I452">
        <v>-0.36283707999999998</v>
      </c>
      <c r="J452">
        <v>0.42322004000000002</v>
      </c>
    </row>
    <row r="453" spans="1:10" x14ac:dyDescent="0.3">
      <c r="A453">
        <v>451</v>
      </c>
      <c r="B453">
        <v>8488</v>
      </c>
      <c r="C453" t="b">
        <v>1</v>
      </c>
      <c r="D453">
        <v>8152</v>
      </c>
      <c r="E453">
        <v>8123</v>
      </c>
      <c r="F453">
        <v>310.39999999999998</v>
      </c>
      <c r="G453">
        <v>226.33332999999999</v>
      </c>
      <c r="H453">
        <v>1.3714286</v>
      </c>
      <c r="I453">
        <v>-0.37142858000000001</v>
      </c>
      <c r="J453">
        <v>0.42168674</v>
      </c>
    </row>
    <row r="454" spans="1:10" x14ac:dyDescent="0.3">
      <c r="A454">
        <v>452</v>
      </c>
      <c r="B454">
        <v>8504</v>
      </c>
      <c r="C454" t="b">
        <v>1</v>
      </c>
      <c r="D454">
        <v>8123</v>
      </c>
      <c r="E454">
        <v>8129</v>
      </c>
      <c r="F454">
        <v>309.26666</v>
      </c>
      <c r="G454">
        <v>224.8</v>
      </c>
      <c r="H454">
        <v>1.3757413999999999</v>
      </c>
      <c r="I454">
        <v>-0.37574136000000002</v>
      </c>
      <c r="J454">
        <v>0.42092127000000001</v>
      </c>
    </row>
    <row r="455" spans="1:10" x14ac:dyDescent="0.3">
      <c r="A455">
        <v>453</v>
      </c>
      <c r="B455">
        <v>8520</v>
      </c>
      <c r="C455" t="b">
        <v>1</v>
      </c>
      <c r="D455">
        <v>8158</v>
      </c>
      <c r="E455">
        <v>8146</v>
      </c>
      <c r="F455">
        <v>309.66665999999998</v>
      </c>
      <c r="G455">
        <v>223.26666</v>
      </c>
      <c r="H455">
        <v>1.3869811000000001</v>
      </c>
      <c r="I455">
        <v>-0.38698115999999999</v>
      </c>
      <c r="J455">
        <v>0.41893917000000003</v>
      </c>
    </row>
    <row r="456" spans="1:10" x14ac:dyDescent="0.3">
      <c r="A456">
        <v>454</v>
      </c>
      <c r="B456">
        <v>8536</v>
      </c>
      <c r="C456" t="b">
        <v>1</v>
      </c>
      <c r="D456">
        <v>8181</v>
      </c>
      <c r="E456">
        <v>8152</v>
      </c>
      <c r="F456">
        <v>309.26666</v>
      </c>
      <c r="G456">
        <v>222.13333</v>
      </c>
      <c r="H456">
        <v>1.3922569</v>
      </c>
      <c r="I456">
        <v>-0.39225690000000002</v>
      </c>
      <c r="J456">
        <v>0.41801526999999999</v>
      </c>
    </row>
    <row r="457" spans="1:10" x14ac:dyDescent="0.3">
      <c r="A457">
        <v>455</v>
      </c>
      <c r="B457">
        <v>8552</v>
      </c>
      <c r="C457" t="b">
        <v>1</v>
      </c>
      <c r="D457">
        <v>8146</v>
      </c>
      <c r="E457">
        <v>8134</v>
      </c>
      <c r="F457">
        <v>308.86667</v>
      </c>
      <c r="G457">
        <v>220.93333000000001</v>
      </c>
      <c r="H457">
        <v>1.3980085</v>
      </c>
      <c r="I457">
        <v>-0.39800847</v>
      </c>
      <c r="J457">
        <v>0.41701272</v>
      </c>
    </row>
    <row r="458" spans="1:10" x14ac:dyDescent="0.3">
      <c r="A458">
        <v>456</v>
      </c>
      <c r="B458">
        <v>8567</v>
      </c>
      <c r="C458" t="b">
        <v>1</v>
      </c>
      <c r="D458">
        <v>8135</v>
      </c>
      <c r="E458">
        <v>8140</v>
      </c>
      <c r="F458">
        <v>308.06668000000002</v>
      </c>
      <c r="G458">
        <v>220.53334000000001</v>
      </c>
      <c r="H458">
        <v>1.3969166</v>
      </c>
      <c r="I458">
        <v>-0.39691660000000001</v>
      </c>
      <c r="J458">
        <v>0.41720265000000001</v>
      </c>
    </row>
    <row r="459" spans="1:10" x14ac:dyDescent="0.3">
      <c r="A459">
        <v>457</v>
      </c>
      <c r="B459">
        <v>8583</v>
      </c>
      <c r="C459" t="b">
        <v>1</v>
      </c>
      <c r="D459">
        <v>8106</v>
      </c>
      <c r="E459">
        <v>8129</v>
      </c>
      <c r="F459">
        <v>308.46667000000002</v>
      </c>
      <c r="G459">
        <v>220.13333</v>
      </c>
      <c r="H459">
        <v>1.4012720000000001</v>
      </c>
      <c r="I459">
        <v>-0.40127200000000002</v>
      </c>
      <c r="J459">
        <v>0.41644597</v>
      </c>
    </row>
    <row r="460" spans="1:10" x14ac:dyDescent="0.3">
      <c r="A460">
        <v>458</v>
      </c>
      <c r="B460">
        <v>8599</v>
      </c>
      <c r="C460" t="b">
        <v>1</v>
      </c>
      <c r="D460">
        <v>8129</v>
      </c>
      <c r="E460">
        <v>8134</v>
      </c>
      <c r="F460">
        <v>306.93331999999998</v>
      </c>
      <c r="G460">
        <v>218.93333000000001</v>
      </c>
      <c r="H460">
        <v>1.4019488</v>
      </c>
      <c r="I460">
        <v>-0.40194878000000001</v>
      </c>
      <c r="J460">
        <v>0.41632864000000003</v>
      </c>
    </row>
    <row r="461" spans="1:10" x14ac:dyDescent="0.3">
      <c r="A461">
        <v>459</v>
      </c>
      <c r="B461">
        <v>8631</v>
      </c>
      <c r="C461" t="b">
        <v>1</v>
      </c>
      <c r="D461">
        <v>8106</v>
      </c>
      <c r="E461">
        <v>8146</v>
      </c>
      <c r="F461">
        <v>306.2</v>
      </c>
      <c r="G461">
        <v>217.73334</v>
      </c>
      <c r="H461">
        <v>1.4063075</v>
      </c>
      <c r="I461">
        <v>-0.40630743000000002</v>
      </c>
      <c r="J461">
        <v>0.41557450000000001</v>
      </c>
    </row>
    <row r="462" spans="1:10" x14ac:dyDescent="0.3">
      <c r="A462">
        <v>460</v>
      </c>
      <c r="B462">
        <v>8647</v>
      </c>
      <c r="C462" t="b">
        <v>1</v>
      </c>
      <c r="D462">
        <v>8111</v>
      </c>
      <c r="E462">
        <v>8134</v>
      </c>
      <c r="F462">
        <v>303.06668000000002</v>
      </c>
      <c r="G462">
        <v>216.93333000000001</v>
      </c>
      <c r="H462">
        <v>1.3970498</v>
      </c>
      <c r="I462">
        <v>-0.39704983999999999</v>
      </c>
      <c r="J462">
        <v>0.41717949999999998</v>
      </c>
    </row>
    <row r="463" spans="1:10" x14ac:dyDescent="0.3">
      <c r="A463">
        <v>461</v>
      </c>
      <c r="B463">
        <v>8678</v>
      </c>
      <c r="C463" t="b">
        <v>1</v>
      </c>
      <c r="D463">
        <v>8106</v>
      </c>
      <c r="E463">
        <v>8152</v>
      </c>
      <c r="F463">
        <v>300.39999999999998</v>
      </c>
      <c r="G463">
        <v>216.93333000000001</v>
      </c>
      <c r="H463">
        <v>1.3847571999999999</v>
      </c>
      <c r="I463">
        <v>-0.38475720000000002</v>
      </c>
      <c r="J463">
        <v>0.41932989999999998</v>
      </c>
    </row>
    <row r="464" spans="1:10" x14ac:dyDescent="0.3">
      <c r="A464">
        <v>462</v>
      </c>
      <c r="B464">
        <v>8694</v>
      </c>
      <c r="C464" t="b">
        <v>1</v>
      </c>
      <c r="D464">
        <v>8111</v>
      </c>
      <c r="E464">
        <v>8123</v>
      </c>
      <c r="F464">
        <v>297.66665999999998</v>
      </c>
      <c r="G464">
        <v>216.93333000000001</v>
      </c>
      <c r="H464">
        <v>1.3721573</v>
      </c>
      <c r="I464">
        <v>-0.37215730000000002</v>
      </c>
      <c r="J464">
        <v>0.42155722000000001</v>
      </c>
    </row>
    <row r="465" spans="1:10" x14ac:dyDescent="0.3">
      <c r="A465">
        <v>463</v>
      </c>
      <c r="B465">
        <v>8710</v>
      </c>
      <c r="C465" t="b">
        <v>1</v>
      </c>
      <c r="D465">
        <v>8152</v>
      </c>
      <c r="E465">
        <v>8164</v>
      </c>
      <c r="F465">
        <v>295.33334000000002</v>
      </c>
      <c r="G465">
        <v>217.73334</v>
      </c>
      <c r="H465">
        <v>1.3563993000000001</v>
      </c>
      <c r="I465">
        <v>-0.35639929999999997</v>
      </c>
      <c r="J465">
        <v>0.42437629999999998</v>
      </c>
    </row>
    <row r="466" spans="1:10" x14ac:dyDescent="0.3">
      <c r="A466">
        <v>464</v>
      </c>
      <c r="B466">
        <v>8741</v>
      </c>
      <c r="C466" t="b">
        <v>1</v>
      </c>
      <c r="D466">
        <v>8140</v>
      </c>
      <c r="E466">
        <v>8129</v>
      </c>
      <c r="F466">
        <v>293</v>
      </c>
      <c r="G466">
        <v>217.73334</v>
      </c>
      <c r="H466">
        <v>1.3456827</v>
      </c>
      <c r="I466">
        <v>-0.34568276999999997</v>
      </c>
      <c r="J466">
        <v>0.4263151</v>
      </c>
    </row>
    <row r="467" spans="1:10" x14ac:dyDescent="0.3">
      <c r="A467">
        <v>465</v>
      </c>
      <c r="B467">
        <v>8773</v>
      </c>
      <c r="C467" t="b">
        <v>1</v>
      </c>
      <c r="D467">
        <v>8158</v>
      </c>
      <c r="E467">
        <v>8146</v>
      </c>
      <c r="F467">
        <v>292.60000000000002</v>
      </c>
      <c r="G467">
        <v>218.86667</v>
      </c>
      <c r="H467">
        <v>1.3368869999999999</v>
      </c>
      <c r="I467">
        <v>-0.33688699999999999</v>
      </c>
      <c r="J467">
        <v>0.42791972</v>
      </c>
    </row>
    <row r="468" spans="1:10" x14ac:dyDescent="0.3">
      <c r="A468">
        <v>466</v>
      </c>
      <c r="B468">
        <v>8804</v>
      </c>
      <c r="C468" t="b">
        <v>1</v>
      </c>
      <c r="D468">
        <v>8123</v>
      </c>
      <c r="E468">
        <v>8152</v>
      </c>
      <c r="F468">
        <v>291.8</v>
      </c>
      <c r="G468">
        <v>220.4</v>
      </c>
      <c r="H468">
        <v>1.3239563999999999</v>
      </c>
      <c r="I468">
        <v>-0.32395643000000002</v>
      </c>
      <c r="J468">
        <v>0.43030067999999999</v>
      </c>
    </row>
    <row r="469" spans="1:10" x14ac:dyDescent="0.3">
      <c r="A469">
        <v>467</v>
      </c>
      <c r="B469">
        <v>8835</v>
      </c>
      <c r="C469" t="b">
        <v>1</v>
      </c>
      <c r="D469">
        <v>8146</v>
      </c>
      <c r="E469">
        <v>8146</v>
      </c>
      <c r="F469">
        <v>292.53332999999998</v>
      </c>
      <c r="G469">
        <v>221.93333000000001</v>
      </c>
      <c r="H469">
        <v>1.3181134000000001</v>
      </c>
      <c r="I469">
        <v>-0.31811349999999999</v>
      </c>
      <c r="J469">
        <v>0.43138525</v>
      </c>
    </row>
    <row r="470" spans="1:10" x14ac:dyDescent="0.3">
      <c r="A470">
        <v>468</v>
      </c>
      <c r="B470">
        <v>8851</v>
      </c>
      <c r="C470" t="b">
        <v>1</v>
      </c>
      <c r="D470">
        <v>8169</v>
      </c>
      <c r="E470">
        <v>8140</v>
      </c>
      <c r="F470">
        <v>292.13333</v>
      </c>
      <c r="G470">
        <v>223.46665999999999</v>
      </c>
      <c r="H470">
        <v>1.3072792</v>
      </c>
      <c r="I470">
        <v>-0.30727926</v>
      </c>
      <c r="J470">
        <v>0.43341089999999999</v>
      </c>
    </row>
    <row r="471" spans="1:10" x14ac:dyDescent="0.3">
      <c r="A471">
        <v>469</v>
      </c>
      <c r="B471">
        <v>8867</v>
      </c>
      <c r="C471" t="b">
        <v>1</v>
      </c>
      <c r="D471">
        <v>8135</v>
      </c>
      <c r="E471">
        <v>8146</v>
      </c>
      <c r="F471">
        <v>291.73334</v>
      </c>
      <c r="G471">
        <v>224.6</v>
      </c>
      <c r="H471">
        <v>1.2989017</v>
      </c>
      <c r="I471">
        <v>-0.29890174000000003</v>
      </c>
      <c r="J471">
        <v>0.4349903</v>
      </c>
    </row>
    <row r="472" spans="1:10" x14ac:dyDescent="0.3">
      <c r="A472">
        <v>470</v>
      </c>
      <c r="B472">
        <v>8883</v>
      </c>
      <c r="C472" t="b">
        <v>1</v>
      </c>
      <c r="D472">
        <v>8135</v>
      </c>
      <c r="E472">
        <v>8146</v>
      </c>
      <c r="F472">
        <v>290.60000000000002</v>
      </c>
      <c r="G472">
        <v>225.4</v>
      </c>
      <c r="H472">
        <v>1.2892636</v>
      </c>
      <c r="I472">
        <v>-0.28926360000000001</v>
      </c>
      <c r="J472">
        <v>0.43682169999999998</v>
      </c>
    </row>
    <row r="473" spans="1:10" x14ac:dyDescent="0.3">
      <c r="A473">
        <v>471</v>
      </c>
      <c r="B473">
        <v>8899</v>
      </c>
      <c r="C473" t="b">
        <v>1</v>
      </c>
      <c r="D473">
        <v>8123</v>
      </c>
      <c r="E473">
        <v>8134</v>
      </c>
      <c r="F473">
        <v>289.86667</v>
      </c>
      <c r="G473">
        <v>225.8</v>
      </c>
      <c r="H473">
        <v>1.2837319</v>
      </c>
      <c r="I473">
        <v>-0.28373189999999998</v>
      </c>
      <c r="J473">
        <v>0.43787974000000002</v>
      </c>
    </row>
    <row r="474" spans="1:10" x14ac:dyDescent="0.3">
      <c r="A474">
        <v>472</v>
      </c>
      <c r="B474">
        <v>8915</v>
      </c>
      <c r="C474" t="b">
        <v>1</v>
      </c>
      <c r="D474">
        <v>8158</v>
      </c>
      <c r="E474">
        <v>8140</v>
      </c>
      <c r="F474">
        <v>289.13333</v>
      </c>
      <c r="G474">
        <v>225.8</v>
      </c>
      <c r="H474">
        <v>1.2804842000000001</v>
      </c>
      <c r="I474">
        <v>-0.28048416999999998</v>
      </c>
      <c r="J474">
        <v>0.43850335000000001</v>
      </c>
    </row>
    <row r="475" spans="1:10" x14ac:dyDescent="0.3">
      <c r="A475">
        <v>473</v>
      </c>
      <c r="B475">
        <v>8931</v>
      </c>
      <c r="C475" t="b">
        <v>1</v>
      </c>
      <c r="D475">
        <v>8140</v>
      </c>
      <c r="E475">
        <v>8134</v>
      </c>
      <c r="F475">
        <v>289.13333</v>
      </c>
      <c r="G475">
        <v>226.2</v>
      </c>
      <c r="H475">
        <v>1.2782198</v>
      </c>
      <c r="I475">
        <v>-0.27821987999999997</v>
      </c>
      <c r="J475">
        <v>0.43893919999999997</v>
      </c>
    </row>
    <row r="476" spans="1:10" x14ac:dyDescent="0.3">
      <c r="A476">
        <v>474</v>
      </c>
      <c r="B476">
        <v>8946</v>
      </c>
      <c r="C476" t="b">
        <v>1</v>
      </c>
      <c r="D476">
        <v>8146</v>
      </c>
      <c r="E476">
        <v>8152</v>
      </c>
      <c r="F476">
        <v>289.86667</v>
      </c>
      <c r="G476">
        <v>226.6</v>
      </c>
      <c r="H476">
        <v>1.2791996999999999</v>
      </c>
      <c r="I476">
        <v>-0.27919975000000002</v>
      </c>
      <c r="J476">
        <v>0.43875048</v>
      </c>
    </row>
    <row r="477" spans="1:10" x14ac:dyDescent="0.3">
      <c r="A477">
        <v>475</v>
      </c>
      <c r="B477">
        <v>8978</v>
      </c>
      <c r="C477" t="b">
        <v>1</v>
      </c>
      <c r="D477">
        <v>8111</v>
      </c>
      <c r="E477">
        <v>8129</v>
      </c>
      <c r="F477">
        <v>291.8</v>
      </c>
      <c r="G477">
        <v>226.6</v>
      </c>
      <c r="H477">
        <v>1.2877316000000001</v>
      </c>
      <c r="I477">
        <v>-0.28773159999999998</v>
      </c>
      <c r="J477">
        <v>0.43711418000000002</v>
      </c>
    </row>
    <row r="478" spans="1:10" x14ac:dyDescent="0.3">
      <c r="A478">
        <v>476</v>
      </c>
      <c r="B478">
        <v>8994</v>
      </c>
      <c r="C478" t="b">
        <v>1</v>
      </c>
      <c r="D478">
        <v>8140</v>
      </c>
      <c r="E478">
        <v>8146</v>
      </c>
      <c r="F478">
        <v>294.06668000000002</v>
      </c>
      <c r="G478">
        <v>227</v>
      </c>
      <c r="H478">
        <v>1.2954479999999999</v>
      </c>
      <c r="I478">
        <v>-0.29544795000000001</v>
      </c>
      <c r="J478">
        <v>0.43564483999999998</v>
      </c>
    </row>
    <row r="479" spans="1:10" x14ac:dyDescent="0.3">
      <c r="A479">
        <v>477</v>
      </c>
      <c r="B479">
        <v>9010</v>
      </c>
      <c r="C479" t="b">
        <v>1</v>
      </c>
      <c r="D479">
        <v>8175</v>
      </c>
      <c r="E479">
        <v>8129</v>
      </c>
      <c r="F479">
        <v>296</v>
      </c>
      <c r="G479">
        <v>227</v>
      </c>
      <c r="H479">
        <v>1.3039647000000001</v>
      </c>
      <c r="I479">
        <v>-0.30396476</v>
      </c>
      <c r="J479">
        <v>0.43403439999999999</v>
      </c>
    </row>
    <row r="480" spans="1:10" x14ac:dyDescent="0.3">
      <c r="A480">
        <v>478</v>
      </c>
      <c r="B480">
        <v>9025</v>
      </c>
      <c r="C480" t="b">
        <v>1</v>
      </c>
      <c r="D480">
        <v>8129</v>
      </c>
      <c r="E480">
        <v>8140</v>
      </c>
      <c r="F480">
        <v>297.93331999999998</v>
      </c>
      <c r="G480">
        <v>226.6</v>
      </c>
      <c r="H480">
        <v>1.3147983999999999</v>
      </c>
      <c r="I480">
        <v>-0.31479837999999999</v>
      </c>
      <c r="J480">
        <v>0.43200307999999998</v>
      </c>
    </row>
    <row r="481" spans="1:10" x14ac:dyDescent="0.3">
      <c r="A481">
        <v>479</v>
      </c>
      <c r="B481">
        <v>9041</v>
      </c>
      <c r="C481" t="b">
        <v>1</v>
      </c>
      <c r="D481">
        <v>8123</v>
      </c>
      <c r="E481">
        <v>8123</v>
      </c>
      <c r="F481">
        <v>299.13333</v>
      </c>
      <c r="G481">
        <v>226.26666</v>
      </c>
      <c r="H481">
        <v>1.3220388999999999</v>
      </c>
      <c r="I481">
        <v>-0.32203892000000001</v>
      </c>
      <c r="J481">
        <v>0.43065599999999998</v>
      </c>
    </row>
    <row r="482" spans="1:10" x14ac:dyDescent="0.3">
      <c r="A482">
        <v>480</v>
      </c>
      <c r="B482">
        <v>9057</v>
      </c>
      <c r="C482" t="b">
        <v>1</v>
      </c>
      <c r="D482">
        <v>8169</v>
      </c>
      <c r="E482">
        <v>8129</v>
      </c>
      <c r="F482">
        <v>299.13333</v>
      </c>
      <c r="G482">
        <v>225.13333</v>
      </c>
      <c r="H482">
        <v>1.3286941000000001</v>
      </c>
      <c r="I482">
        <v>-0.32869409999999999</v>
      </c>
      <c r="J482">
        <v>0.42942523999999999</v>
      </c>
    </row>
    <row r="483" spans="1:10" x14ac:dyDescent="0.3">
      <c r="A483">
        <v>481</v>
      </c>
      <c r="B483">
        <v>9073</v>
      </c>
      <c r="C483" t="b">
        <v>1</v>
      </c>
      <c r="D483">
        <v>8146</v>
      </c>
      <c r="E483">
        <v>8134</v>
      </c>
      <c r="F483">
        <v>299.53332999999998</v>
      </c>
      <c r="G483">
        <v>224</v>
      </c>
      <c r="H483">
        <v>1.3372023</v>
      </c>
      <c r="I483">
        <v>-0.33720233999999999</v>
      </c>
      <c r="J483">
        <v>0.42786195999999999</v>
      </c>
    </row>
    <row r="484" spans="1:10" x14ac:dyDescent="0.3">
      <c r="A484">
        <v>482</v>
      </c>
      <c r="B484">
        <v>9089</v>
      </c>
      <c r="C484" t="b">
        <v>1</v>
      </c>
      <c r="D484">
        <v>8152</v>
      </c>
      <c r="E484">
        <v>8134</v>
      </c>
      <c r="F484">
        <v>299.53332999999998</v>
      </c>
      <c r="G484">
        <v>223.2</v>
      </c>
      <c r="H484">
        <v>1.3419951999999999</v>
      </c>
      <c r="I484">
        <v>-0.3419952</v>
      </c>
      <c r="J484">
        <v>0.42698634000000002</v>
      </c>
    </row>
    <row r="485" spans="1:10" x14ac:dyDescent="0.3">
      <c r="A485">
        <v>483</v>
      </c>
      <c r="B485">
        <v>9105</v>
      </c>
      <c r="C485" t="b">
        <v>1</v>
      </c>
      <c r="D485">
        <v>8129</v>
      </c>
      <c r="E485">
        <v>8158</v>
      </c>
      <c r="F485">
        <v>299.53332999999998</v>
      </c>
      <c r="G485">
        <v>222.4</v>
      </c>
      <c r="H485">
        <v>1.3468225</v>
      </c>
      <c r="I485">
        <v>-0.34682253000000002</v>
      </c>
      <c r="J485">
        <v>0.42610803000000003</v>
      </c>
    </row>
    <row r="486" spans="1:10" x14ac:dyDescent="0.3">
      <c r="A486">
        <v>484</v>
      </c>
      <c r="B486">
        <v>9121</v>
      </c>
      <c r="C486" t="b">
        <v>1</v>
      </c>
      <c r="D486">
        <v>8129</v>
      </c>
      <c r="E486">
        <v>8129</v>
      </c>
      <c r="F486">
        <v>299.53332999999998</v>
      </c>
      <c r="G486">
        <v>221.6</v>
      </c>
      <c r="H486">
        <v>1.3516847000000001</v>
      </c>
      <c r="I486">
        <v>-0.35168463</v>
      </c>
      <c r="J486">
        <v>0.42522710000000002</v>
      </c>
    </row>
    <row r="487" spans="1:10" x14ac:dyDescent="0.3">
      <c r="A487">
        <v>485</v>
      </c>
      <c r="B487">
        <v>9137</v>
      </c>
      <c r="C487" t="b">
        <v>1</v>
      </c>
      <c r="D487">
        <v>8123</v>
      </c>
      <c r="E487">
        <v>8134</v>
      </c>
      <c r="F487">
        <v>299.13333</v>
      </c>
      <c r="G487">
        <v>220.8</v>
      </c>
      <c r="H487">
        <v>1.3547705000000001</v>
      </c>
      <c r="I487">
        <v>-0.35477049999999999</v>
      </c>
      <c r="J487">
        <v>0.42466983000000003</v>
      </c>
    </row>
    <row r="488" spans="1:10" x14ac:dyDescent="0.3">
      <c r="A488">
        <v>486</v>
      </c>
      <c r="B488">
        <v>9153</v>
      </c>
      <c r="C488" t="b">
        <v>1</v>
      </c>
      <c r="D488">
        <v>8117</v>
      </c>
      <c r="E488">
        <v>8164</v>
      </c>
      <c r="F488">
        <v>298.73334</v>
      </c>
      <c r="G488">
        <v>220</v>
      </c>
      <c r="H488">
        <v>1.3578787999999999</v>
      </c>
      <c r="I488">
        <v>-0.3578788</v>
      </c>
      <c r="J488">
        <v>0.42410999999999999</v>
      </c>
    </row>
    <row r="489" spans="1:10" x14ac:dyDescent="0.3">
      <c r="A489">
        <v>487</v>
      </c>
      <c r="B489">
        <v>9169</v>
      </c>
      <c r="C489" t="b">
        <v>1</v>
      </c>
      <c r="D489">
        <v>8181</v>
      </c>
      <c r="E489">
        <v>8134</v>
      </c>
      <c r="F489">
        <v>298.33334000000002</v>
      </c>
      <c r="G489">
        <v>219.6</v>
      </c>
      <c r="H489">
        <v>1.3585305999999999</v>
      </c>
      <c r="I489">
        <v>-0.35853067</v>
      </c>
      <c r="J489">
        <v>0.42399278000000001</v>
      </c>
    </row>
    <row r="490" spans="1:10" x14ac:dyDescent="0.3">
      <c r="A490">
        <v>488</v>
      </c>
      <c r="B490">
        <v>9185</v>
      </c>
      <c r="C490" t="b">
        <v>1</v>
      </c>
      <c r="D490">
        <v>8163</v>
      </c>
      <c r="E490">
        <v>8140</v>
      </c>
      <c r="F490">
        <v>297.93331999999998</v>
      </c>
      <c r="G490">
        <v>219.2</v>
      </c>
      <c r="H490">
        <v>1.3591849</v>
      </c>
      <c r="I490">
        <v>-0.35918485999999999</v>
      </c>
      <c r="J490">
        <v>0.42387523999999999</v>
      </c>
    </row>
    <row r="491" spans="1:10" x14ac:dyDescent="0.3">
      <c r="A491">
        <v>489</v>
      </c>
      <c r="B491">
        <v>9201</v>
      </c>
      <c r="C491" t="b">
        <v>1</v>
      </c>
      <c r="D491">
        <v>8100</v>
      </c>
      <c r="E491">
        <v>8140</v>
      </c>
      <c r="F491">
        <v>296.8</v>
      </c>
      <c r="G491">
        <v>219.2</v>
      </c>
      <c r="H491">
        <v>1.3540144999999999</v>
      </c>
      <c r="I491">
        <v>-0.35401458000000002</v>
      </c>
      <c r="J491">
        <v>0.42480620000000002</v>
      </c>
    </row>
    <row r="492" spans="1:10" x14ac:dyDescent="0.3">
      <c r="A492">
        <v>490</v>
      </c>
      <c r="B492">
        <v>9217</v>
      </c>
      <c r="C492" t="b">
        <v>1</v>
      </c>
      <c r="D492">
        <v>8111</v>
      </c>
      <c r="E492">
        <v>8129</v>
      </c>
      <c r="F492">
        <v>295.26666</v>
      </c>
      <c r="G492">
        <v>219.6</v>
      </c>
      <c r="H492">
        <v>1.3445659000000001</v>
      </c>
      <c r="I492">
        <v>-0.34456579999999998</v>
      </c>
      <c r="J492">
        <v>0.42651816999999997</v>
      </c>
    </row>
    <row r="493" spans="1:10" x14ac:dyDescent="0.3">
      <c r="A493">
        <v>491</v>
      </c>
      <c r="B493">
        <v>9232</v>
      </c>
      <c r="C493" t="b">
        <v>1</v>
      </c>
      <c r="D493">
        <v>8111</v>
      </c>
      <c r="E493">
        <v>8117</v>
      </c>
      <c r="F493">
        <v>293.33334000000002</v>
      </c>
      <c r="G493">
        <v>219.2</v>
      </c>
      <c r="H493">
        <v>1.3381996</v>
      </c>
      <c r="I493">
        <v>-0.33819959999999999</v>
      </c>
      <c r="J493">
        <v>0.42767949999999999</v>
      </c>
    </row>
    <row r="494" spans="1:10" x14ac:dyDescent="0.3">
      <c r="A494">
        <v>492</v>
      </c>
      <c r="B494">
        <v>9249</v>
      </c>
      <c r="C494" t="b">
        <v>1</v>
      </c>
      <c r="D494">
        <v>8083</v>
      </c>
      <c r="E494">
        <v>8140</v>
      </c>
      <c r="F494">
        <v>291.39999999999998</v>
      </c>
      <c r="G494">
        <v>219.6</v>
      </c>
      <c r="H494">
        <v>1.3269580999999999</v>
      </c>
      <c r="I494">
        <v>-0.32695803000000001</v>
      </c>
      <c r="J494">
        <v>0.42974560000000001</v>
      </c>
    </row>
    <row r="495" spans="1:10" x14ac:dyDescent="0.3">
      <c r="A495">
        <v>493</v>
      </c>
      <c r="B495">
        <v>9280</v>
      </c>
      <c r="C495" t="b">
        <v>1</v>
      </c>
      <c r="D495">
        <v>8175</v>
      </c>
      <c r="E495">
        <v>8140</v>
      </c>
      <c r="F495">
        <v>289.46667000000002</v>
      </c>
      <c r="G495">
        <v>219.6</v>
      </c>
      <c r="H495">
        <v>1.3181541999999999</v>
      </c>
      <c r="I495">
        <v>-0.31815421999999999</v>
      </c>
      <c r="J495">
        <v>0.43137767999999999</v>
      </c>
    </row>
    <row r="496" spans="1:10" x14ac:dyDescent="0.3">
      <c r="A496">
        <v>494</v>
      </c>
      <c r="B496">
        <v>9296</v>
      </c>
      <c r="C496" t="b">
        <v>1</v>
      </c>
      <c r="D496">
        <v>8129</v>
      </c>
      <c r="E496">
        <v>8117</v>
      </c>
      <c r="F496">
        <v>288.26666</v>
      </c>
      <c r="G496">
        <v>219.6</v>
      </c>
      <c r="H496">
        <v>1.3126897</v>
      </c>
      <c r="I496">
        <v>-0.31268970000000001</v>
      </c>
      <c r="J496">
        <v>0.43239697999999999</v>
      </c>
    </row>
    <row r="497" spans="1:10" x14ac:dyDescent="0.3">
      <c r="A497">
        <v>495</v>
      </c>
      <c r="B497">
        <v>9312</v>
      </c>
      <c r="C497" t="b">
        <v>1</v>
      </c>
      <c r="D497">
        <v>8135</v>
      </c>
      <c r="E497">
        <v>8129</v>
      </c>
      <c r="F497">
        <v>287.53332999999998</v>
      </c>
      <c r="G497">
        <v>219.6</v>
      </c>
      <c r="H497">
        <v>1.3093503</v>
      </c>
      <c r="I497">
        <v>-0.30935024999999999</v>
      </c>
      <c r="J497">
        <v>0.43302223000000001</v>
      </c>
    </row>
    <row r="498" spans="1:10" x14ac:dyDescent="0.3">
      <c r="A498">
        <v>496</v>
      </c>
      <c r="B498">
        <v>9344</v>
      </c>
      <c r="C498" t="b">
        <v>1</v>
      </c>
      <c r="D498">
        <v>8106</v>
      </c>
      <c r="E498">
        <v>8134</v>
      </c>
      <c r="F498">
        <v>286.39999999999998</v>
      </c>
      <c r="G498">
        <v>219.93333000000001</v>
      </c>
      <c r="H498">
        <v>1.3022126999999999</v>
      </c>
      <c r="I498">
        <v>-0.30221273999999998</v>
      </c>
      <c r="J498">
        <v>0.43436474000000003</v>
      </c>
    </row>
    <row r="499" spans="1:10" x14ac:dyDescent="0.3">
      <c r="A499">
        <v>497</v>
      </c>
      <c r="B499">
        <v>9375</v>
      </c>
      <c r="C499" t="b">
        <v>1</v>
      </c>
      <c r="D499">
        <v>8169</v>
      </c>
      <c r="E499">
        <v>8140</v>
      </c>
      <c r="F499">
        <v>285.66665999999998</v>
      </c>
      <c r="G499">
        <v>219.93333000000001</v>
      </c>
      <c r="H499">
        <v>1.2988784</v>
      </c>
      <c r="I499">
        <v>-0.29887839999999999</v>
      </c>
      <c r="J499">
        <v>0.43499475999999998</v>
      </c>
    </row>
    <row r="500" spans="1:10" x14ac:dyDescent="0.3">
      <c r="A500">
        <v>498</v>
      </c>
      <c r="B500">
        <v>9391</v>
      </c>
      <c r="C500" t="b">
        <v>1</v>
      </c>
      <c r="D500">
        <v>8152</v>
      </c>
      <c r="E500">
        <v>8152</v>
      </c>
      <c r="F500">
        <v>284.93331999999998</v>
      </c>
      <c r="G500">
        <v>219.93333000000001</v>
      </c>
      <c r="H500">
        <v>1.295544</v>
      </c>
      <c r="I500">
        <v>-0.29554403000000001</v>
      </c>
      <c r="J500">
        <v>0.43562659999999997</v>
      </c>
    </row>
    <row r="501" spans="1:10" x14ac:dyDescent="0.3">
      <c r="A501">
        <v>499</v>
      </c>
      <c r="B501">
        <v>9406</v>
      </c>
      <c r="C501" t="b">
        <v>1</v>
      </c>
      <c r="D501">
        <v>8146</v>
      </c>
      <c r="E501">
        <v>8134</v>
      </c>
      <c r="F501">
        <v>284.93331999999998</v>
      </c>
      <c r="G501">
        <v>219.93333000000001</v>
      </c>
      <c r="H501">
        <v>1.295544</v>
      </c>
      <c r="I501">
        <v>-0.29554403000000001</v>
      </c>
      <c r="J501">
        <v>0.43562659999999997</v>
      </c>
    </row>
    <row r="502" spans="1:10" x14ac:dyDescent="0.3">
      <c r="A502">
        <v>500</v>
      </c>
      <c r="B502">
        <v>9422</v>
      </c>
      <c r="C502" t="b">
        <v>1</v>
      </c>
      <c r="D502">
        <v>8186</v>
      </c>
      <c r="E502">
        <v>8111</v>
      </c>
      <c r="F502">
        <v>286.46667000000002</v>
      </c>
      <c r="G502">
        <v>219.93333000000001</v>
      </c>
      <c r="H502">
        <v>1.302516</v>
      </c>
      <c r="I502">
        <v>-0.30251594999999998</v>
      </c>
      <c r="J502">
        <v>0.43430752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1085-B5F6-4998-9A0E-82190E559B18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16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32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48</v>
      </c>
      <c r="C5" t="b">
        <v>1</v>
      </c>
      <c r="D5">
        <v>8054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64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80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96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112</v>
      </c>
      <c r="C9" t="b">
        <v>1</v>
      </c>
      <c r="D9">
        <v>8048</v>
      </c>
      <c r="E9">
        <v>8129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128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144</v>
      </c>
      <c r="C11" t="b">
        <v>1</v>
      </c>
      <c r="D11">
        <v>8048</v>
      </c>
      <c r="E11">
        <v>8117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160</v>
      </c>
      <c r="C12" t="b">
        <v>1</v>
      </c>
      <c r="D12">
        <v>8048</v>
      </c>
      <c r="E12">
        <v>8117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175</v>
      </c>
      <c r="C13" t="b">
        <v>1</v>
      </c>
      <c r="D13">
        <v>8054</v>
      </c>
      <c r="E13">
        <v>8117</v>
      </c>
      <c r="F13">
        <v>8</v>
      </c>
      <c r="G13">
        <v>7.5</v>
      </c>
      <c r="H13">
        <v>1.0666667000000001</v>
      </c>
      <c r="I13">
        <v>-6.6666669999999997E-2</v>
      </c>
      <c r="J13">
        <v>0.48387095000000002</v>
      </c>
    </row>
    <row r="14" spans="1:10" x14ac:dyDescent="0.3">
      <c r="A14">
        <v>12</v>
      </c>
      <c r="B14">
        <v>191</v>
      </c>
      <c r="C14" t="b">
        <v>1</v>
      </c>
      <c r="D14">
        <v>8048</v>
      </c>
      <c r="E14">
        <v>8123</v>
      </c>
      <c r="F14">
        <v>8</v>
      </c>
      <c r="G14">
        <v>7.0769229999999999</v>
      </c>
      <c r="H14">
        <v>1.1304349</v>
      </c>
      <c r="I14">
        <v>-0.13043481000000001</v>
      </c>
      <c r="J14">
        <v>0.46938774</v>
      </c>
    </row>
    <row r="15" spans="1:10" x14ac:dyDescent="0.3">
      <c r="A15">
        <v>13</v>
      </c>
      <c r="B15">
        <v>207</v>
      </c>
      <c r="C15" t="b">
        <v>1</v>
      </c>
      <c r="D15">
        <v>8048</v>
      </c>
      <c r="E15">
        <v>8117</v>
      </c>
      <c r="F15">
        <v>8</v>
      </c>
      <c r="G15">
        <v>6.7142860000000004</v>
      </c>
      <c r="H15">
        <v>1.1914893</v>
      </c>
      <c r="I15">
        <v>-0.19148934000000001</v>
      </c>
      <c r="J15">
        <v>0.45631070000000001</v>
      </c>
    </row>
    <row r="16" spans="1:10" x14ac:dyDescent="0.3">
      <c r="A16">
        <v>14</v>
      </c>
      <c r="B16">
        <v>223</v>
      </c>
      <c r="C16" t="b">
        <v>1</v>
      </c>
      <c r="D16">
        <v>8054</v>
      </c>
      <c r="E16">
        <v>8123</v>
      </c>
      <c r="F16">
        <v>8</v>
      </c>
      <c r="G16">
        <v>6.4</v>
      </c>
      <c r="H16">
        <v>1.25</v>
      </c>
      <c r="I16">
        <v>-0.24999999000000001</v>
      </c>
      <c r="J16">
        <v>0.44444447999999998</v>
      </c>
    </row>
    <row r="17" spans="1:10" x14ac:dyDescent="0.3">
      <c r="A17">
        <v>15</v>
      </c>
      <c r="B17">
        <v>239</v>
      </c>
      <c r="C17" t="b">
        <v>1</v>
      </c>
      <c r="D17">
        <v>8048</v>
      </c>
      <c r="E17">
        <v>8123</v>
      </c>
      <c r="F17">
        <v>8</v>
      </c>
      <c r="G17">
        <v>6.4</v>
      </c>
      <c r="H17">
        <v>1.25</v>
      </c>
      <c r="I17">
        <v>-0.24999999000000001</v>
      </c>
      <c r="J17">
        <v>0.44444447999999998</v>
      </c>
    </row>
    <row r="18" spans="1:10" x14ac:dyDescent="0.3">
      <c r="A18">
        <v>16</v>
      </c>
      <c r="B18">
        <v>255</v>
      </c>
      <c r="C18" t="b">
        <v>1</v>
      </c>
      <c r="D18">
        <v>8048</v>
      </c>
      <c r="E18">
        <v>8123</v>
      </c>
      <c r="F18">
        <v>8</v>
      </c>
      <c r="G18">
        <v>6.4</v>
      </c>
      <c r="H18">
        <v>1.25</v>
      </c>
      <c r="I18">
        <v>-0.24999999000000001</v>
      </c>
      <c r="J18">
        <v>0.44444447999999998</v>
      </c>
    </row>
    <row r="19" spans="1:10" x14ac:dyDescent="0.3">
      <c r="A19">
        <v>17</v>
      </c>
      <c r="B19">
        <v>271</v>
      </c>
      <c r="C19" t="b">
        <v>1</v>
      </c>
      <c r="D19">
        <v>8048</v>
      </c>
      <c r="E19">
        <v>8117</v>
      </c>
      <c r="F19">
        <v>8</v>
      </c>
      <c r="G19">
        <v>6.4</v>
      </c>
      <c r="H19">
        <v>1.25</v>
      </c>
      <c r="I19">
        <v>-0.24999999000000001</v>
      </c>
      <c r="J19">
        <v>0.44444447999999998</v>
      </c>
    </row>
    <row r="20" spans="1:10" x14ac:dyDescent="0.3">
      <c r="A20">
        <v>18</v>
      </c>
      <c r="B20">
        <v>287</v>
      </c>
      <c r="C20" t="b">
        <v>1</v>
      </c>
      <c r="D20">
        <v>8048</v>
      </c>
      <c r="E20">
        <v>8123</v>
      </c>
      <c r="F20">
        <v>8</v>
      </c>
      <c r="G20">
        <v>6.4</v>
      </c>
      <c r="H20">
        <v>1.25</v>
      </c>
      <c r="I20">
        <v>-0.24999999000000001</v>
      </c>
      <c r="J20">
        <v>0.44444447999999998</v>
      </c>
    </row>
    <row r="21" spans="1:10" x14ac:dyDescent="0.3">
      <c r="A21">
        <v>19</v>
      </c>
      <c r="B21">
        <v>302</v>
      </c>
      <c r="C21" t="b">
        <v>1</v>
      </c>
      <c r="D21">
        <v>8042</v>
      </c>
      <c r="E21">
        <v>8123</v>
      </c>
      <c r="F21">
        <v>8</v>
      </c>
      <c r="G21">
        <v>6.4</v>
      </c>
      <c r="H21">
        <v>1.25</v>
      </c>
      <c r="I21">
        <v>-0.24999999000000001</v>
      </c>
      <c r="J21">
        <v>0.44444447999999998</v>
      </c>
    </row>
    <row r="22" spans="1:10" x14ac:dyDescent="0.3">
      <c r="A22">
        <v>20</v>
      </c>
      <c r="B22">
        <v>318</v>
      </c>
      <c r="C22" t="b">
        <v>1</v>
      </c>
      <c r="D22">
        <v>8048</v>
      </c>
      <c r="E22">
        <v>8123</v>
      </c>
      <c r="F22">
        <v>8</v>
      </c>
      <c r="G22">
        <v>6.4</v>
      </c>
      <c r="H22">
        <v>1.25</v>
      </c>
      <c r="I22">
        <v>-0.24999999000000001</v>
      </c>
      <c r="J22">
        <v>0.44444447999999998</v>
      </c>
    </row>
    <row r="23" spans="1:10" x14ac:dyDescent="0.3">
      <c r="A23">
        <v>21</v>
      </c>
      <c r="B23">
        <v>334</v>
      </c>
      <c r="C23" t="b">
        <v>1</v>
      </c>
      <c r="D23">
        <v>8048</v>
      </c>
      <c r="E23">
        <v>8123</v>
      </c>
      <c r="F23">
        <v>8</v>
      </c>
      <c r="G23">
        <v>6.4</v>
      </c>
      <c r="H23">
        <v>1.25</v>
      </c>
      <c r="I23">
        <v>-0.24999999000000001</v>
      </c>
      <c r="J23">
        <v>0.44444447999999998</v>
      </c>
    </row>
    <row r="24" spans="1:10" x14ac:dyDescent="0.3">
      <c r="A24">
        <v>22</v>
      </c>
      <c r="B24">
        <v>350</v>
      </c>
      <c r="C24" t="b">
        <v>1</v>
      </c>
      <c r="D24">
        <v>8048</v>
      </c>
      <c r="E24">
        <v>8123</v>
      </c>
      <c r="F24">
        <v>8</v>
      </c>
      <c r="G24">
        <v>6.4</v>
      </c>
      <c r="H24">
        <v>1.25</v>
      </c>
      <c r="I24">
        <v>-0.24999999000000001</v>
      </c>
      <c r="J24">
        <v>0.44444447999999998</v>
      </c>
    </row>
    <row r="25" spans="1:10" x14ac:dyDescent="0.3">
      <c r="A25">
        <v>23</v>
      </c>
      <c r="B25">
        <v>366</v>
      </c>
      <c r="C25" t="b">
        <v>1</v>
      </c>
      <c r="D25">
        <v>8048</v>
      </c>
      <c r="E25">
        <v>8117</v>
      </c>
      <c r="F25">
        <v>8</v>
      </c>
      <c r="G25">
        <v>6.4</v>
      </c>
      <c r="H25">
        <v>1.25</v>
      </c>
      <c r="I25">
        <v>-0.24999999000000001</v>
      </c>
      <c r="J25">
        <v>0.44444447999999998</v>
      </c>
    </row>
    <row r="26" spans="1:10" x14ac:dyDescent="0.3">
      <c r="A26">
        <v>24</v>
      </c>
      <c r="B26">
        <v>382</v>
      </c>
      <c r="C26" t="b">
        <v>1</v>
      </c>
      <c r="D26">
        <v>8048</v>
      </c>
      <c r="E26">
        <v>8123</v>
      </c>
      <c r="F26">
        <v>8</v>
      </c>
      <c r="G26">
        <v>6.4</v>
      </c>
      <c r="H26">
        <v>1.25</v>
      </c>
      <c r="I26">
        <v>-0.24999999000000001</v>
      </c>
      <c r="J26">
        <v>0.44444447999999998</v>
      </c>
    </row>
    <row r="27" spans="1:10" x14ac:dyDescent="0.3">
      <c r="A27">
        <v>25</v>
      </c>
      <c r="B27">
        <v>397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413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429</v>
      </c>
      <c r="C29" t="b">
        <v>1</v>
      </c>
      <c r="D29">
        <v>8048</v>
      </c>
      <c r="E29">
        <v>8117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445</v>
      </c>
      <c r="C30" t="b">
        <v>1</v>
      </c>
      <c r="D30">
        <v>8048</v>
      </c>
      <c r="E30">
        <v>8117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460</v>
      </c>
      <c r="C31" t="b">
        <v>1</v>
      </c>
      <c r="D31">
        <v>8048</v>
      </c>
      <c r="E31">
        <v>8117</v>
      </c>
      <c r="F31">
        <v>8</v>
      </c>
      <c r="G31">
        <v>7.6</v>
      </c>
      <c r="H31">
        <v>1.0526316</v>
      </c>
      <c r="I31">
        <v>-5.2631589999999999E-2</v>
      </c>
      <c r="J31">
        <v>0.48717946000000001</v>
      </c>
    </row>
    <row r="32" spans="1:10" x14ac:dyDescent="0.3">
      <c r="A32">
        <v>30</v>
      </c>
      <c r="B32">
        <v>476</v>
      </c>
      <c r="C32" t="b">
        <v>1</v>
      </c>
      <c r="D32">
        <v>8048</v>
      </c>
      <c r="E32">
        <v>8111</v>
      </c>
      <c r="F32">
        <v>8</v>
      </c>
      <c r="G32">
        <v>7.2</v>
      </c>
      <c r="H32">
        <v>1.1111112000000001</v>
      </c>
      <c r="I32">
        <v>-0.11111114</v>
      </c>
      <c r="J32">
        <v>0.4736842</v>
      </c>
    </row>
    <row r="33" spans="1:10" x14ac:dyDescent="0.3">
      <c r="A33">
        <v>31</v>
      </c>
      <c r="B33">
        <v>492</v>
      </c>
      <c r="C33" t="b">
        <v>1</v>
      </c>
      <c r="D33">
        <v>8048</v>
      </c>
      <c r="E33">
        <v>8117</v>
      </c>
      <c r="F33">
        <v>8</v>
      </c>
      <c r="G33">
        <v>6.8</v>
      </c>
      <c r="H33">
        <v>1.1764705</v>
      </c>
      <c r="I33">
        <v>-0.17647055</v>
      </c>
      <c r="J33">
        <v>0.45945944999999999</v>
      </c>
    </row>
    <row r="34" spans="1:10" x14ac:dyDescent="0.3">
      <c r="A34">
        <v>32</v>
      </c>
      <c r="B34">
        <v>508</v>
      </c>
      <c r="C34" t="b">
        <v>1</v>
      </c>
      <c r="D34">
        <v>8042</v>
      </c>
      <c r="E34">
        <v>8117</v>
      </c>
      <c r="F34">
        <v>8</v>
      </c>
      <c r="G34">
        <v>6.4</v>
      </c>
      <c r="H34">
        <v>1.25</v>
      </c>
      <c r="I34">
        <v>-0.24999999000000001</v>
      </c>
      <c r="J34">
        <v>0.44444447999999998</v>
      </c>
    </row>
    <row r="35" spans="1:10" x14ac:dyDescent="0.3">
      <c r="A35">
        <v>33</v>
      </c>
      <c r="B35">
        <v>523</v>
      </c>
      <c r="C35" t="b">
        <v>1</v>
      </c>
      <c r="D35">
        <v>8054</v>
      </c>
      <c r="E35">
        <v>8117</v>
      </c>
      <c r="F35">
        <v>8</v>
      </c>
      <c r="G35">
        <v>6</v>
      </c>
      <c r="H35">
        <v>1.3333333999999999</v>
      </c>
      <c r="I35">
        <v>-0.33333333999999998</v>
      </c>
      <c r="J35">
        <v>0.42857142999999998</v>
      </c>
    </row>
    <row r="36" spans="1:10" x14ac:dyDescent="0.3">
      <c r="A36">
        <v>34</v>
      </c>
      <c r="B36">
        <v>539</v>
      </c>
      <c r="C36" t="b">
        <v>1</v>
      </c>
      <c r="D36">
        <v>8048</v>
      </c>
      <c r="E36">
        <v>8123</v>
      </c>
      <c r="F36">
        <v>8</v>
      </c>
      <c r="G36">
        <v>5.6</v>
      </c>
      <c r="H36">
        <v>1.4285715000000001</v>
      </c>
      <c r="I36">
        <v>-0.42857146000000002</v>
      </c>
      <c r="J36">
        <v>0.41176467999999999</v>
      </c>
    </row>
    <row r="37" spans="1:10" x14ac:dyDescent="0.3">
      <c r="A37">
        <v>35</v>
      </c>
      <c r="B37">
        <v>555</v>
      </c>
      <c r="C37" t="b">
        <v>1</v>
      </c>
      <c r="D37">
        <v>8048</v>
      </c>
      <c r="E37">
        <v>8123</v>
      </c>
      <c r="F37">
        <v>8</v>
      </c>
      <c r="G37">
        <v>5.2</v>
      </c>
      <c r="H37">
        <v>1.5384616</v>
      </c>
      <c r="I37">
        <v>-0.53846156999999994</v>
      </c>
      <c r="J37">
        <v>0.39393938000000001</v>
      </c>
    </row>
    <row r="38" spans="1:10" x14ac:dyDescent="0.3">
      <c r="A38">
        <v>36</v>
      </c>
      <c r="B38">
        <v>571</v>
      </c>
      <c r="C38" t="b">
        <v>1</v>
      </c>
      <c r="D38">
        <v>8054</v>
      </c>
      <c r="E38">
        <v>8123</v>
      </c>
      <c r="F38">
        <v>8</v>
      </c>
      <c r="G38">
        <v>5.2</v>
      </c>
      <c r="H38">
        <v>1.5384616</v>
      </c>
      <c r="I38">
        <v>-0.53846156999999994</v>
      </c>
      <c r="J38">
        <v>0.39393938000000001</v>
      </c>
    </row>
    <row r="39" spans="1:10" x14ac:dyDescent="0.3">
      <c r="A39">
        <v>37</v>
      </c>
      <c r="B39">
        <v>587</v>
      </c>
      <c r="C39" t="b">
        <v>1</v>
      </c>
      <c r="D39">
        <v>8054</v>
      </c>
      <c r="E39">
        <v>8123</v>
      </c>
      <c r="F39">
        <v>8.4</v>
      </c>
      <c r="G39">
        <v>5.2</v>
      </c>
      <c r="H39">
        <v>1.6153846000000001</v>
      </c>
      <c r="I39">
        <v>-0.61538459999999995</v>
      </c>
      <c r="J39">
        <v>0.38235295000000002</v>
      </c>
    </row>
    <row r="40" spans="1:10" x14ac:dyDescent="0.3">
      <c r="A40">
        <v>38</v>
      </c>
      <c r="B40">
        <v>604</v>
      </c>
      <c r="C40" t="b">
        <v>1</v>
      </c>
      <c r="D40">
        <v>8054</v>
      </c>
      <c r="E40">
        <v>8123</v>
      </c>
      <c r="F40">
        <v>8.8000000000000007</v>
      </c>
      <c r="G40">
        <v>5.2</v>
      </c>
      <c r="H40">
        <v>1.6923078</v>
      </c>
      <c r="I40">
        <v>-0.69230780000000003</v>
      </c>
      <c r="J40">
        <v>0.37142855000000002</v>
      </c>
    </row>
    <row r="41" spans="1:10" x14ac:dyDescent="0.3">
      <c r="A41">
        <v>39</v>
      </c>
      <c r="B41">
        <v>619</v>
      </c>
      <c r="C41" t="b">
        <v>1</v>
      </c>
      <c r="D41">
        <v>8054</v>
      </c>
      <c r="E41">
        <v>8123</v>
      </c>
      <c r="F41">
        <v>9.1999999999999993</v>
      </c>
      <c r="G41">
        <v>5.2</v>
      </c>
      <c r="H41">
        <v>1.7692308000000001</v>
      </c>
      <c r="I41">
        <v>-0.76923079999999999</v>
      </c>
      <c r="J41">
        <v>0.36111110000000002</v>
      </c>
    </row>
    <row r="42" spans="1:10" x14ac:dyDescent="0.3">
      <c r="A42">
        <v>40</v>
      </c>
      <c r="B42">
        <v>635</v>
      </c>
      <c r="C42" t="b">
        <v>1</v>
      </c>
      <c r="D42">
        <v>8054</v>
      </c>
      <c r="E42">
        <v>8123</v>
      </c>
      <c r="F42">
        <v>9.6</v>
      </c>
      <c r="G42">
        <v>5.2</v>
      </c>
      <c r="H42">
        <v>1.8461540000000001</v>
      </c>
      <c r="I42">
        <v>-0.84615399999999996</v>
      </c>
      <c r="J42">
        <v>0.35135132000000002</v>
      </c>
    </row>
    <row r="43" spans="1:10" x14ac:dyDescent="0.3">
      <c r="A43">
        <v>41</v>
      </c>
      <c r="B43">
        <v>651</v>
      </c>
      <c r="C43" t="b">
        <v>1</v>
      </c>
      <c r="D43">
        <v>8060</v>
      </c>
      <c r="E43">
        <v>8123</v>
      </c>
      <c r="F43">
        <v>10</v>
      </c>
      <c r="G43">
        <v>5.2</v>
      </c>
      <c r="H43">
        <v>1.9230769999999999</v>
      </c>
      <c r="I43">
        <v>-0.92307700000000004</v>
      </c>
      <c r="J43">
        <v>0.34210527000000002</v>
      </c>
    </row>
    <row r="44" spans="1:10" x14ac:dyDescent="0.3">
      <c r="A44">
        <v>42</v>
      </c>
      <c r="B44">
        <v>667</v>
      </c>
      <c r="C44" t="b">
        <v>1</v>
      </c>
      <c r="D44">
        <v>8042</v>
      </c>
      <c r="E44">
        <v>8123</v>
      </c>
      <c r="F44">
        <v>10.4</v>
      </c>
      <c r="G44">
        <v>5.2</v>
      </c>
      <c r="H44">
        <v>2</v>
      </c>
      <c r="I44">
        <v>-1</v>
      </c>
      <c r="J44">
        <v>0.33333333999999998</v>
      </c>
    </row>
    <row r="45" spans="1:10" x14ac:dyDescent="0.3">
      <c r="A45">
        <v>43</v>
      </c>
      <c r="B45">
        <v>683</v>
      </c>
      <c r="C45" t="b">
        <v>1</v>
      </c>
      <c r="D45">
        <v>8048</v>
      </c>
      <c r="E45">
        <v>8123</v>
      </c>
      <c r="F45">
        <v>10.8</v>
      </c>
      <c r="G45">
        <v>5.2</v>
      </c>
      <c r="H45">
        <v>2.0769231000000001</v>
      </c>
      <c r="I45">
        <v>-1.0769230999999999</v>
      </c>
      <c r="J45">
        <v>0.32500000000000001</v>
      </c>
    </row>
    <row r="46" spans="1:10" x14ac:dyDescent="0.3">
      <c r="A46">
        <v>44</v>
      </c>
      <c r="B46">
        <v>699</v>
      </c>
      <c r="C46" t="b">
        <v>1</v>
      </c>
      <c r="D46">
        <v>8042</v>
      </c>
      <c r="E46">
        <v>8117</v>
      </c>
      <c r="F46">
        <v>10.8</v>
      </c>
      <c r="G46">
        <v>5.6</v>
      </c>
      <c r="H46">
        <v>1.9285715000000001</v>
      </c>
      <c r="I46">
        <v>-0.92857149999999999</v>
      </c>
      <c r="J46">
        <v>0.34146342000000002</v>
      </c>
    </row>
    <row r="47" spans="1:10" x14ac:dyDescent="0.3">
      <c r="A47">
        <v>45</v>
      </c>
      <c r="B47">
        <v>715</v>
      </c>
      <c r="C47" t="b">
        <v>1</v>
      </c>
      <c r="D47">
        <v>8042</v>
      </c>
      <c r="E47">
        <v>8117</v>
      </c>
      <c r="F47">
        <v>10.4</v>
      </c>
      <c r="G47">
        <v>6</v>
      </c>
      <c r="H47">
        <v>1.7333331999999999</v>
      </c>
      <c r="I47">
        <v>-0.73333329999999997</v>
      </c>
      <c r="J47">
        <v>0.36585367000000002</v>
      </c>
    </row>
    <row r="48" spans="1:10" x14ac:dyDescent="0.3">
      <c r="A48">
        <v>46</v>
      </c>
      <c r="B48">
        <v>731</v>
      </c>
      <c r="C48" t="b">
        <v>1</v>
      </c>
      <c r="D48">
        <v>8042</v>
      </c>
      <c r="E48">
        <v>8123</v>
      </c>
      <c r="F48">
        <v>10</v>
      </c>
      <c r="G48">
        <v>6.4</v>
      </c>
      <c r="H48">
        <v>1.5625</v>
      </c>
      <c r="I48">
        <v>-0.5625</v>
      </c>
      <c r="J48">
        <v>0.39024392000000002</v>
      </c>
    </row>
    <row r="49" spans="1:10" x14ac:dyDescent="0.3">
      <c r="A49">
        <v>47</v>
      </c>
      <c r="B49">
        <v>747</v>
      </c>
      <c r="C49" t="b">
        <v>1</v>
      </c>
      <c r="D49">
        <v>8042</v>
      </c>
      <c r="E49">
        <v>8123</v>
      </c>
      <c r="F49">
        <v>9.6</v>
      </c>
      <c r="G49">
        <v>6.8</v>
      </c>
      <c r="H49">
        <v>1.4117647</v>
      </c>
      <c r="I49">
        <v>-0.41176469999999998</v>
      </c>
      <c r="J49">
        <v>0.41463410000000001</v>
      </c>
    </row>
    <row r="50" spans="1:10" x14ac:dyDescent="0.3">
      <c r="A50">
        <v>48</v>
      </c>
      <c r="B50">
        <v>762</v>
      </c>
      <c r="C50" t="b">
        <v>1</v>
      </c>
      <c r="D50">
        <v>8042</v>
      </c>
      <c r="E50">
        <v>8117</v>
      </c>
      <c r="F50">
        <v>9.1999999999999993</v>
      </c>
      <c r="G50">
        <v>6.8</v>
      </c>
      <c r="H50">
        <v>1.3529412000000001</v>
      </c>
      <c r="I50">
        <v>-0.35294110000000001</v>
      </c>
      <c r="J50">
        <v>0.42499999999999999</v>
      </c>
    </row>
    <row r="51" spans="1:10" x14ac:dyDescent="0.3">
      <c r="A51">
        <v>49</v>
      </c>
      <c r="B51">
        <v>778</v>
      </c>
      <c r="C51" t="b">
        <v>1</v>
      </c>
      <c r="D51">
        <v>8054</v>
      </c>
      <c r="E51">
        <v>8117</v>
      </c>
      <c r="F51">
        <v>8.8000000000000007</v>
      </c>
      <c r="G51">
        <v>6.8</v>
      </c>
      <c r="H51">
        <v>1.2941176999999999</v>
      </c>
      <c r="I51">
        <v>-0.29411763000000002</v>
      </c>
      <c r="J51">
        <v>0.43589744000000002</v>
      </c>
    </row>
    <row r="52" spans="1:10" x14ac:dyDescent="0.3">
      <c r="A52">
        <v>50</v>
      </c>
      <c r="B52">
        <v>794</v>
      </c>
      <c r="C52" t="b">
        <v>1</v>
      </c>
      <c r="D52">
        <v>8048</v>
      </c>
      <c r="E52">
        <v>8123</v>
      </c>
      <c r="F52">
        <v>8.4</v>
      </c>
      <c r="G52">
        <v>7.2</v>
      </c>
      <c r="H52">
        <v>1.1666666000000001</v>
      </c>
      <c r="I52">
        <v>-0.16666664</v>
      </c>
      <c r="J52">
        <v>0.46153845999999998</v>
      </c>
    </row>
    <row r="53" spans="1:10" x14ac:dyDescent="0.3">
      <c r="A53">
        <v>51</v>
      </c>
      <c r="B53">
        <v>810</v>
      </c>
      <c r="C53" t="b">
        <v>1</v>
      </c>
      <c r="D53">
        <v>8054</v>
      </c>
      <c r="E53">
        <v>8123</v>
      </c>
      <c r="F53">
        <v>8.4</v>
      </c>
      <c r="G53">
        <v>7.2</v>
      </c>
      <c r="H53">
        <v>1.1666666000000001</v>
      </c>
      <c r="I53">
        <v>-0.16666664</v>
      </c>
      <c r="J53">
        <v>0.46153845999999998</v>
      </c>
    </row>
    <row r="54" spans="1:10" x14ac:dyDescent="0.3">
      <c r="A54">
        <v>52</v>
      </c>
      <c r="B54">
        <v>825</v>
      </c>
      <c r="C54" t="b">
        <v>1</v>
      </c>
      <c r="D54">
        <v>8048</v>
      </c>
      <c r="E54">
        <v>8117</v>
      </c>
      <c r="F54">
        <v>8</v>
      </c>
      <c r="G54">
        <v>6.8</v>
      </c>
      <c r="H54">
        <v>1.1764705</v>
      </c>
      <c r="I54">
        <v>-0.17647055</v>
      </c>
      <c r="J54">
        <v>0.45945944999999999</v>
      </c>
    </row>
    <row r="55" spans="1:10" x14ac:dyDescent="0.3">
      <c r="A55">
        <v>53</v>
      </c>
      <c r="B55">
        <v>841</v>
      </c>
      <c r="C55" t="b">
        <v>1</v>
      </c>
      <c r="D55">
        <v>8048</v>
      </c>
      <c r="E55">
        <v>8117</v>
      </c>
      <c r="F55">
        <v>7.6</v>
      </c>
      <c r="G55">
        <v>6.4</v>
      </c>
      <c r="H55">
        <v>1.1875</v>
      </c>
      <c r="I55">
        <v>-0.18749996999999999</v>
      </c>
      <c r="J55">
        <v>0.45714285999999998</v>
      </c>
    </row>
    <row r="56" spans="1:10" x14ac:dyDescent="0.3">
      <c r="A56">
        <v>54</v>
      </c>
      <c r="B56">
        <v>857</v>
      </c>
      <c r="C56" t="b">
        <v>1</v>
      </c>
      <c r="D56">
        <v>8048</v>
      </c>
      <c r="E56">
        <v>8117</v>
      </c>
      <c r="F56">
        <v>7.2</v>
      </c>
      <c r="G56">
        <v>6</v>
      </c>
      <c r="H56">
        <v>1.1999998999999999</v>
      </c>
      <c r="I56">
        <v>-0.19999997</v>
      </c>
      <c r="J56">
        <v>0.45454547000000001</v>
      </c>
    </row>
    <row r="57" spans="1:10" x14ac:dyDescent="0.3">
      <c r="A57">
        <v>55</v>
      </c>
      <c r="B57">
        <v>873</v>
      </c>
      <c r="C57" t="b">
        <v>1</v>
      </c>
      <c r="D57">
        <v>8054</v>
      </c>
      <c r="E57">
        <v>8117</v>
      </c>
      <c r="F57">
        <v>6.8</v>
      </c>
      <c r="G57">
        <v>5.6</v>
      </c>
      <c r="H57">
        <v>1.2142857</v>
      </c>
      <c r="I57">
        <v>-0.21428578000000001</v>
      </c>
      <c r="J57">
        <v>0.45161291999999997</v>
      </c>
    </row>
    <row r="58" spans="1:10" x14ac:dyDescent="0.3">
      <c r="A58">
        <v>56</v>
      </c>
      <c r="B58">
        <v>889</v>
      </c>
      <c r="C58" t="b">
        <v>1</v>
      </c>
      <c r="D58">
        <v>8048</v>
      </c>
      <c r="E58">
        <v>8117</v>
      </c>
      <c r="F58">
        <v>6.4</v>
      </c>
      <c r="G58">
        <v>5.2</v>
      </c>
      <c r="H58">
        <v>1.2307693</v>
      </c>
      <c r="I58">
        <v>-0.23076928999999999</v>
      </c>
      <c r="J58">
        <v>0.44827582999999999</v>
      </c>
    </row>
    <row r="59" spans="1:10" x14ac:dyDescent="0.3">
      <c r="A59">
        <v>57</v>
      </c>
      <c r="B59">
        <v>905</v>
      </c>
      <c r="C59" t="b">
        <v>1</v>
      </c>
      <c r="D59">
        <v>8054</v>
      </c>
      <c r="E59">
        <v>8117</v>
      </c>
      <c r="F59">
        <v>6</v>
      </c>
      <c r="G59">
        <v>4.8</v>
      </c>
      <c r="H59">
        <v>1.25</v>
      </c>
      <c r="I59">
        <v>-0.24999995999999999</v>
      </c>
      <c r="J59">
        <v>0.44444444999999999</v>
      </c>
    </row>
    <row r="60" spans="1:10" x14ac:dyDescent="0.3">
      <c r="A60">
        <v>58</v>
      </c>
      <c r="B60">
        <v>921</v>
      </c>
      <c r="C60" t="b">
        <v>1</v>
      </c>
      <c r="D60">
        <v>8048</v>
      </c>
      <c r="E60">
        <v>8117</v>
      </c>
      <c r="F60">
        <v>5.6</v>
      </c>
      <c r="G60">
        <v>4.4000000000000004</v>
      </c>
      <c r="H60">
        <v>1.2727272999999999</v>
      </c>
      <c r="I60">
        <v>-0.27272721999999999</v>
      </c>
      <c r="J60">
        <v>0.44</v>
      </c>
    </row>
    <row r="61" spans="1:10" x14ac:dyDescent="0.3">
      <c r="A61">
        <v>59</v>
      </c>
      <c r="B61">
        <v>937</v>
      </c>
      <c r="C61" t="b">
        <v>1</v>
      </c>
      <c r="D61">
        <v>8048</v>
      </c>
      <c r="E61">
        <v>8111</v>
      </c>
      <c r="F61">
        <v>5.6</v>
      </c>
      <c r="G61">
        <v>4</v>
      </c>
      <c r="H61">
        <v>1.4</v>
      </c>
      <c r="I61">
        <v>-0.39999997999999998</v>
      </c>
      <c r="J61">
        <v>0.41666666000000002</v>
      </c>
    </row>
    <row r="62" spans="1:10" x14ac:dyDescent="0.3">
      <c r="A62">
        <v>60</v>
      </c>
      <c r="B62">
        <v>953</v>
      </c>
      <c r="C62" t="b">
        <v>1</v>
      </c>
      <c r="D62">
        <v>8048</v>
      </c>
      <c r="E62">
        <v>8117</v>
      </c>
      <c r="F62">
        <v>6</v>
      </c>
      <c r="G62">
        <v>3.6</v>
      </c>
      <c r="H62">
        <v>1.6666666999999999</v>
      </c>
      <c r="I62">
        <v>-0.66666669999999995</v>
      </c>
      <c r="J62">
        <v>0.37499997000000002</v>
      </c>
    </row>
    <row r="63" spans="1:10" x14ac:dyDescent="0.3">
      <c r="A63">
        <v>61</v>
      </c>
      <c r="B63">
        <v>969</v>
      </c>
      <c r="C63" t="b">
        <v>1</v>
      </c>
      <c r="D63">
        <v>8048</v>
      </c>
      <c r="E63">
        <v>8111</v>
      </c>
      <c r="F63">
        <v>6.4</v>
      </c>
      <c r="G63">
        <v>3.2</v>
      </c>
      <c r="H63">
        <v>2</v>
      </c>
      <c r="I63">
        <v>-1</v>
      </c>
      <c r="J63">
        <v>0.3333333</v>
      </c>
    </row>
    <row r="64" spans="1:10" x14ac:dyDescent="0.3">
      <c r="A64">
        <v>62</v>
      </c>
      <c r="B64">
        <v>985</v>
      </c>
      <c r="C64" t="b">
        <v>1</v>
      </c>
      <c r="D64">
        <v>8048</v>
      </c>
      <c r="E64">
        <v>8111</v>
      </c>
      <c r="F64">
        <v>6.8</v>
      </c>
      <c r="G64">
        <v>2.4</v>
      </c>
      <c r="H64">
        <v>2.8333333000000001</v>
      </c>
      <c r="I64">
        <v>-1.8333333000000001</v>
      </c>
      <c r="J64">
        <v>0.26086956</v>
      </c>
    </row>
    <row r="65" spans="1:10" x14ac:dyDescent="0.3">
      <c r="A65">
        <v>63</v>
      </c>
      <c r="B65">
        <v>1000</v>
      </c>
      <c r="C65" t="b">
        <v>1</v>
      </c>
      <c r="D65">
        <v>8054</v>
      </c>
      <c r="E65">
        <v>8117</v>
      </c>
      <c r="F65">
        <v>7.2</v>
      </c>
      <c r="G65">
        <v>2</v>
      </c>
      <c r="H65">
        <v>3.6</v>
      </c>
      <c r="I65">
        <v>-2.6</v>
      </c>
      <c r="J65">
        <v>0.21739131</v>
      </c>
    </row>
    <row r="66" spans="1:10" x14ac:dyDescent="0.3">
      <c r="A66">
        <v>64</v>
      </c>
      <c r="B66">
        <v>1016</v>
      </c>
      <c r="C66" t="b">
        <v>1</v>
      </c>
      <c r="D66">
        <v>8054</v>
      </c>
      <c r="E66">
        <v>8123</v>
      </c>
      <c r="F66">
        <v>7.6</v>
      </c>
      <c r="G66">
        <v>2</v>
      </c>
      <c r="H66">
        <v>3.8</v>
      </c>
      <c r="I66">
        <v>-2.8</v>
      </c>
      <c r="J66">
        <v>0.20833333000000001</v>
      </c>
    </row>
    <row r="67" spans="1:10" x14ac:dyDescent="0.3">
      <c r="A67">
        <v>65</v>
      </c>
      <c r="B67">
        <v>1032</v>
      </c>
      <c r="C67" t="b">
        <v>1</v>
      </c>
      <c r="D67">
        <v>8054</v>
      </c>
      <c r="E67">
        <v>8123</v>
      </c>
      <c r="F67">
        <v>8.4</v>
      </c>
      <c r="G67">
        <v>1.6</v>
      </c>
      <c r="H67">
        <v>5.2499995000000004</v>
      </c>
      <c r="I67">
        <v>-4.2499995000000004</v>
      </c>
      <c r="J67">
        <v>0.16</v>
      </c>
    </row>
    <row r="68" spans="1:10" x14ac:dyDescent="0.3">
      <c r="A68">
        <v>66</v>
      </c>
      <c r="B68">
        <v>1048</v>
      </c>
      <c r="C68" t="b">
        <v>1</v>
      </c>
      <c r="D68">
        <v>8048</v>
      </c>
      <c r="E68">
        <v>8123</v>
      </c>
      <c r="F68">
        <v>8.8000000000000007</v>
      </c>
      <c r="G68">
        <v>1.6</v>
      </c>
      <c r="H68">
        <v>5.5</v>
      </c>
      <c r="I68">
        <v>-4.5</v>
      </c>
      <c r="J68">
        <v>0.15384613999999999</v>
      </c>
    </row>
    <row r="69" spans="1:10" x14ac:dyDescent="0.3">
      <c r="A69">
        <v>67</v>
      </c>
      <c r="B69">
        <v>1063</v>
      </c>
      <c r="C69" t="b">
        <v>1</v>
      </c>
      <c r="D69">
        <v>8054</v>
      </c>
      <c r="E69">
        <v>8123</v>
      </c>
      <c r="F69">
        <v>9.1999999999999993</v>
      </c>
      <c r="G69">
        <v>2</v>
      </c>
      <c r="H69">
        <v>4.5999999999999996</v>
      </c>
      <c r="I69">
        <v>-3.6</v>
      </c>
      <c r="J69">
        <v>0.17857143</v>
      </c>
    </row>
    <row r="70" spans="1:10" x14ac:dyDescent="0.3">
      <c r="A70">
        <v>68</v>
      </c>
      <c r="B70">
        <v>1079</v>
      </c>
      <c r="C70" t="b">
        <v>1</v>
      </c>
      <c r="D70">
        <v>8048</v>
      </c>
      <c r="E70">
        <v>8123</v>
      </c>
      <c r="F70">
        <v>9.6</v>
      </c>
      <c r="G70">
        <v>2.4</v>
      </c>
      <c r="H70">
        <v>4</v>
      </c>
      <c r="I70">
        <v>-3</v>
      </c>
      <c r="J70">
        <v>0.2</v>
      </c>
    </row>
    <row r="71" spans="1:10" x14ac:dyDescent="0.3">
      <c r="A71">
        <v>69</v>
      </c>
      <c r="B71">
        <v>1095</v>
      </c>
      <c r="C71" t="b">
        <v>1</v>
      </c>
      <c r="D71">
        <v>8048</v>
      </c>
      <c r="E71">
        <v>8123</v>
      </c>
      <c r="F71">
        <v>9.6</v>
      </c>
      <c r="G71">
        <v>2.8</v>
      </c>
      <c r="H71">
        <v>3.4285717</v>
      </c>
      <c r="I71">
        <v>-2.4285714999999999</v>
      </c>
      <c r="J71">
        <v>0.22580643</v>
      </c>
    </row>
    <row r="72" spans="1:10" x14ac:dyDescent="0.3">
      <c r="A72">
        <v>70</v>
      </c>
      <c r="B72">
        <v>1111</v>
      </c>
      <c r="C72" t="b">
        <v>1</v>
      </c>
      <c r="D72">
        <v>8048</v>
      </c>
      <c r="E72">
        <v>8117</v>
      </c>
      <c r="F72">
        <v>9.6</v>
      </c>
      <c r="G72">
        <v>3.2</v>
      </c>
      <c r="H72">
        <v>3</v>
      </c>
      <c r="I72">
        <v>-2.0000002000000001</v>
      </c>
      <c r="J72">
        <v>0.25</v>
      </c>
    </row>
    <row r="73" spans="1:10" x14ac:dyDescent="0.3">
      <c r="A73">
        <v>71</v>
      </c>
      <c r="B73">
        <v>1127</v>
      </c>
      <c r="C73" t="b">
        <v>1</v>
      </c>
      <c r="D73">
        <v>8054</v>
      </c>
      <c r="E73">
        <v>8123</v>
      </c>
      <c r="F73">
        <v>9.6</v>
      </c>
      <c r="G73">
        <v>3.6</v>
      </c>
      <c r="H73">
        <v>2.6666666999999999</v>
      </c>
      <c r="I73">
        <v>-1.6666669000000001</v>
      </c>
      <c r="J73">
        <v>0.27272724999999998</v>
      </c>
    </row>
    <row r="74" spans="1:10" x14ac:dyDescent="0.3">
      <c r="A74">
        <v>72</v>
      </c>
      <c r="B74">
        <v>1143</v>
      </c>
      <c r="C74" t="b">
        <v>1</v>
      </c>
      <c r="D74">
        <v>8048</v>
      </c>
      <c r="E74">
        <v>8117</v>
      </c>
      <c r="F74">
        <v>9.6</v>
      </c>
      <c r="G74">
        <v>4</v>
      </c>
      <c r="H74">
        <v>2.4</v>
      </c>
      <c r="I74">
        <v>-1.4000001</v>
      </c>
      <c r="J74">
        <v>0.29411763000000002</v>
      </c>
    </row>
    <row r="75" spans="1:10" x14ac:dyDescent="0.3">
      <c r="A75">
        <v>73</v>
      </c>
      <c r="B75">
        <v>1158</v>
      </c>
      <c r="C75" t="b">
        <v>1</v>
      </c>
      <c r="D75">
        <v>8048</v>
      </c>
      <c r="E75">
        <v>8117</v>
      </c>
      <c r="F75">
        <v>9.6</v>
      </c>
      <c r="G75">
        <v>4</v>
      </c>
      <c r="H75">
        <v>2.4</v>
      </c>
      <c r="I75">
        <v>-1.4000001</v>
      </c>
      <c r="J75">
        <v>0.29411763000000002</v>
      </c>
    </row>
    <row r="76" spans="1:10" x14ac:dyDescent="0.3">
      <c r="A76">
        <v>74</v>
      </c>
      <c r="B76">
        <v>1174</v>
      </c>
      <c r="C76" t="b">
        <v>1</v>
      </c>
      <c r="D76">
        <v>8048</v>
      </c>
      <c r="E76">
        <v>8117</v>
      </c>
      <c r="F76">
        <v>9.6</v>
      </c>
      <c r="G76">
        <v>4</v>
      </c>
      <c r="H76">
        <v>2.4</v>
      </c>
      <c r="I76">
        <v>-1.4000001</v>
      </c>
      <c r="J76">
        <v>0.29411763000000002</v>
      </c>
    </row>
    <row r="77" spans="1:10" x14ac:dyDescent="0.3">
      <c r="A77">
        <v>75</v>
      </c>
      <c r="B77">
        <v>1190</v>
      </c>
      <c r="C77" t="b">
        <v>1</v>
      </c>
      <c r="D77">
        <v>8048</v>
      </c>
      <c r="E77">
        <v>8117</v>
      </c>
      <c r="F77">
        <v>9.6</v>
      </c>
      <c r="G77">
        <v>4</v>
      </c>
      <c r="H77">
        <v>2.4</v>
      </c>
      <c r="I77">
        <v>-1.4000001</v>
      </c>
      <c r="J77">
        <v>0.29411763000000002</v>
      </c>
    </row>
    <row r="78" spans="1:10" x14ac:dyDescent="0.3">
      <c r="A78">
        <v>76</v>
      </c>
      <c r="B78">
        <v>1206</v>
      </c>
      <c r="C78" t="b">
        <v>1</v>
      </c>
      <c r="D78">
        <v>8048</v>
      </c>
      <c r="E78">
        <v>8117</v>
      </c>
      <c r="F78">
        <v>9.6</v>
      </c>
      <c r="G78">
        <v>4</v>
      </c>
      <c r="H78">
        <v>2.4</v>
      </c>
      <c r="I78">
        <v>-1.4000001</v>
      </c>
      <c r="J78">
        <v>0.29411763000000002</v>
      </c>
    </row>
    <row r="79" spans="1:10" x14ac:dyDescent="0.3">
      <c r="A79">
        <v>77</v>
      </c>
      <c r="B79">
        <v>1222</v>
      </c>
      <c r="C79" t="b">
        <v>1</v>
      </c>
      <c r="D79">
        <v>8048</v>
      </c>
      <c r="E79">
        <v>8117</v>
      </c>
      <c r="F79">
        <v>9.6</v>
      </c>
      <c r="G79">
        <v>4.4000000000000004</v>
      </c>
      <c r="H79">
        <v>2.1818181999999999</v>
      </c>
      <c r="I79">
        <v>-1.1818181999999999</v>
      </c>
      <c r="J79">
        <v>0.31428572999999999</v>
      </c>
    </row>
    <row r="80" spans="1:10" x14ac:dyDescent="0.3">
      <c r="A80">
        <v>78</v>
      </c>
      <c r="B80">
        <v>1238</v>
      </c>
      <c r="C80" t="b">
        <v>1</v>
      </c>
      <c r="D80">
        <v>8048</v>
      </c>
      <c r="E80">
        <v>8123</v>
      </c>
      <c r="F80">
        <v>9.6</v>
      </c>
      <c r="G80">
        <v>4.8</v>
      </c>
      <c r="H80">
        <v>2</v>
      </c>
      <c r="I80">
        <v>-1</v>
      </c>
      <c r="J80">
        <v>0.33333333999999998</v>
      </c>
    </row>
    <row r="81" spans="1:10" x14ac:dyDescent="0.3">
      <c r="A81">
        <v>79</v>
      </c>
      <c r="B81">
        <v>1254</v>
      </c>
      <c r="C81" t="b">
        <v>1</v>
      </c>
      <c r="D81">
        <v>8048</v>
      </c>
      <c r="E81">
        <v>8123</v>
      </c>
      <c r="F81">
        <v>9.6</v>
      </c>
      <c r="G81">
        <v>4.8</v>
      </c>
      <c r="H81">
        <v>2</v>
      </c>
      <c r="I81">
        <v>-1</v>
      </c>
      <c r="J81">
        <v>0.33333333999999998</v>
      </c>
    </row>
    <row r="82" spans="1:10" x14ac:dyDescent="0.3">
      <c r="A82">
        <v>80</v>
      </c>
      <c r="B82">
        <v>1270</v>
      </c>
      <c r="C82" t="b">
        <v>1</v>
      </c>
      <c r="D82">
        <v>8048</v>
      </c>
      <c r="E82">
        <v>8123</v>
      </c>
      <c r="F82">
        <v>9.1999999999999993</v>
      </c>
      <c r="G82">
        <v>5.2</v>
      </c>
      <c r="H82">
        <v>1.7692308000000001</v>
      </c>
      <c r="I82">
        <v>-0.76923079999999999</v>
      </c>
      <c r="J82">
        <v>0.36111110000000002</v>
      </c>
    </row>
    <row r="83" spans="1:10" x14ac:dyDescent="0.3">
      <c r="A83">
        <v>81</v>
      </c>
      <c r="B83">
        <v>1285</v>
      </c>
      <c r="C83" t="b">
        <v>1</v>
      </c>
      <c r="D83">
        <v>8048</v>
      </c>
      <c r="E83">
        <v>8123</v>
      </c>
      <c r="F83">
        <v>8.8000000000000007</v>
      </c>
      <c r="G83">
        <v>5.2</v>
      </c>
      <c r="H83">
        <v>1.6923078</v>
      </c>
      <c r="I83">
        <v>-0.69230780000000003</v>
      </c>
      <c r="J83">
        <v>0.37142855000000002</v>
      </c>
    </row>
    <row r="84" spans="1:10" x14ac:dyDescent="0.3">
      <c r="A84">
        <v>82</v>
      </c>
      <c r="B84">
        <v>1301</v>
      </c>
      <c r="C84" t="b">
        <v>1</v>
      </c>
      <c r="D84">
        <v>8048</v>
      </c>
      <c r="E84">
        <v>8123</v>
      </c>
      <c r="F84">
        <v>8.4</v>
      </c>
      <c r="G84">
        <v>5.2</v>
      </c>
      <c r="H84">
        <v>1.6153846000000001</v>
      </c>
      <c r="I84">
        <v>-0.61538459999999995</v>
      </c>
      <c r="J84">
        <v>0.38235295000000002</v>
      </c>
    </row>
    <row r="85" spans="1:10" x14ac:dyDescent="0.3">
      <c r="A85">
        <v>83</v>
      </c>
      <c r="B85">
        <v>1317</v>
      </c>
      <c r="C85" t="b">
        <v>1</v>
      </c>
      <c r="D85">
        <v>8048</v>
      </c>
      <c r="E85">
        <v>8117</v>
      </c>
      <c r="F85">
        <v>8</v>
      </c>
      <c r="G85">
        <v>5.2</v>
      </c>
      <c r="H85">
        <v>1.5384616</v>
      </c>
      <c r="I85">
        <v>-0.53846156999999994</v>
      </c>
      <c r="J85">
        <v>0.39393938000000001</v>
      </c>
    </row>
    <row r="86" spans="1:10" x14ac:dyDescent="0.3">
      <c r="A86">
        <v>84</v>
      </c>
      <c r="B86">
        <v>1333</v>
      </c>
      <c r="C86" t="b">
        <v>1</v>
      </c>
      <c r="D86">
        <v>8048</v>
      </c>
      <c r="E86">
        <v>8123</v>
      </c>
      <c r="F86">
        <v>8</v>
      </c>
      <c r="G86">
        <v>5.2</v>
      </c>
      <c r="H86">
        <v>1.5384616</v>
      </c>
      <c r="I86">
        <v>-0.53846156999999994</v>
      </c>
      <c r="J86">
        <v>0.39393938000000001</v>
      </c>
    </row>
    <row r="87" spans="1:10" x14ac:dyDescent="0.3">
      <c r="A87">
        <v>85</v>
      </c>
      <c r="B87">
        <v>1349</v>
      </c>
      <c r="C87" t="b">
        <v>1</v>
      </c>
      <c r="D87">
        <v>8048</v>
      </c>
      <c r="E87">
        <v>8117</v>
      </c>
      <c r="F87">
        <v>8</v>
      </c>
      <c r="G87">
        <v>5.2</v>
      </c>
      <c r="H87">
        <v>1.5384616</v>
      </c>
      <c r="I87">
        <v>-0.53846156999999994</v>
      </c>
      <c r="J87">
        <v>0.39393938000000001</v>
      </c>
    </row>
    <row r="88" spans="1:10" x14ac:dyDescent="0.3">
      <c r="A88">
        <v>86</v>
      </c>
      <c r="B88">
        <v>1365</v>
      </c>
      <c r="C88" t="b">
        <v>1</v>
      </c>
      <c r="D88">
        <v>8054</v>
      </c>
      <c r="E88">
        <v>8117</v>
      </c>
      <c r="F88">
        <v>8</v>
      </c>
      <c r="G88">
        <v>4.8</v>
      </c>
      <c r="H88">
        <v>1.6666666000000001</v>
      </c>
      <c r="I88">
        <v>-0.6666666</v>
      </c>
      <c r="J88">
        <v>0.375</v>
      </c>
    </row>
    <row r="89" spans="1:10" x14ac:dyDescent="0.3">
      <c r="A89">
        <v>87</v>
      </c>
      <c r="B89">
        <v>1381</v>
      </c>
      <c r="C89" t="b">
        <v>1</v>
      </c>
      <c r="D89">
        <v>8048</v>
      </c>
      <c r="E89">
        <v>8123</v>
      </c>
      <c r="F89">
        <v>8</v>
      </c>
      <c r="G89">
        <v>4.4000000000000004</v>
      </c>
      <c r="H89">
        <v>1.8181818000000001</v>
      </c>
      <c r="I89">
        <v>-0.81818175000000004</v>
      </c>
      <c r="J89">
        <v>0.35483872999999999</v>
      </c>
    </row>
    <row r="90" spans="1:10" x14ac:dyDescent="0.3">
      <c r="A90">
        <v>88</v>
      </c>
      <c r="B90">
        <v>1397</v>
      </c>
      <c r="C90" t="b">
        <v>1</v>
      </c>
      <c r="D90">
        <v>8042</v>
      </c>
      <c r="E90">
        <v>8123</v>
      </c>
      <c r="F90">
        <v>8</v>
      </c>
      <c r="G90">
        <v>4.8</v>
      </c>
      <c r="H90">
        <v>1.6666666000000001</v>
      </c>
      <c r="I90">
        <v>-0.6666666</v>
      </c>
      <c r="J90">
        <v>0.375</v>
      </c>
    </row>
    <row r="91" spans="1:10" x14ac:dyDescent="0.3">
      <c r="A91">
        <v>89</v>
      </c>
      <c r="B91">
        <v>1413</v>
      </c>
      <c r="C91" t="b">
        <v>1</v>
      </c>
      <c r="D91">
        <v>8042</v>
      </c>
      <c r="E91">
        <v>8123</v>
      </c>
      <c r="F91">
        <v>8</v>
      </c>
      <c r="G91">
        <v>5.2</v>
      </c>
      <c r="H91">
        <v>1.5384616</v>
      </c>
      <c r="I91">
        <v>-0.53846156999999994</v>
      </c>
      <c r="J91">
        <v>0.39393938000000001</v>
      </c>
    </row>
    <row r="92" spans="1:10" x14ac:dyDescent="0.3">
      <c r="A92">
        <v>90</v>
      </c>
      <c r="B92">
        <v>1428</v>
      </c>
      <c r="C92" t="b">
        <v>1</v>
      </c>
      <c r="D92">
        <v>8042</v>
      </c>
      <c r="E92">
        <v>8123</v>
      </c>
      <c r="F92">
        <v>7.6</v>
      </c>
      <c r="G92">
        <v>5.6</v>
      </c>
      <c r="H92">
        <v>1.3571428000000001</v>
      </c>
      <c r="I92">
        <v>-0.35714287</v>
      </c>
      <c r="J92">
        <v>0.42424244</v>
      </c>
    </row>
    <row r="93" spans="1:10" x14ac:dyDescent="0.3">
      <c r="A93">
        <v>91</v>
      </c>
      <c r="B93">
        <v>1444</v>
      </c>
      <c r="C93" t="b">
        <v>1</v>
      </c>
      <c r="D93">
        <v>8042</v>
      </c>
      <c r="E93">
        <v>8123</v>
      </c>
      <c r="F93">
        <v>7.2</v>
      </c>
      <c r="G93">
        <v>6</v>
      </c>
      <c r="H93">
        <v>1.1999998999999999</v>
      </c>
      <c r="I93">
        <v>-0.19999997</v>
      </c>
      <c r="J93">
        <v>0.45454547000000001</v>
      </c>
    </row>
    <row r="94" spans="1:10" x14ac:dyDescent="0.3">
      <c r="A94">
        <v>92</v>
      </c>
      <c r="B94">
        <v>1460</v>
      </c>
      <c r="C94" t="b">
        <v>1</v>
      </c>
      <c r="D94">
        <v>8042</v>
      </c>
      <c r="E94">
        <v>8123</v>
      </c>
      <c r="F94">
        <v>6.8</v>
      </c>
      <c r="G94">
        <v>6.4</v>
      </c>
      <c r="H94">
        <v>1.0625</v>
      </c>
      <c r="I94">
        <v>-6.2500015000000006E-2</v>
      </c>
      <c r="J94">
        <v>0.48484846999999998</v>
      </c>
    </row>
    <row r="95" spans="1:10" x14ac:dyDescent="0.3">
      <c r="A95">
        <v>93</v>
      </c>
      <c r="B95">
        <v>1476</v>
      </c>
      <c r="C95" t="b">
        <v>1</v>
      </c>
      <c r="D95">
        <v>8042</v>
      </c>
      <c r="E95">
        <v>8129</v>
      </c>
      <c r="F95">
        <v>6.4</v>
      </c>
      <c r="G95">
        <v>6.8</v>
      </c>
      <c r="H95">
        <v>0.94117649999999997</v>
      </c>
      <c r="I95">
        <v>5.8823540000000001E-2</v>
      </c>
      <c r="J95">
        <v>0.51515149999999998</v>
      </c>
    </row>
    <row r="96" spans="1:10" x14ac:dyDescent="0.3">
      <c r="A96">
        <v>94</v>
      </c>
      <c r="B96">
        <v>1492</v>
      </c>
      <c r="C96" t="b">
        <v>1</v>
      </c>
      <c r="D96">
        <v>8042</v>
      </c>
      <c r="E96">
        <v>8123</v>
      </c>
      <c r="F96">
        <v>6</v>
      </c>
      <c r="G96">
        <v>7.2</v>
      </c>
      <c r="H96">
        <v>0.8333334</v>
      </c>
      <c r="I96">
        <v>0.16666664</v>
      </c>
      <c r="J96">
        <v>0.54545456000000003</v>
      </c>
    </row>
    <row r="97" spans="1:10" x14ac:dyDescent="0.3">
      <c r="A97">
        <v>95</v>
      </c>
      <c r="B97">
        <v>1507</v>
      </c>
      <c r="C97" t="b">
        <v>1</v>
      </c>
      <c r="D97">
        <v>8048</v>
      </c>
      <c r="E97">
        <v>8111</v>
      </c>
      <c r="F97">
        <v>5.6</v>
      </c>
      <c r="G97">
        <v>7.2</v>
      </c>
      <c r="H97">
        <v>0.77777779999999996</v>
      </c>
      <c r="I97">
        <v>0.22222221</v>
      </c>
      <c r="J97">
        <v>0.5625</v>
      </c>
    </row>
    <row r="98" spans="1:10" x14ac:dyDescent="0.3">
      <c r="A98">
        <v>96</v>
      </c>
      <c r="B98">
        <v>1523</v>
      </c>
      <c r="C98" t="b">
        <v>1</v>
      </c>
      <c r="D98">
        <v>8042</v>
      </c>
      <c r="E98">
        <v>8117</v>
      </c>
      <c r="F98">
        <v>5.2</v>
      </c>
      <c r="G98">
        <v>7.2</v>
      </c>
      <c r="H98">
        <v>0.72222220000000004</v>
      </c>
      <c r="I98">
        <v>0.27777780000000002</v>
      </c>
      <c r="J98">
        <v>0.58064514</v>
      </c>
    </row>
    <row r="99" spans="1:10" x14ac:dyDescent="0.3">
      <c r="A99">
        <v>97</v>
      </c>
      <c r="B99">
        <v>1539</v>
      </c>
      <c r="C99" t="b">
        <v>1</v>
      </c>
      <c r="D99">
        <v>8042</v>
      </c>
      <c r="E99">
        <v>8123</v>
      </c>
      <c r="F99">
        <v>4.8</v>
      </c>
      <c r="G99">
        <v>7.2</v>
      </c>
      <c r="H99">
        <v>0.66666669999999995</v>
      </c>
      <c r="I99">
        <v>0.33333328000000001</v>
      </c>
      <c r="J99">
        <v>0.59999996</v>
      </c>
    </row>
    <row r="100" spans="1:10" x14ac:dyDescent="0.3">
      <c r="A100">
        <v>98</v>
      </c>
      <c r="B100">
        <v>1555</v>
      </c>
      <c r="C100" t="b">
        <v>1</v>
      </c>
      <c r="D100">
        <v>8042</v>
      </c>
      <c r="E100">
        <v>8111</v>
      </c>
      <c r="F100">
        <v>4.4000000000000004</v>
      </c>
      <c r="G100">
        <v>6.8</v>
      </c>
      <c r="H100">
        <v>0.64705884000000002</v>
      </c>
      <c r="I100">
        <v>0.35294120000000001</v>
      </c>
      <c r="J100">
        <v>0.60714279999999998</v>
      </c>
    </row>
    <row r="101" spans="1:10" x14ac:dyDescent="0.3">
      <c r="A101">
        <v>99</v>
      </c>
      <c r="B101">
        <v>1571</v>
      </c>
      <c r="C101" t="b">
        <v>1</v>
      </c>
      <c r="D101">
        <v>8042</v>
      </c>
      <c r="E101">
        <v>8117</v>
      </c>
      <c r="F101">
        <v>4</v>
      </c>
      <c r="G101">
        <v>6.4</v>
      </c>
      <c r="H101">
        <v>0.625</v>
      </c>
      <c r="I101">
        <v>0.375</v>
      </c>
      <c r="J101">
        <v>0.61538464000000004</v>
      </c>
    </row>
    <row r="102" spans="1:10" x14ac:dyDescent="0.3">
      <c r="A102">
        <v>100</v>
      </c>
      <c r="B102">
        <v>1587</v>
      </c>
      <c r="C102" t="b">
        <v>1</v>
      </c>
      <c r="D102">
        <v>8048</v>
      </c>
      <c r="E102">
        <v>8117</v>
      </c>
      <c r="F102">
        <v>3.6</v>
      </c>
      <c r="G102">
        <v>6</v>
      </c>
      <c r="H102">
        <v>0.59999996</v>
      </c>
      <c r="I102">
        <v>0.4</v>
      </c>
      <c r="J102">
        <v>0.625</v>
      </c>
    </row>
    <row r="103" spans="1:10" x14ac:dyDescent="0.3">
      <c r="A103">
        <v>101</v>
      </c>
      <c r="B103">
        <v>1603</v>
      </c>
      <c r="C103" t="b">
        <v>1</v>
      </c>
      <c r="D103">
        <v>8048</v>
      </c>
      <c r="E103">
        <v>8123</v>
      </c>
      <c r="F103">
        <v>3.2</v>
      </c>
      <c r="G103">
        <v>6</v>
      </c>
      <c r="H103">
        <v>0.53333335999999998</v>
      </c>
      <c r="I103">
        <v>0.46666667000000001</v>
      </c>
      <c r="J103">
        <v>0.65217393999999995</v>
      </c>
    </row>
    <row r="104" spans="1:10" x14ac:dyDescent="0.3">
      <c r="A104">
        <v>102</v>
      </c>
      <c r="B104">
        <v>1619</v>
      </c>
      <c r="C104" t="b">
        <v>1</v>
      </c>
      <c r="D104">
        <v>8048</v>
      </c>
      <c r="E104">
        <v>8117</v>
      </c>
      <c r="F104">
        <v>3.2</v>
      </c>
      <c r="G104">
        <v>6</v>
      </c>
      <c r="H104">
        <v>0.53333335999999998</v>
      </c>
      <c r="I104">
        <v>0.46666667000000001</v>
      </c>
      <c r="J104">
        <v>0.65217393999999995</v>
      </c>
    </row>
    <row r="105" spans="1:10" x14ac:dyDescent="0.3">
      <c r="A105">
        <v>103</v>
      </c>
      <c r="B105">
        <v>1635</v>
      </c>
      <c r="C105" t="b">
        <v>1</v>
      </c>
      <c r="D105">
        <v>8048</v>
      </c>
      <c r="E105">
        <v>8123</v>
      </c>
      <c r="F105">
        <v>3.2</v>
      </c>
      <c r="G105">
        <v>5.6</v>
      </c>
      <c r="H105">
        <v>0.57142859999999995</v>
      </c>
      <c r="I105">
        <v>0.42857139999999999</v>
      </c>
      <c r="J105">
        <v>0.63636360000000003</v>
      </c>
    </row>
    <row r="106" spans="1:10" x14ac:dyDescent="0.3">
      <c r="A106">
        <v>104</v>
      </c>
      <c r="B106">
        <v>1651</v>
      </c>
      <c r="C106" t="b">
        <v>1</v>
      </c>
      <c r="D106">
        <v>8048</v>
      </c>
      <c r="E106">
        <v>8123</v>
      </c>
      <c r="F106">
        <v>3.2</v>
      </c>
      <c r="G106">
        <v>5.6</v>
      </c>
      <c r="H106">
        <v>0.57142859999999995</v>
      </c>
      <c r="I106">
        <v>0.42857139999999999</v>
      </c>
      <c r="J106">
        <v>0.63636360000000003</v>
      </c>
    </row>
    <row r="107" spans="1:10" x14ac:dyDescent="0.3">
      <c r="A107">
        <v>105</v>
      </c>
      <c r="B107">
        <v>1666</v>
      </c>
      <c r="C107" t="b">
        <v>1</v>
      </c>
      <c r="D107">
        <v>8048</v>
      </c>
      <c r="E107">
        <v>8123</v>
      </c>
      <c r="F107">
        <v>3.6</v>
      </c>
      <c r="G107">
        <v>5.6</v>
      </c>
      <c r="H107">
        <v>0.64285713</v>
      </c>
      <c r="I107">
        <v>0.35714287</v>
      </c>
      <c r="J107">
        <v>0.6086956</v>
      </c>
    </row>
    <row r="108" spans="1:10" x14ac:dyDescent="0.3">
      <c r="A108">
        <v>106</v>
      </c>
      <c r="B108">
        <v>1682</v>
      </c>
      <c r="C108" t="b">
        <v>1</v>
      </c>
      <c r="D108">
        <v>8054</v>
      </c>
      <c r="E108">
        <v>8123</v>
      </c>
      <c r="F108">
        <v>4</v>
      </c>
      <c r="G108">
        <v>5.6</v>
      </c>
      <c r="H108">
        <v>0.71428572999999995</v>
      </c>
      <c r="I108">
        <v>0.28571426999999999</v>
      </c>
      <c r="J108">
        <v>0.58333330000000005</v>
      </c>
    </row>
    <row r="109" spans="1:10" x14ac:dyDescent="0.3">
      <c r="A109">
        <v>107</v>
      </c>
      <c r="B109">
        <v>1698</v>
      </c>
      <c r="C109" t="b">
        <v>1</v>
      </c>
      <c r="D109">
        <v>8054</v>
      </c>
      <c r="E109">
        <v>8123</v>
      </c>
      <c r="F109">
        <v>4.4000000000000004</v>
      </c>
      <c r="G109">
        <v>5.6</v>
      </c>
      <c r="H109">
        <v>0.78571429999999998</v>
      </c>
      <c r="I109">
        <v>0.21428569</v>
      </c>
      <c r="J109">
        <v>0.56000000000000005</v>
      </c>
    </row>
    <row r="110" spans="1:10" x14ac:dyDescent="0.3">
      <c r="A110">
        <v>108</v>
      </c>
      <c r="B110">
        <v>1714</v>
      </c>
      <c r="C110" t="b">
        <v>1</v>
      </c>
      <c r="D110">
        <v>8054</v>
      </c>
      <c r="E110">
        <v>8123</v>
      </c>
      <c r="F110">
        <v>5.2</v>
      </c>
      <c r="G110">
        <v>5.6</v>
      </c>
      <c r="H110">
        <v>0.92857140000000005</v>
      </c>
      <c r="I110">
        <v>7.142859E-2</v>
      </c>
      <c r="J110">
        <v>0.51851857000000001</v>
      </c>
    </row>
    <row r="111" spans="1:10" x14ac:dyDescent="0.3">
      <c r="A111">
        <v>109</v>
      </c>
      <c r="B111">
        <v>1730</v>
      </c>
      <c r="C111" t="b">
        <v>1</v>
      </c>
      <c r="D111">
        <v>8054</v>
      </c>
      <c r="E111">
        <v>8117</v>
      </c>
      <c r="F111">
        <v>6</v>
      </c>
      <c r="G111">
        <v>5.6</v>
      </c>
      <c r="H111">
        <v>1.0714284999999999</v>
      </c>
      <c r="I111">
        <v>-7.142859E-2</v>
      </c>
      <c r="J111">
        <v>0.48275859999999998</v>
      </c>
    </row>
    <row r="112" spans="1:10" x14ac:dyDescent="0.3">
      <c r="A112">
        <v>110</v>
      </c>
      <c r="B112">
        <v>1746</v>
      </c>
      <c r="C112" t="b">
        <v>1</v>
      </c>
      <c r="D112">
        <v>8054</v>
      </c>
      <c r="E112">
        <v>8123</v>
      </c>
      <c r="F112">
        <v>6.8</v>
      </c>
      <c r="G112">
        <v>5.6</v>
      </c>
      <c r="H112">
        <v>1.2142857</v>
      </c>
      <c r="I112">
        <v>-0.21428578000000001</v>
      </c>
      <c r="J112">
        <v>0.45161291999999997</v>
      </c>
    </row>
    <row r="113" spans="1:10" x14ac:dyDescent="0.3">
      <c r="A113">
        <v>111</v>
      </c>
      <c r="B113">
        <v>1762</v>
      </c>
      <c r="C113" t="b">
        <v>1</v>
      </c>
      <c r="D113">
        <v>8060</v>
      </c>
      <c r="E113">
        <v>8123</v>
      </c>
      <c r="F113">
        <v>7.6</v>
      </c>
      <c r="G113">
        <v>5.6</v>
      </c>
      <c r="H113">
        <v>1.3571428000000001</v>
      </c>
      <c r="I113">
        <v>-0.35714287</v>
      </c>
      <c r="J113">
        <v>0.42424244</v>
      </c>
    </row>
    <row r="114" spans="1:10" x14ac:dyDescent="0.3">
      <c r="A114">
        <v>112</v>
      </c>
      <c r="B114">
        <v>1778</v>
      </c>
      <c r="C114" t="b">
        <v>1</v>
      </c>
      <c r="D114">
        <v>8060</v>
      </c>
      <c r="E114">
        <v>8117</v>
      </c>
      <c r="F114">
        <v>8.4</v>
      </c>
      <c r="G114">
        <v>5.6</v>
      </c>
      <c r="H114">
        <v>1.5</v>
      </c>
      <c r="I114">
        <v>-0.49999997000000002</v>
      </c>
      <c r="J114">
        <v>0.4</v>
      </c>
    </row>
    <row r="115" spans="1:10" x14ac:dyDescent="0.3">
      <c r="A115">
        <v>113</v>
      </c>
      <c r="B115">
        <v>1794</v>
      </c>
      <c r="C115" t="b">
        <v>1</v>
      </c>
      <c r="D115">
        <v>8048</v>
      </c>
      <c r="E115">
        <v>8123</v>
      </c>
      <c r="F115">
        <v>9.1999999999999993</v>
      </c>
      <c r="G115">
        <v>6</v>
      </c>
      <c r="H115">
        <v>1.5333333</v>
      </c>
      <c r="I115">
        <v>-0.53333330000000001</v>
      </c>
      <c r="J115">
        <v>0.39473686000000002</v>
      </c>
    </row>
    <row r="116" spans="1:10" x14ac:dyDescent="0.3">
      <c r="A116">
        <v>114</v>
      </c>
      <c r="B116">
        <v>1810</v>
      </c>
      <c r="C116" t="b">
        <v>1</v>
      </c>
      <c r="D116">
        <v>8054</v>
      </c>
      <c r="E116">
        <v>8123</v>
      </c>
      <c r="F116">
        <v>10</v>
      </c>
      <c r="G116">
        <v>6.4</v>
      </c>
      <c r="H116">
        <v>1.5625</v>
      </c>
      <c r="I116">
        <v>-0.5625</v>
      </c>
      <c r="J116">
        <v>0.39024392000000002</v>
      </c>
    </row>
    <row r="117" spans="1:10" x14ac:dyDescent="0.3">
      <c r="A117">
        <v>115</v>
      </c>
      <c r="B117">
        <v>1825</v>
      </c>
      <c r="C117" t="b">
        <v>1</v>
      </c>
      <c r="D117">
        <v>8054</v>
      </c>
      <c r="E117">
        <v>8123</v>
      </c>
      <c r="F117">
        <v>10.8</v>
      </c>
      <c r="G117">
        <v>6.8</v>
      </c>
      <c r="H117">
        <v>1.5882353</v>
      </c>
      <c r="I117">
        <v>-0.58823526000000004</v>
      </c>
      <c r="J117">
        <v>0.38636363000000001</v>
      </c>
    </row>
    <row r="118" spans="1:10" x14ac:dyDescent="0.3">
      <c r="A118">
        <v>116</v>
      </c>
      <c r="B118">
        <v>1841</v>
      </c>
      <c r="C118" t="b">
        <v>1</v>
      </c>
      <c r="D118">
        <v>8048</v>
      </c>
      <c r="E118">
        <v>8123</v>
      </c>
      <c r="F118">
        <v>11.6</v>
      </c>
      <c r="G118">
        <v>7.2</v>
      </c>
      <c r="H118">
        <v>1.6111112000000001</v>
      </c>
      <c r="I118">
        <v>-0.61111119999999997</v>
      </c>
      <c r="J118">
        <v>0.38297873999999998</v>
      </c>
    </row>
    <row r="119" spans="1:10" x14ac:dyDescent="0.3">
      <c r="A119">
        <v>117</v>
      </c>
      <c r="B119">
        <v>1857</v>
      </c>
      <c r="C119" t="b">
        <v>1</v>
      </c>
      <c r="D119">
        <v>8048</v>
      </c>
      <c r="E119">
        <v>8123</v>
      </c>
      <c r="F119">
        <v>11.6</v>
      </c>
      <c r="G119">
        <v>7.6</v>
      </c>
      <c r="H119">
        <v>1.5263157999999999</v>
      </c>
      <c r="I119">
        <v>-0.52631587000000002</v>
      </c>
      <c r="J119">
        <v>0.3958333</v>
      </c>
    </row>
    <row r="120" spans="1:10" x14ac:dyDescent="0.3">
      <c r="A120">
        <v>118</v>
      </c>
      <c r="B120">
        <v>1873</v>
      </c>
      <c r="C120" t="b">
        <v>1</v>
      </c>
      <c r="D120">
        <v>8048</v>
      </c>
      <c r="E120">
        <v>8123</v>
      </c>
      <c r="F120">
        <v>11.6</v>
      </c>
      <c r="G120">
        <v>8</v>
      </c>
      <c r="H120">
        <v>1.45</v>
      </c>
      <c r="I120">
        <v>-0.45000004999999998</v>
      </c>
      <c r="J120">
        <v>0.40816324999999998</v>
      </c>
    </row>
    <row r="121" spans="1:10" x14ac:dyDescent="0.3">
      <c r="A121">
        <v>119</v>
      </c>
      <c r="B121">
        <v>1889</v>
      </c>
      <c r="C121" t="b">
        <v>1</v>
      </c>
      <c r="D121">
        <v>8054</v>
      </c>
      <c r="E121">
        <v>8123</v>
      </c>
      <c r="F121">
        <v>11.6</v>
      </c>
      <c r="G121">
        <v>8</v>
      </c>
      <c r="H121">
        <v>1.45</v>
      </c>
      <c r="I121">
        <v>-0.45000004999999998</v>
      </c>
      <c r="J121">
        <v>0.40816324999999998</v>
      </c>
    </row>
    <row r="122" spans="1:10" x14ac:dyDescent="0.3">
      <c r="A122">
        <v>120</v>
      </c>
      <c r="B122">
        <v>1905</v>
      </c>
      <c r="C122" t="b">
        <v>1</v>
      </c>
      <c r="D122">
        <v>8054</v>
      </c>
      <c r="E122">
        <v>8117</v>
      </c>
      <c r="F122">
        <v>11.6</v>
      </c>
      <c r="G122">
        <v>8</v>
      </c>
      <c r="H122">
        <v>1.45</v>
      </c>
      <c r="I122">
        <v>-0.45000004999999998</v>
      </c>
      <c r="J122">
        <v>0.40816324999999998</v>
      </c>
    </row>
    <row r="123" spans="1:10" x14ac:dyDescent="0.3">
      <c r="A123">
        <v>121</v>
      </c>
      <c r="B123">
        <v>1921</v>
      </c>
      <c r="C123" t="b">
        <v>1</v>
      </c>
      <c r="D123">
        <v>8054</v>
      </c>
      <c r="E123">
        <v>8123</v>
      </c>
      <c r="F123">
        <v>12</v>
      </c>
      <c r="G123">
        <v>8</v>
      </c>
      <c r="H123">
        <v>1.5</v>
      </c>
      <c r="I123">
        <v>-0.5</v>
      </c>
      <c r="J123">
        <v>0.4</v>
      </c>
    </row>
    <row r="124" spans="1:10" x14ac:dyDescent="0.3">
      <c r="A124">
        <v>122</v>
      </c>
      <c r="B124">
        <v>1937</v>
      </c>
      <c r="C124" t="b">
        <v>1</v>
      </c>
      <c r="D124">
        <v>8048</v>
      </c>
      <c r="E124">
        <v>8117</v>
      </c>
      <c r="F124">
        <v>12.4</v>
      </c>
      <c r="G124">
        <v>8</v>
      </c>
      <c r="H124">
        <v>1.55</v>
      </c>
      <c r="I124">
        <v>-0.54999995000000002</v>
      </c>
      <c r="J124">
        <v>0.39215686999999999</v>
      </c>
    </row>
    <row r="125" spans="1:10" x14ac:dyDescent="0.3">
      <c r="A125">
        <v>123</v>
      </c>
      <c r="B125">
        <v>1953</v>
      </c>
      <c r="C125" t="b">
        <v>1</v>
      </c>
      <c r="D125">
        <v>8048</v>
      </c>
      <c r="E125">
        <v>8123</v>
      </c>
      <c r="F125">
        <v>12.4</v>
      </c>
      <c r="G125">
        <v>8</v>
      </c>
      <c r="H125">
        <v>1.55</v>
      </c>
      <c r="I125">
        <v>-0.54999995000000002</v>
      </c>
      <c r="J125">
        <v>0.39215686999999999</v>
      </c>
    </row>
    <row r="126" spans="1:10" x14ac:dyDescent="0.3">
      <c r="A126">
        <v>124</v>
      </c>
      <c r="B126">
        <v>1968</v>
      </c>
      <c r="C126" t="b">
        <v>1</v>
      </c>
      <c r="D126">
        <v>8048</v>
      </c>
      <c r="E126">
        <v>8123</v>
      </c>
      <c r="F126">
        <v>12</v>
      </c>
      <c r="G126">
        <v>8</v>
      </c>
      <c r="H126">
        <v>1.5</v>
      </c>
      <c r="I126">
        <v>-0.5</v>
      </c>
      <c r="J126">
        <v>0.4</v>
      </c>
    </row>
    <row r="127" spans="1:10" x14ac:dyDescent="0.3">
      <c r="A127">
        <v>125</v>
      </c>
      <c r="B127">
        <v>1984</v>
      </c>
      <c r="C127" t="b">
        <v>1</v>
      </c>
      <c r="D127">
        <v>8054</v>
      </c>
      <c r="E127">
        <v>8123</v>
      </c>
      <c r="F127">
        <v>11.6</v>
      </c>
      <c r="G127">
        <v>8</v>
      </c>
      <c r="H127">
        <v>1.45</v>
      </c>
      <c r="I127">
        <v>-0.45000004999999998</v>
      </c>
      <c r="J127">
        <v>0.40816324999999998</v>
      </c>
    </row>
    <row r="128" spans="1:10" x14ac:dyDescent="0.3">
      <c r="A128">
        <v>126</v>
      </c>
      <c r="B128">
        <v>2000</v>
      </c>
      <c r="C128" t="b">
        <v>1</v>
      </c>
      <c r="D128">
        <v>8048</v>
      </c>
      <c r="E128">
        <v>8123</v>
      </c>
      <c r="F128">
        <v>11.2</v>
      </c>
      <c r="G128">
        <v>8</v>
      </c>
      <c r="H128">
        <v>1.4</v>
      </c>
      <c r="I128">
        <v>-0.39999997999999998</v>
      </c>
      <c r="J128">
        <v>0.41666666000000002</v>
      </c>
    </row>
    <row r="129" spans="1:10" x14ac:dyDescent="0.3">
      <c r="A129">
        <v>127</v>
      </c>
      <c r="B129">
        <v>2016</v>
      </c>
      <c r="C129" t="b">
        <v>1</v>
      </c>
      <c r="D129">
        <v>8048</v>
      </c>
      <c r="E129">
        <v>8123</v>
      </c>
      <c r="F129">
        <v>10.8</v>
      </c>
      <c r="G129">
        <v>8</v>
      </c>
      <c r="H129">
        <v>1.35</v>
      </c>
      <c r="I129">
        <v>-0.35000002000000002</v>
      </c>
      <c r="J129">
        <v>0.42553192000000001</v>
      </c>
    </row>
    <row r="130" spans="1:10" x14ac:dyDescent="0.3">
      <c r="A130">
        <v>128</v>
      </c>
      <c r="B130">
        <v>2032</v>
      </c>
      <c r="C130" t="b">
        <v>1</v>
      </c>
      <c r="D130">
        <v>8048</v>
      </c>
      <c r="E130">
        <v>8123</v>
      </c>
      <c r="F130">
        <v>10.4</v>
      </c>
      <c r="G130">
        <v>8</v>
      </c>
      <c r="H130">
        <v>1.3</v>
      </c>
      <c r="I130">
        <v>-0.29999995000000002</v>
      </c>
      <c r="J130">
        <v>0.43478262000000001</v>
      </c>
    </row>
    <row r="131" spans="1:10" x14ac:dyDescent="0.3">
      <c r="A131">
        <v>129</v>
      </c>
      <c r="B131">
        <v>2048</v>
      </c>
      <c r="C131" t="b">
        <v>1</v>
      </c>
      <c r="D131">
        <v>8048</v>
      </c>
      <c r="E131">
        <v>8123</v>
      </c>
      <c r="F131">
        <v>10</v>
      </c>
      <c r="G131">
        <v>8</v>
      </c>
      <c r="H131">
        <v>1.25</v>
      </c>
      <c r="I131">
        <v>-0.25</v>
      </c>
      <c r="J131">
        <v>0.44444444999999999</v>
      </c>
    </row>
    <row r="132" spans="1:10" x14ac:dyDescent="0.3">
      <c r="A132">
        <v>130</v>
      </c>
      <c r="B132">
        <v>2064</v>
      </c>
      <c r="C132" t="b">
        <v>1</v>
      </c>
      <c r="D132">
        <v>8048</v>
      </c>
      <c r="E132">
        <v>8123</v>
      </c>
      <c r="F132">
        <v>9.6</v>
      </c>
      <c r="G132">
        <v>8</v>
      </c>
      <c r="H132">
        <v>1.2</v>
      </c>
      <c r="I132">
        <v>-0.20000005000000001</v>
      </c>
      <c r="J132">
        <v>0.45454544000000002</v>
      </c>
    </row>
    <row r="133" spans="1:10" x14ac:dyDescent="0.3">
      <c r="A133">
        <v>131</v>
      </c>
      <c r="B133">
        <v>2080</v>
      </c>
      <c r="C133" t="b">
        <v>1</v>
      </c>
      <c r="D133">
        <v>8048</v>
      </c>
      <c r="E133">
        <v>8123</v>
      </c>
      <c r="F133">
        <v>9.1999999999999993</v>
      </c>
      <c r="G133">
        <v>8</v>
      </c>
      <c r="H133">
        <v>1.1499999999999999</v>
      </c>
      <c r="I133">
        <v>-0.14999998</v>
      </c>
      <c r="J133">
        <v>0.46511626</v>
      </c>
    </row>
    <row r="134" spans="1:10" x14ac:dyDescent="0.3">
      <c r="A134">
        <v>132</v>
      </c>
      <c r="B134">
        <v>2096</v>
      </c>
      <c r="C134" t="b">
        <v>1</v>
      </c>
      <c r="D134">
        <v>8054</v>
      </c>
      <c r="E134">
        <v>8123</v>
      </c>
      <c r="F134">
        <v>9.1999999999999993</v>
      </c>
      <c r="G134">
        <v>8</v>
      </c>
      <c r="H134">
        <v>1.1499999999999999</v>
      </c>
      <c r="I134">
        <v>-0.14999998</v>
      </c>
      <c r="J134">
        <v>0.46511626</v>
      </c>
    </row>
    <row r="135" spans="1:10" x14ac:dyDescent="0.3">
      <c r="A135">
        <v>133</v>
      </c>
      <c r="B135">
        <v>2111</v>
      </c>
      <c r="C135" t="b">
        <v>1</v>
      </c>
      <c r="D135">
        <v>8054</v>
      </c>
      <c r="E135">
        <v>8123</v>
      </c>
      <c r="F135">
        <v>9.1999999999999993</v>
      </c>
      <c r="G135">
        <v>8</v>
      </c>
      <c r="H135">
        <v>1.1499999999999999</v>
      </c>
      <c r="I135">
        <v>-0.14999998</v>
      </c>
      <c r="J135">
        <v>0.46511626</v>
      </c>
    </row>
    <row r="136" spans="1:10" x14ac:dyDescent="0.3">
      <c r="A136">
        <v>134</v>
      </c>
      <c r="B136">
        <v>2127</v>
      </c>
      <c r="C136" t="b">
        <v>1</v>
      </c>
      <c r="D136">
        <v>8048</v>
      </c>
      <c r="E136">
        <v>8123</v>
      </c>
      <c r="F136">
        <v>9.1999999999999993</v>
      </c>
      <c r="G136">
        <v>8</v>
      </c>
      <c r="H136">
        <v>1.1499999999999999</v>
      </c>
      <c r="I136">
        <v>-0.14999998</v>
      </c>
      <c r="J136">
        <v>0.46511626</v>
      </c>
    </row>
    <row r="137" spans="1:10" x14ac:dyDescent="0.3">
      <c r="A137">
        <v>135</v>
      </c>
      <c r="B137">
        <v>2143</v>
      </c>
      <c r="C137" t="b">
        <v>1</v>
      </c>
      <c r="D137">
        <v>8054</v>
      </c>
      <c r="E137">
        <v>8123</v>
      </c>
      <c r="F137">
        <v>9.6</v>
      </c>
      <c r="G137">
        <v>8</v>
      </c>
      <c r="H137">
        <v>1.2</v>
      </c>
      <c r="I137">
        <v>-0.20000005000000001</v>
      </c>
      <c r="J137">
        <v>0.45454544000000002</v>
      </c>
    </row>
    <row r="138" spans="1:10" x14ac:dyDescent="0.3">
      <c r="A138">
        <v>136</v>
      </c>
      <c r="B138">
        <v>2159</v>
      </c>
      <c r="C138" t="b">
        <v>1</v>
      </c>
      <c r="D138">
        <v>8048</v>
      </c>
      <c r="E138">
        <v>8123</v>
      </c>
      <c r="F138">
        <v>9.6</v>
      </c>
      <c r="G138">
        <v>8</v>
      </c>
      <c r="H138">
        <v>1.2</v>
      </c>
      <c r="I138">
        <v>-0.20000005000000001</v>
      </c>
      <c r="J138">
        <v>0.45454544000000002</v>
      </c>
    </row>
    <row r="139" spans="1:10" x14ac:dyDescent="0.3">
      <c r="A139">
        <v>137</v>
      </c>
      <c r="B139">
        <v>2175</v>
      </c>
      <c r="C139" t="b">
        <v>1</v>
      </c>
      <c r="D139">
        <v>8048</v>
      </c>
      <c r="E139">
        <v>8123</v>
      </c>
      <c r="F139">
        <v>9.1999999999999993</v>
      </c>
      <c r="G139">
        <v>8</v>
      </c>
      <c r="H139">
        <v>1.1499999999999999</v>
      </c>
      <c r="I139">
        <v>-0.14999998</v>
      </c>
      <c r="J139">
        <v>0.46511626</v>
      </c>
    </row>
    <row r="140" spans="1:10" x14ac:dyDescent="0.3">
      <c r="A140">
        <v>138</v>
      </c>
      <c r="B140">
        <v>2191</v>
      </c>
      <c r="C140" t="b">
        <v>1</v>
      </c>
      <c r="D140">
        <v>8042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2207</v>
      </c>
      <c r="C141" t="b">
        <v>1</v>
      </c>
      <c r="D141">
        <v>8048</v>
      </c>
      <c r="E141">
        <v>8129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2223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2239</v>
      </c>
      <c r="C143" t="b">
        <v>1</v>
      </c>
      <c r="D143">
        <v>8048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2254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2271</v>
      </c>
      <c r="C145" t="b">
        <v>1</v>
      </c>
      <c r="D145">
        <v>8042</v>
      </c>
      <c r="E145">
        <v>8123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2287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2302</v>
      </c>
      <c r="C147" t="b">
        <v>1</v>
      </c>
      <c r="D147">
        <v>8048</v>
      </c>
      <c r="E147">
        <v>8123</v>
      </c>
      <c r="F147">
        <v>8.8000000000000007</v>
      </c>
      <c r="G147">
        <v>8</v>
      </c>
      <c r="H147">
        <v>1.1000000000000001</v>
      </c>
      <c r="I147">
        <v>-0.10000002400000001</v>
      </c>
      <c r="J147">
        <v>0.47619050000000002</v>
      </c>
    </row>
    <row r="148" spans="1:10" x14ac:dyDescent="0.3">
      <c r="A148">
        <v>146</v>
      </c>
      <c r="B148">
        <v>2318</v>
      </c>
      <c r="C148" t="b">
        <v>1</v>
      </c>
      <c r="D148">
        <v>8054</v>
      </c>
      <c r="E148">
        <v>8123</v>
      </c>
      <c r="F148">
        <v>8.8000000000000007</v>
      </c>
      <c r="G148">
        <v>8</v>
      </c>
      <c r="H148">
        <v>1.1000000000000001</v>
      </c>
      <c r="I148">
        <v>-0.10000002400000001</v>
      </c>
      <c r="J148">
        <v>0.47619050000000002</v>
      </c>
    </row>
    <row r="149" spans="1:10" x14ac:dyDescent="0.3">
      <c r="A149">
        <v>147</v>
      </c>
      <c r="B149">
        <v>2334</v>
      </c>
      <c r="C149" t="b">
        <v>1</v>
      </c>
      <c r="D149">
        <v>8048</v>
      </c>
      <c r="E149">
        <v>8123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2350</v>
      </c>
      <c r="C150" t="b">
        <v>1</v>
      </c>
      <c r="D150">
        <v>8048</v>
      </c>
      <c r="E150">
        <v>8123</v>
      </c>
      <c r="F150">
        <v>8.8000000000000007</v>
      </c>
      <c r="G150">
        <v>8</v>
      </c>
      <c r="H150">
        <v>1.1000000000000001</v>
      </c>
      <c r="I150">
        <v>-0.10000002400000001</v>
      </c>
      <c r="J150">
        <v>0.47619050000000002</v>
      </c>
    </row>
    <row r="151" spans="1:10" x14ac:dyDescent="0.3">
      <c r="A151">
        <v>149</v>
      </c>
      <c r="B151">
        <v>2365</v>
      </c>
      <c r="C151" t="b">
        <v>1</v>
      </c>
      <c r="D151">
        <v>8048</v>
      </c>
      <c r="E151">
        <v>8123</v>
      </c>
      <c r="F151">
        <v>8.8000000000000007</v>
      </c>
      <c r="G151">
        <v>8</v>
      </c>
      <c r="H151">
        <v>1.1000000000000001</v>
      </c>
      <c r="I151">
        <v>-0.10000002400000001</v>
      </c>
      <c r="J151">
        <v>0.47619050000000002</v>
      </c>
    </row>
    <row r="152" spans="1:10" x14ac:dyDescent="0.3">
      <c r="A152">
        <v>150</v>
      </c>
      <c r="B152">
        <v>2381</v>
      </c>
      <c r="C152" t="b">
        <v>1</v>
      </c>
      <c r="D152">
        <v>8048</v>
      </c>
      <c r="E152">
        <v>8123</v>
      </c>
      <c r="F152">
        <v>8.4</v>
      </c>
      <c r="G152">
        <v>8</v>
      </c>
      <c r="H152">
        <v>1.05</v>
      </c>
      <c r="I152">
        <v>-4.9999952E-2</v>
      </c>
      <c r="J152">
        <v>0.48780489999999999</v>
      </c>
    </row>
    <row r="153" spans="1:10" x14ac:dyDescent="0.3">
      <c r="A153">
        <v>151</v>
      </c>
      <c r="B153">
        <v>2398</v>
      </c>
      <c r="C153" t="b">
        <v>1</v>
      </c>
      <c r="D153">
        <v>8048</v>
      </c>
      <c r="E153">
        <v>8123</v>
      </c>
      <c r="F153">
        <v>8</v>
      </c>
      <c r="G153">
        <v>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2413</v>
      </c>
      <c r="C154" t="b">
        <v>1</v>
      </c>
      <c r="D154">
        <v>8048</v>
      </c>
      <c r="E154">
        <v>8123</v>
      </c>
      <c r="F154">
        <v>8</v>
      </c>
      <c r="G154">
        <v>8</v>
      </c>
      <c r="H154">
        <v>1</v>
      </c>
      <c r="I154">
        <v>0</v>
      </c>
      <c r="J154">
        <v>0.5</v>
      </c>
    </row>
    <row r="155" spans="1:10" x14ac:dyDescent="0.3">
      <c r="A155">
        <v>153</v>
      </c>
      <c r="B155">
        <v>2429</v>
      </c>
      <c r="C155" t="b">
        <v>1</v>
      </c>
      <c r="D155">
        <v>8048</v>
      </c>
      <c r="E155">
        <v>8123</v>
      </c>
      <c r="F155">
        <v>8</v>
      </c>
      <c r="G155">
        <v>8</v>
      </c>
      <c r="H155">
        <v>1</v>
      </c>
      <c r="I155">
        <v>0</v>
      </c>
      <c r="J155">
        <v>0.5</v>
      </c>
    </row>
    <row r="156" spans="1:10" x14ac:dyDescent="0.3">
      <c r="A156">
        <v>154</v>
      </c>
      <c r="B156">
        <v>2445</v>
      </c>
      <c r="C156" t="b">
        <v>1</v>
      </c>
      <c r="D156">
        <v>8048</v>
      </c>
      <c r="E156">
        <v>8123</v>
      </c>
      <c r="F156">
        <v>8</v>
      </c>
      <c r="G156">
        <v>8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2461</v>
      </c>
      <c r="C157" t="b">
        <v>1</v>
      </c>
      <c r="D157">
        <v>8054</v>
      </c>
      <c r="E157">
        <v>8123</v>
      </c>
      <c r="F157">
        <v>8</v>
      </c>
      <c r="G157">
        <v>8</v>
      </c>
      <c r="H157">
        <v>1</v>
      </c>
      <c r="I157">
        <v>0</v>
      </c>
      <c r="J157">
        <v>0.5</v>
      </c>
    </row>
    <row r="158" spans="1:10" x14ac:dyDescent="0.3">
      <c r="A158">
        <v>156</v>
      </c>
      <c r="B158">
        <v>2477</v>
      </c>
      <c r="C158" t="b">
        <v>1</v>
      </c>
      <c r="D158">
        <v>8048</v>
      </c>
      <c r="E158">
        <v>8123</v>
      </c>
      <c r="F158">
        <v>8</v>
      </c>
      <c r="G158">
        <v>8</v>
      </c>
      <c r="H158">
        <v>1</v>
      </c>
      <c r="I158">
        <v>0</v>
      </c>
      <c r="J158">
        <v>0.5</v>
      </c>
    </row>
    <row r="159" spans="1:10" x14ac:dyDescent="0.3">
      <c r="A159">
        <v>157</v>
      </c>
      <c r="B159">
        <v>2493</v>
      </c>
      <c r="C159" t="b">
        <v>1</v>
      </c>
      <c r="D159">
        <v>8048</v>
      </c>
      <c r="E159">
        <v>8117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2509</v>
      </c>
      <c r="C160" t="b">
        <v>1</v>
      </c>
      <c r="D160">
        <v>8048</v>
      </c>
      <c r="E160">
        <v>8111</v>
      </c>
      <c r="F160">
        <v>8</v>
      </c>
      <c r="G160">
        <v>8</v>
      </c>
      <c r="H160">
        <v>1</v>
      </c>
      <c r="I160">
        <v>0</v>
      </c>
      <c r="J160">
        <v>0.5</v>
      </c>
    </row>
    <row r="161" spans="1:10" x14ac:dyDescent="0.3">
      <c r="A161">
        <v>159</v>
      </c>
      <c r="B161">
        <v>2524</v>
      </c>
      <c r="C161" t="b">
        <v>1</v>
      </c>
      <c r="D161">
        <v>8048</v>
      </c>
      <c r="E161">
        <v>8117</v>
      </c>
      <c r="F161">
        <v>8</v>
      </c>
      <c r="G161">
        <v>7.6</v>
      </c>
      <c r="H161">
        <v>1.0526316</v>
      </c>
      <c r="I161">
        <v>-5.2631589999999999E-2</v>
      </c>
      <c r="J161">
        <v>0.48717946000000001</v>
      </c>
    </row>
    <row r="162" spans="1:10" x14ac:dyDescent="0.3">
      <c r="A162">
        <v>160</v>
      </c>
      <c r="B162">
        <v>2540</v>
      </c>
      <c r="C162" t="b">
        <v>1</v>
      </c>
      <c r="D162">
        <v>8048</v>
      </c>
      <c r="E162">
        <v>8117</v>
      </c>
      <c r="F162">
        <v>8</v>
      </c>
      <c r="G162">
        <v>7.2</v>
      </c>
      <c r="H162">
        <v>1.1111112000000001</v>
      </c>
      <c r="I162">
        <v>-0.11111114</v>
      </c>
      <c r="J162">
        <v>0.4736842</v>
      </c>
    </row>
    <row r="163" spans="1:10" x14ac:dyDescent="0.3">
      <c r="A163">
        <v>161</v>
      </c>
      <c r="B163">
        <v>2556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2572</v>
      </c>
      <c r="C164" t="b">
        <v>1</v>
      </c>
      <c r="D164">
        <v>8048</v>
      </c>
      <c r="E164">
        <v>8117</v>
      </c>
      <c r="F164">
        <v>8</v>
      </c>
      <c r="G164">
        <v>6.4</v>
      </c>
      <c r="H164">
        <v>1.25</v>
      </c>
      <c r="I164">
        <v>-0.24999999000000001</v>
      </c>
      <c r="J164">
        <v>0.44444447999999998</v>
      </c>
    </row>
    <row r="165" spans="1:10" x14ac:dyDescent="0.3">
      <c r="A165">
        <v>163</v>
      </c>
      <c r="B165">
        <v>2588</v>
      </c>
      <c r="C165" t="b">
        <v>1</v>
      </c>
      <c r="D165">
        <v>8048</v>
      </c>
      <c r="E165">
        <v>8123</v>
      </c>
      <c r="F165">
        <v>8</v>
      </c>
      <c r="G165">
        <v>6</v>
      </c>
      <c r="H165">
        <v>1.3333333999999999</v>
      </c>
      <c r="I165">
        <v>-0.33333333999999998</v>
      </c>
      <c r="J165">
        <v>0.42857142999999998</v>
      </c>
    </row>
    <row r="166" spans="1:10" x14ac:dyDescent="0.3">
      <c r="A166">
        <v>164</v>
      </c>
      <c r="B166">
        <v>2604</v>
      </c>
      <c r="C166" t="b">
        <v>1</v>
      </c>
      <c r="D166">
        <v>8048</v>
      </c>
      <c r="E166">
        <v>8123</v>
      </c>
      <c r="F166">
        <v>8</v>
      </c>
      <c r="G166">
        <v>5.6</v>
      </c>
      <c r="H166">
        <v>1.4285715000000001</v>
      </c>
      <c r="I166">
        <v>-0.42857146000000002</v>
      </c>
      <c r="J166">
        <v>0.41176467999999999</v>
      </c>
    </row>
    <row r="167" spans="1:10" x14ac:dyDescent="0.3">
      <c r="A167">
        <v>165</v>
      </c>
      <c r="B167">
        <v>2620</v>
      </c>
      <c r="C167" t="b">
        <v>1</v>
      </c>
      <c r="D167">
        <v>8048</v>
      </c>
      <c r="E167">
        <v>8123</v>
      </c>
      <c r="F167">
        <v>8</v>
      </c>
      <c r="G167">
        <v>5.6</v>
      </c>
      <c r="H167">
        <v>1.4285715000000001</v>
      </c>
      <c r="I167">
        <v>-0.42857146000000002</v>
      </c>
      <c r="J167">
        <v>0.41176467999999999</v>
      </c>
    </row>
    <row r="168" spans="1:10" x14ac:dyDescent="0.3">
      <c r="A168">
        <v>166</v>
      </c>
      <c r="B168">
        <v>2636</v>
      </c>
      <c r="C168" t="b">
        <v>1</v>
      </c>
      <c r="D168">
        <v>8048</v>
      </c>
      <c r="E168">
        <v>8117</v>
      </c>
      <c r="F168">
        <v>8</v>
      </c>
      <c r="G168">
        <v>5.6</v>
      </c>
      <c r="H168">
        <v>1.4285715000000001</v>
      </c>
      <c r="I168">
        <v>-0.42857146000000002</v>
      </c>
      <c r="J168">
        <v>0.41176467999999999</v>
      </c>
    </row>
    <row r="169" spans="1:10" x14ac:dyDescent="0.3">
      <c r="A169">
        <v>167</v>
      </c>
      <c r="B169">
        <v>2652</v>
      </c>
      <c r="C169" t="b">
        <v>1</v>
      </c>
      <c r="D169">
        <v>8048</v>
      </c>
      <c r="E169">
        <v>8117</v>
      </c>
      <c r="F169">
        <v>8</v>
      </c>
      <c r="G169">
        <v>5.6</v>
      </c>
      <c r="H169">
        <v>1.4285715000000001</v>
      </c>
      <c r="I169">
        <v>-0.42857146000000002</v>
      </c>
      <c r="J169">
        <v>0.41176467999999999</v>
      </c>
    </row>
    <row r="170" spans="1:10" x14ac:dyDescent="0.3">
      <c r="A170">
        <v>168</v>
      </c>
      <c r="B170">
        <v>2668</v>
      </c>
      <c r="C170" t="b">
        <v>1</v>
      </c>
      <c r="D170">
        <v>8048</v>
      </c>
      <c r="E170">
        <v>8123</v>
      </c>
      <c r="F170">
        <v>8</v>
      </c>
      <c r="G170">
        <v>5.6</v>
      </c>
      <c r="H170">
        <v>1.4285715000000001</v>
      </c>
      <c r="I170">
        <v>-0.42857146000000002</v>
      </c>
      <c r="J170">
        <v>0.41176467999999999</v>
      </c>
    </row>
    <row r="171" spans="1:10" x14ac:dyDescent="0.3">
      <c r="A171">
        <v>169</v>
      </c>
      <c r="B171">
        <v>2684</v>
      </c>
      <c r="C171" t="b">
        <v>1</v>
      </c>
      <c r="D171">
        <v>8048</v>
      </c>
      <c r="E171">
        <v>8123</v>
      </c>
      <c r="F171">
        <v>8</v>
      </c>
      <c r="G171">
        <v>5.6</v>
      </c>
      <c r="H171">
        <v>1.4285715000000001</v>
      </c>
      <c r="I171">
        <v>-0.42857146000000002</v>
      </c>
      <c r="J171">
        <v>0.41176467999999999</v>
      </c>
    </row>
    <row r="172" spans="1:10" x14ac:dyDescent="0.3">
      <c r="A172">
        <v>170</v>
      </c>
      <c r="B172">
        <v>2700</v>
      </c>
      <c r="C172" t="b">
        <v>1</v>
      </c>
      <c r="D172">
        <v>8042</v>
      </c>
      <c r="E172">
        <v>8123</v>
      </c>
      <c r="F172">
        <v>8</v>
      </c>
      <c r="G172">
        <v>5.6</v>
      </c>
      <c r="H172">
        <v>1.4285715000000001</v>
      </c>
      <c r="I172">
        <v>-0.42857146000000002</v>
      </c>
      <c r="J172">
        <v>0.41176467999999999</v>
      </c>
    </row>
    <row r="173" spans="1:10" x14ac:dyDescent="0.3">
      <c r="A173">
        <v>171</v>
      </c>
      <c r="B173">
        <v>2716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2732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2748</v>
      </c>
      <c r="C175" t="b">
        <v>1</v>
      </c>
      <c r="D175">
        <v>8048</v>
      </c>
      <c r="E175">
        <v>8123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2763</v>
      </c>
      <c r="C176" t="b">
        <v>1</v>
      </c>
      <c r="D176">
        <v>8048</v>
      </c>
      <c r="E176">
        <v>8123</v>
      </c>
      <c r="F176">
        <v>8</v>
      </c>
      <c r="G176">
        <v>6</v>
      </c>
      <c r="H176">
        <v>1.3333333999999999</v>
      </c>
      <c r="I176">
        <v>-0.33333333999999998</v>
      </c>
      <c r="J176">
        <v>0.42857142999999998</v>
      </c>
    </row>
    <row r="177" spans="1:10" x14ac:dyDescent="0.3">
      <c r="A177">
        <v>175</v>
      </c>
      <c r="B177">
        <v>2779</v>
      </c>
      <c r="C177" t="b">
        <v>1</v>
      </c>
      <c r="D177">
        <v>8048</v>
      </c>
      <c r="E177">
        <v>8123</v>
      </c>
      <c r="F177">
        <v>8</v>
      </c>
      <c r="G177">
        <v>6.4</v>
      </c>
      <c r="H177">
        <v>1.25</v>
      </c>
      <c r="I177">
        <v>-0.24999999000000001</v>
      </c>
      <c r="J177">
        <v>0.44444447999999998</v>
      </c>
    </row>
    <row r="178" spans="1:10" x14ac:dyDescent="0.3">
      <c r="A178">
        <v>176</v>
      </c>
      <c r="B178">
        <v>2795</v>
      </c>
      <c r="C178" t="b">
        <v>1</v>
      </c>
      <c r="D178">
        <v>8048</v>
      </c>
      <c r="E178">
        <v>8117</v>
      </c>
      <c r="F178">
        <v>8</v>
      </c>
      <c r="G178">
        <v>6.8</v>
      </c>
      <c r="H178">
        <v>1.1764705</v>
      </c>
      <c r="I178">
        <v>-0.17647055</v>
      </c>
      <c r="J178">
        <v>0.45945944999999999</v>
      </c>
    </row>
    <row r="179" spans="1:10" x14ac:dyDescent="0.3">
      <c r="A179">
        <v>177</v>
      </c>
      <c r="B179">
        <v>2811</v>
      </c>
      <c r="C179" t="b">
        <v>1</v>
      </c>
      <c r="D179">
        <v>8048</v>
      </c>
      <c r="E179">
        <v>8117</v>
      </c>
      <c r="F179">
        <v>8</v>
      </c>
      <c r="G179">
        <v>7.2</v>
      </c>
      <c r="H179">
        <v>1.1111112000000001</v>
      </c>
      <c r="I179">
        <v>-0.11111114</v>
      </c>
      <c r="J179">
        <v>0.4736842</v>
      </c>
    </row>
    <row r="180" spans="1:10" x14ac:dyDescent="0.3">
      <c r="A180">
        <v>178</v>
      </c>
      <c r="B180">
        <v>2827</v>
      </c>
      <c r="C180" t="b">
        <v>1</v>
      </c>
      <c r="D180">
        <v>8048</v>
      </c>
      <c r="E180">
        <v>8123</v>
      </c>
      <c r="F180">
        <v>8</v>
      </c>
      <c r="G180">
        <v>7.6</v>
      </c>
      <c r="H180">
        <v>1.0526316</v>
      </c>
      <c r="I180">
        <v>-5.2631589999999999E-2</v>
      </c>
      <c r="J180">
        <v>0.48717946000000001</v>
      </c>
    </row>
    <row r="181" spans="1:10" x14ac:dyDescent="0.3">
      <c r="A181">
        <v>179</v>
      </c>
      <c r="B181">
        <v>2843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2859</v>
      </c>
      <c r="C182" t="b">
        <v>1</v>
      </c>
      <c r="D182">
        <v>8054</v>
      </c>
      <c r="E182">
        <v>8117</v>
      </c>
      <c r="F182">
        <v>8</v>
      </c>
      <c r="G182">
        <v>7.6</v>
      </c>
      <c r="H182">
        <v>1.0526316</v>
      </c>
      <c r="I182">
        <v>-5.2631589999999999E-2</v>
      </c>
      <c r="J182">
        <v>0.48717946000000001</v>
      </c>
    </row>
    <row r="183" spans="1:10" x14ac:dyDescent="0.3">
      <c r="A183">
        <v>181</v>
      </c>
      <c r="B183">
        <v>2875</v>
      </c>
      <c r="C183" t="b">
        <v>1</v>
      </c>
      <c r="D183">
        <v>8048</v>
      </c>
      <c r="E183">
        <v>8123</v>
      </c>
      <c r="F183">
        <v>8</v>
      </c>
      <c r="G183">
        <v>7.6</v>
      </c>
      <c r="H183">
        <v>1.0526316</v>
      </c>
      <c r="I183">
        <v>-5.2631589999999999E-2</v>
      </c>
      <c r="J183">
        <v>0.48717946000000001</v>
      </c>
    </row>
    <row r="184" spans="1:10" x14ac:dyDescent="0.3">
      <c r="A184">
        <v>182</v>
      </c>
      <c r="B184">
        <v>2891</v>
      </c>
      <c r="C184" t="b">
        <v>1</v>
      </c>
      <c r="D184">
        <v>8042</v>
      </c>
      <c r="E184">
        <v>8123</v>
      </c>
      <c r="F184">
        <v>8</v>
      </c>
      <c r="G184">
        <v>7.6</v>
      </c>
      <c r="H184">
        <v>1.0526316</v>
      </c>
      <c r="I184">
        <v>-5.2631589999999999E-2</v>
      </c>
      <c r="J184">
        <v>0.48717946000000001</v>
      </c>
    </row>
    <row r="185" spans="1:10" x14ac:dyDescent="0.3">
      <c r="A185">
        <v>183</v>
      </c>
      <c r="B185">
        <v>2906</v>
      </c>
      <c r="C185" t="b">
        <v>1</v>
      </c>
      <c r="D185">
        <v>8054</v>
      </c>
      <c r="E185">
        <v>8117</v>
      </c>
      <c r="F185">
        <v>8</v>
      </c>
      <c r="G185">
        <v>7.6</v>
      </c>
      <c r="H185">
        <v>1.0526316</v>
      </c>
      <c r="I185">
        <v>-5.2631589999999999E-2</v>
      </c>
      <c r="J185">
        <v>0.48717946000000001</v>
      </c>
    </row>
    <row r="186" spans="1:10" x14ac:dyDescent="0.3">
      <c r="A186">
        <v>184</v>
      </c>
      <c r="B186">
        <v>2922</v>
      </c>
      <c r="C186" t="b">
        <v>1</v>
      </c>
      <c r="D186">
        <v>8054</v>
      </c>
      <c r="E186">
        <v>8123</v>
      </c>
      <c r="F186">
        <v>8.4</v>
      </c>
      <c r="G186">
        <v>7.6</v>
      </c>
      <c r="H186">
        <v>1.1052630999999999</v>
      </c>
      <c r="I186">
        <v>-0.10526312</v>
      </c>
      <c r="J186">
        <v>0.47499999999999998</v>
      </c>
    </row>
    <row r="187" spans="1:10" x14ac:dyDescent="0.3">
      <c r="A187">
        <v>185</v>
      </c>
      <c r="B187">
        <v>2938</v>
      </c>
      <c r="C187" t="b">
        <v>1</v>
      </c>
      <c r="D187">
        <v>8054</v>
      </c>
      <c r="E187">
        <v>8123</v>
      </c>
      <c r="F187">
        <v>8.8000000000000007</v>
      </c>
      <c r="G187">
        <v>7.6</v>
      </c>
      <c r="H187">
        <v>1.1578946999999999</v>
      </c>
      <c r="I187">
        <v>-0.15789478000000001</v>
      </c>
      <c r="J187">
        <v>0.46341463999999999</v>
      </c>
    </row>
    <row r="188" spans="1:10" x14ac:dyDescent="0.3">
      <c r="A188">
        <v>186</v>
      </c>
      <c r="B188">
        <v>2953</v>
      </c>
      <c r="C188" t="b">
        <v>1</v>
      </c>
      <c r="D188">
        <v>8054</v>
      </c>
      <c r="E188">
        <v>8123</v>
      </c>
      <c r="F188">
        <v>9.1999999999999993</v>
      </c>
      <c r="G188">
        <v>7.6</v>
      </c>
      <c r="H188">
        <v>1.2105262999999999</v>
      </c>
      <c r="I188">
        <v>-0.2105263</v>
      </c>
      <c r="J188">
        <v>0.45238096</v>
      </c>
    </row>
    <row r="189" spans="1:10" x14ac:dyDescent="0.3">
      <c r="A189">
        <v>187</v>
      </c>
      <c r="B189">
        <v>2969</v>
      </c>
      <c r="C189" t="b">
        <v>1</v>
      </c>
      <c r="D189">
        <v>8048</v>
      </c>
      <c r="E189">
        <v>8123</v>
      </c>
      <c r="F189">
        <v>9.6</v>
      </c>
      <c r="G189">
        <v>7.6</v>
      </c>
      <c r="H189">
        <v>1.263158</v>
      </c>
      <c r="I189">
        <v>-0.26315796000000002</v>
      </c>
      <c r="J189">
        <v>0.44186044000000002</v>
      </c>
    </row>
    <row r="190" spans="1:10" x14ac:dyDescent="0.3">
      <c r="A190">
        <v>188</v>
      </c>
      <c r="B190">
        <v>2985</v>
      </c>
      <c r="C190" t="b">
        <v>1</v>
      </c>
      <c r="D190">
        <v>8054</v>
      </c>
      <c r="E190">
        <v>8123</v>
      </c>
      <c r="F190">
        <v>10</v>
      </c>
      <c r="G190">
        <v>7.6</v>
      </c>
      <c r="H190">
        <v>1.3157894999999999</v>
      </c>
      <c r="I190">
        <v>-0.3157895</v>
      </c>
      <c r="J190">
        <v>0.43181816000000001</v>
      </c>
    </row>
    <row r="191" spans="1:10" x14ac:dyDescent="0.3">
      <c r="A191">
        <v>189</v>
      </c>
      <c r="B191">
        <v>3001</v>
      </c>
      <c r="C191" t="b">
        <v>1</v>
      </c>
      <c r="D191">
        <v>8048</v>
      </c>
      <c r="E191">
        <v>8123</v>
      </c>
      <c r="F191">
        <v>10.4</v>
      </c>
      <c r="G191">
        <v>7.6</v>
      </c>
      <c r="H191">
        <v>1.3684210999999999</v>
      </c>
      <c r="I191">
        <v>-0.36842101999999999</v>
      </c>
      <c r="J191">
        <v>0.42222222999999998</v>
      </c>
    </row>
    <row r="192" spans="1:10" x14ac:dyDescent="0.3">
      <c r="A192">
        <v>190</v>
      </c>
      <c r="B192">
        <v>3017</v>
      </c>
      <c r="C192" t="b">
        <v>1</v>
      </c>
      <c r="D192">
        <v>8048</v>
      </c>
      <c r="E192">
        <v>8123</v>
      </c>
      <c r="F192">
        <v>10.4</v>
      </c>
      <c r="G192">
        <v>7.6</v>
      </c>
      <c r="H192">
        <v>1.3684210999999999</v>
      </c>
      <c r="I192">
        <v>-0.36842101999999999</v>
      </c>
      <c r="J192">
        <v>0.42222222999999998</v>
      </c>
    </row>
    <row r="193" spans="1:10" x14ac:dyDescent="0.3">
      <c r="A193">
        <v>191</v>
      </c>
      <c r="B193">
        <v>3033</v>
      </c>
      <c r="C193" t="b">
        <v>1</v>
      </c>
      <c r="D193">
        <v>8048</v>
      </c>
      <c r="E193">
        <v>8123</v>
      </c>
      <c r="F193">
        <v>10.4</v>
      </c>
      <c r="G193">
        <v>7.6</v>
      </c>
      <c r="H193">
        <v>1.3684210999999999</v>
      </c>
      <c r="I193">
        <v>-0.36842101999999999</v>
      </c>
      <c r="J193">
        <v>0.42222222999999998</v>
      </c>
    </row>
    <row r="194" spans="1:10" x14ac:dyDescent="0.3">
      <c r="A194">
        <v>192</v>
      </c>
      <c r="B194">
        <v>3049</v>
      </c>
      <c r="C194" t="b">
        <v>1</v>
      </c>
      <c r="D194">
        <v>8048</v>
      </c>
      <c r="E194">
        <v>8123</v>
      </c>
      <c r="F194">
        <v>10.4</v>
      </c>
      <c r="G194">
        <v>7.6</v>
      </c>
      <c r="H194">
        <v>1.3684210999999999</v>
      </c>
      <c r="I194">
        <v>-0.36842101999999999</v>
      </c>
      <c r="J194">
        <v>0.42222222999999998</v>
      </c>
    </row>
    <row r="195" spans="1:10" x14ac:dyDescent="0.3">
      <c r="A195">
        <v>193</v>
      </c>
      <c r="B195">
        <v>3065</v>
      </c>
      <c r="C195" t="b">
        <v>1</v>
      </c>
      <c r="D195">
        <v>8048</v>
      </c>
      <c r="E195">
        <v>8123</v>
      </c>
      <c r="F195">
        <v>10.4</v>
      </c>
      <c r="G195">
        <v>7.6</v>
      </c>
      <c r="H195">
        <v>1.3684210999999999</v>
      </c>
      <c r="I195">
        <v>-0.36842101999999999</v>
      </c>
      <c r="J195">
        <v>0.42222222999999998</v>
      </c>
    </row>
    <row r="196" spans="1:10" x14ac:dyDescent="0.3">
      <c r="A196">
        <v>194</v>
      </c>
      <c r="B196">
        <v>3081</v>
      </c>
      <c r="C196" t="b">
        <v>1</v>
      </c>
      <c r="D196">
        <v>8048</v>
      </c>
      <c r="E196">
        <v>8117</v>
      </c>
      <c r="F196">
        <v>10.4</v>
      </c>
      <c r="G196">
        <v>7.6</v>
      </c>
      <c r="H196">
        <v>1.3684210999999999</v>
      </c>
      <c r="I196">
        <v>-0.36842101999999999</v>
      </c>
      <c r="J196">
        <v>0.42222222999999998</v>
      </c>
    </row>
    <row r="197" spans="1:10" x14ac:dyDescent="0.3">
      <c r="A197">
        <v>195</v>
      </c>
      <c r="B197">
        <v>3097</v>
      </c>
      <c r="C197" t="b">
        <v>1</v>
      </c>
      <c r="D197">
        <v>8054</v>
      </c>
      <c r="E197">
        <v>8117</v>
      </c>
      <c r="F197">
        <v>10.4</v>
      </c>
      <c r="G197">
        <v>8</v>
      </c>
      <c r="H197">
        <v>1.3</v>
      </c>
      <c r="I197">
        <v>-0.29999995000000002</v>
      </c>
      <c r="J197">
        <v>0.43478262000000001</v>
      </c>
    </row>
    <row r="198" spans="1:10" x14ac:dyDescent="0.3">
      <c r="A198">
        <v>196</v>
      </c>
      <c r="B198">
        <v>3113</v>
      </c>
      <c r="C198" t="b">
        <v>1</v>
      </c>
      <c r="D198">
        <v>8060</v>
      </c>
      <c r="E198">
        <v>8117</v>
      </c>
      <c r="F198">
        <v>10.4</v>
      </c>
      <c r="G198">
        <v>7.6</v>
      </c>
      <c r="H198">
        <v>1.3684210999999999</v>
      </c>
      <c r="I198">
        <v>-0.36842101999999999</v>
      </c>
      <c r="J198">
        <v>0.42222222999999998</v>
      </c>
    </row>
    <row r="199" spans="1:10" x14ac:dyDescent="0.3">
      <c r="A199">
        <v>197</v>
      </c>
      <c r="B199">
        <v>3129</v>
      </c>
      <c r="C199" t="b">
        <v>1</v>
      </c>
      <c r="D199">
        <v>8060</v>
      </c>
      <c r="E199">
        <v>8111</v>
      </c>
      <c r="F199">
        <v>10.8</v>
      </c>
      <c r="G199">
        <v>7.2</v>
      </c>
      <c r="H199">
        <v>1.5000001000000001</v>
      </c>
      <c r="I199">
        <v>-0.50000005999999997</v>
      </c>
      <c r="J199">
        <v>0.39999997999999998</v>
      </c>
    </row>
    <row r="200" spans="1:10" x14ac:dyDescent="0.3">
      <c r="A200">
        <v>198</v>
      </c>
      <c r="B200">
        <v>3145</v>
      </c>
      <c r="C200" t="b">
        <v>1</v>
      </c>
      <c r="D200">
        <v>8054</v>
      </c>
      <c r="E200">
        <v>8111</v>
      </c>
      <c r="F200">
        <v>11.2</v>
      </c>
      <c r="G200">
        <v>6.8</v>
      </c>
      <c r="H200">
        <v>1.6470587000000001</v>
      </c>
      <c r="I200">
        <v>-0.64705869999999999</v>
      </c>
      <c r="J200">
        <v>0.37777779</v>
      </c>
    </row>
    <row r="201" spans="1:10" x14ac:dyDescent="0.3">
      <c r="A201">
        <v>199</v>
      </c>
      <c r="B201">
        <v>3161</v>
      </c>
      <c r="C201" t="b">
        <v>1</v>
      </c>
      <c r="D201">
        <v>8054</v>
      </c>
      <c r="E201">
        <v>8117</v>
      </c>
      <c r="F201">
        <v>11.2</v>
      </c>
      <c r="G201">
        <v>6.4</v>
      </c>
      <c r="H201">
        <v>1.75</v>
      </c>
      <c r="I201">
        <v>-0.74999994000000003</v>
      </c>
      <c r="J201">
        <v>0.36363636999999999</v>
      </c>
    </row>
    <row r="202" spans="1:10" x14ac:dyDescent="0.3">
      <c r="A202">
        <v>200</v>
      </c>
      <c r="B202">
        <v>3177</v>
      </c>
      <c r="C202" t="b">
        <v>1</v>
      </c>
      <c r="D202">
        <v>8054</v>
      </c>
      <c r="E202">
        <v>8123</v>
      </c>
      <c r="F202">
        <v>11.2</v>
      </c>
      <c r="G202">
        <v>6</v>
      </c>
      <c r="H202">
        <v>1.8666666999999999</v>
      </c>
      <c r="I202">
        <v>-0.86666659999999995</v>
      </c>
      <c r="J202">
        <v>0.34883720000000001</v>
      </c>
    </row>
    <row r="203" spans="1:10" x14ac:dyDescent="0.3">
      <c r="A203">
        <v>201</v>
      </c>
      <c r="B203">
        <v>3193</v>
      </c>
      <c r="C203" t="b">
        <v>1</v>
      </c>
      <c r="D203">
        <v>8054</v>
      </c>
      <c r="E203">
        <v>8123</v>
      </c>
      <c r="F203">
        <v>11.2</v>
      </c>
      <c r="G203">
        <v>5.6</v>
      </c>
      <c r="H203">
        <v>2</v>
      </c>
      <c r="I203">
        <v>-1</v>
      </c>
      <c r="J203">
        <v>0.33333333999999998</v>
      </c>
    </row>
    <row r="204" spans="1:10" x14ac:dyDescent="0.3">
      <c r="A204">
        <v>202</v>
      </c>
      <c r="B204">
        <v>3209</v>
      </c>
      <c r="C204" t="b">
        <v>1</v>
      </c>
      <c r="D204">
        <v>8048</v>
      </c>
      <c r="E204">
        <v>8123</v>
      </c>
      <c r="F204">
        <v>11.2</v>
      </c>
      <c r="G204">
        <v>5.6</v>
      </c>
      <c r="H204">
        <v>2</v>
      </c>
      <c r="I204">
        <v>-1</v>
      </c>
      <c r="J204">
        <v>0.33333333999999998</v>
      </c>
    </row>
    <row r="205" spans="1:10" x14ac:dyDescent="0.3">
      <c r="A205">
        <v>203</v>
      </c>
      <c r="B205">
        <v>3224</v>
      </c>
      <c r="C205" t="b">
        <v>1</v>
      </c>
      <c r="D205">
        <v>8048</v>
      </c>
      <c r="E205">
        <v>8123</v>
      </c>
      <c r="F205">
        <v>11.2</v>
      </c>
      <c r="G205">
        <v>5.6</v>
      </c>
      <c r="H205">
        <v>2</v>
      </c>
      <c r="I205">
        <v>-1</v>
      </c>
      <c r="J205">
        <v>0.33333333999999998</v>
      </c>
    </row>
    <row r="206" spans="1:10" x14ac:dyDescent="0.3">
      <c r="A206">
        <v>204</v>
      </c>
      <c r="B206">
        <v>3240</v>
      </c>
      <c r="C206" t="b">
        <v>1</v>
      </c>
      <c r="D206">
        <v>8048</v>
      </c>
      <c r="E206">
        <v>8123</v>
      </c>
      <c r="F206">
        <v>10.8</v>
      </c>
      <c r="G206">
        <v>5.6</v>
      </c>
      <c r="H206">
        <v>1.9285715000000001</v>
      </c>
      <c r="I206">
        <v>-0.92857149999999999</v>
      </c>
      <c r="J206">
        <v>0.34146342000000002</v>
      </c>
    </row>
    <row r="207" spans="1:10" x14ac:dyDescent="0.3">
      <c r="A207">
        <v>205</v>
      </c>
      <c r="B207">
        <v>3256</v>
      </c>
      <c r="C207" t="b">
        <v>1</v>
      </c>
      <c r="D207">
        <v>8048</v>
      </c>
      <c r="E207">
        <v>8123</v>
      </c>
      <c r="F207">
        <v>10.8</v>
      </c>
      <c r="G207">
        <v>5.6</v>
      </c>
      <c r="H207">
        <v>1.9285715000000001</v>
      </c>
      <c r="I207">
        <v>-0.92857149999999999</v>
      </c>
      <c r="J207">
        <v>0.34146342000000002</v>
      </c>
    </row>
    <row r="208" spans="1:10" x14ac:dyDescent="0.3">
      <c r="A208">
        <v>206</v>
      </c>
      <c r="B208">
        <v>3272</v>
      </c>
      <c r="C208" t="b">
        <v>1</v>
      </c>
      <c r="D208">
        <v>8048</v>
      </c>
      <c r="E208">
        <v>8123</v>
      </c>
      <c r="F208">
        <v>10.8</v>
      </c>
      <c r="G208">
        <v>5.6</v>
      </c>
      <c r="H208">
        <v>1.9285715000000001</v>
      </c>
      <c r="I208">
        <v>-0.92857149999999999</v>
      </c>
      <c r="J208">
        <v>0.34146342000000002</v>
      </c>
    </row>
    <row r="209" spans="1:10" x14ac:dyDescent="0.3">
      <c r="A209">
        <v>207</v>
      </c>
      <c r="B209">
        <v>3288</v>
      </c>
      <c r="C209" t="b">
        <v>1</v>
      </c>
      <c r="D209">
        <v>8048</v>
      </c>
      <c r="E209">
        <v>8123</v>
      </c>
      <c r="F209">
        <v>10.8</v>
      </c>
      <c r="G209">
        <v>5.6</v>
      </c>
      <c r="H209">
        <v>1.9285715000000001</v>
      </c>
      <c r="I209">
        <v>-0.92857149999999999</v>
      </c>
      <c r="J209">
        <v>0.34146342000000002</v>
      </c>
    </row>
    <row r="210" spans="1:10" x14ac:dyDescent="0.3">
      <c r="A210">
        <v>208</v>
      </c>
      <c r="B210">
        <v>3304</v>
      </c>
      <c r="C210" t="b">
        <v>1</v>
      </c>
      <c r="D210">
        <v>8054</v>
      </c>
      <c r="E210">
        <v>8123</v>
      </c>
      <c r="F210">
        <v>10.8</v>
      </c>
      <c r="G210">
        <v>5.6</v>
      </c>
      <c r="H210">
        <v>1.9285715000000001</v>
      </c>
      <c r="I210">
        <v>-0.92857149999999999</v>
      </c>
      <c r="J210">
        <v>0.34146342000000002</v>
      </c>
    </row>
    <row r="211" spans="1:10" x14ac:dyDescent="0.3">
      <c r="A211">
        <v>209</v>
      </c>
      <c r="B211">
        <v>3320</v>
      </c>
      <c r="C211" t="b">
        <v>1</v>
      </c>
      <c r="D211">
        <v>8054</v>
      </c>
      <c r="E211">
        <v>8123</v>
      </c>
      <c r="F211">
        <v>10.8</v>
      </c>
      <c r="G211">
        <v>5.6</v>
      </c>
      <c r="H211">
        <v>1.9285715000000001</v>
      </c>
      <c r="I211">
        <v>-0.92857149999999999</v>
      </c>
      <c r="J211">
        <v>0.34146342000000002</v>
      </c>
    </row>
    <row r="212" spans="1:10" x14ac:dyDescent="0.3">
      <c r="A212">
        <v>210</v>
      </c>
      <c r="B212">
        <v>3336</v>
      </c>
      <c r="C212" t="b">
        <v>1</v>
      </c>
      <c r="D212">
        <v>8048</v>
      </c>
      <c r="E212">
        <v>8123</v>
      </c>
      <c r="F212">
        <v>10.8</v>
      </c>
      <c r="G212">
        <v>5.6</v>
      </c>
      <c r="H212">
        <v>1.9285715000000001</v>
      </c>
      <c r="I212">
        <v>-0.92857149999999999</v>
      </c>
      <c r="J212">
        <v>0.34146342000000002</v>
      </c>
    </row>
    <row r="213" spans="1:10" x14ac:dyDescent="0.3">
      <c r="A213">
        <v>211</v>
      </c>
      <c r="B213">
        <v>3352</v>
      </c>
      <c r="C213" t="b">
        <v>1</v>
      </c>
      <c r="D213">
        <v>8054</v>
      </c>
      <c r="E213">
        <v>8123</v>
      </c>
      <c r="F213">
        <v>11.2</v>
      </c>
      <c r="G213">
        <v>6</v>
      </c>
      <c r="H213">
        <v>1.8666666999999999</v>
      </c>
      <c r="I213">
        <v>-0.86666659999999995</v>
      </c>
      <c r="J213">
        <v>0.34883720000000001</v>
      </c>
    </row>
    <row r="214" spans="1:10" x14ac:dyDescent="0.3">
      <c r="A214">
        <v>212</v>
      </c>
      <c r="B214">
        <v>3368</v>
      </c>
      <c r="C214" t="b">
        <v>1</v>
      </c>
      <c r="D214">
        <v>8054</v>
      </c>
      <c r="E214">
        <v>8123</v>
      </c>
      <c r="F214">
        <v>11.2</v>
      </c>
      <c r="G214">
        <v>6.4</v>
      </c>
      <c r="H214">
        <v>1.75</v>
      </c>
      <c r="I214">
        <v>-0.74999994000000003</v>
      </c>
      <c r="J214">
        <v>0.36363636999999999</v>
      </c>
    </row>
    <row r="215" spans="1:10" x14ac:dyDescent="0.3">
      <c r="A215">
        <v>213</v>
      </c>
      <c r="B215">
        <v>3384</v>
      </c>
      <c r="C215" t="b">
        <v>1</v>
      </c>
      <c r="D215">
        <v>8048</v>
      </c>
      <c r="E215">
        <v>8123</v>
      </c>
      <c r="F215">
        <v>11.2</v>
      </c>
      <c r="G215">
        <v>6.8</v>
      </c>
      <c r="H215">
        <v>1.6470587000000001</v>
      </c>
      <c r="I215">
        <v>-0.64705869999999999</v>
      </c>
      <c r="J215">
        <v>0.37777779</v>
      </c>
    </row>
    <row r="216" spans="1:10" x14ac:dyDescent="0.3">
      <c r="A216">
        <v>214</v>
      </c>
      <c r="B216">
        <v>3400</v>
      </c>
      <c r="C216" t="b">
        <v>1</v>
      </c>
      <c r="D216">
        <v>8048</v>
      </c>
      <c r="E216">
        <v>8129</v>
      </c>
      <c r="F216">
        <v>10.8</v>
      </c>
      <c r="G216">
        <v>7.2</v>
      </c>
      <c r="H216">
        <v>1.5000001000000001</v>
      </c>
      <c r="I216">
        <v>-0.50000005999999997</v>
      </c>
      <c r="J216">
        <v>0.39999997999999998</v>
      </c>
    </row>
    <row r="217" spans="1:10" x14ac:dyDescent="0.3">
      <c r="A217">
        <v>215</v>
      </c>
      <c r="B217">
        <v>3416</v>
      </c>
      <c r="C217" t="b">
        <v>1</v>
      </c>
      <c r="D217">
        <v>8048</v>
      </c>
      <c r="E217">
        <v>8123</v>
      </c>
      <c r="F217">
        <v>10.4</v>
      </c>
      <c r="G217">
        <v>7.6</v>
      </c>
      <c r="H217">
        <v>1.3684210999999999</v>
      </c>
      <c r="I217">
        <v>-0.36842101999999999</v>
      </c>
      <c r="J217">
        <v>0.42222222999999998</v>
      </c>
    </row>
    <row r="218" spans="1:10" x14ac:dyDescent="0.3">
      <c r="A218">
        <v>216</v>
      </c>
      <c r="B218">
        <v>3432</v>
      </c>
      <c r="C218" t="b">
        <v>1</v>
      </c>
      <c r="D218">
        <v>8042</v>
      </c>
      <c r="E218">
        <v>8123</v>
      </c>
      <c r="F218">
        <v>10</v>
      </c>
      <c r="G218">
        <v>8</v>
      </c>
      <c r="H218">
        <v>1.25</v>
      </c>
      <c r="I218">
        <v>-0.25</v>
      </c>
      <c r="J218">
        <v>0.44444444999999999</v>
      </c>
    </row>
    <row r="219" spans="1:10" x14ac:dyDescent="0.3">
      <c r="A219">
        <v>217</v>
      </c>
      <c r="B219">
        <v>3448</v>
      </c>
      <c r="C219" t="b">
        <v>1</v>
      </c>
      <c r="D219">
        <v>8048</v>
      </c>
      <c r="E219">
        <v>8123</v>
      </c>
      <c r="F219">
        <v>9.6</v>
      </c>
      <c r="G219">
        <v>8</v>
      </c>
      <c r="H219">
        <v>1.2</v>
      </c>
      <c r="I219">
        <v>-0.20000005000000001</v>
      </c>
      <c r="J219">
        <v>0.45454544000000002</v>
      </c>
    </row>
    <row r="220" spans="1:10" x14ac:dyDescent="0.3">
      <c r="A220">
        <v>218</v>
      </c>
      <c r="B220">
        <v>3464</v>
      </c>
      <c r="C220" t="b">
        <v>1</v>
      </c>
      <c r="D220">
        <v>8048</v>
      </c>
      <c r="E220">
        <v>8123</v>
      </c>
      <c r="F220">
        <v>9.1999999999999993</v>
      </c>
      <c r="G220">
        <v>8</v>
      </c>
      <c r="H220">
        <v>1.1499999999999999</v>
      </c>
      <c r="I220">
        <v>-0.14999998</v>
      </c>
      <c r="J220">
        <v>0.46511626</v>
      </c>
    </row>
    <row r="221" spans="1:10" x14ac:dyDescent="0.3">
      <c r="A221">
        <v>219</v>
      </c>
      <c r="B221">
        <v>3480</v>
      </c>
      <c r="C221" t="b">
        <v>1</v>
      </c>
      <c r="D221">
        <v>8048</v>
      </c>
      <c r="E221">
        <v>8117</v>
      </c>
      <c r="F221">
        <v>9.1999999999999993</v>
      </c>
      <c r="G221">
        <v>8</v>
      </c>
      <c r="H221">
        <v>1.1499999999999999</v>
      </c>
      <c r="I221">
        <v>-0.14999998</v>
      </c>
      <c r="J221">
        <v>0.46511626</v>
      </c>
    </row>
    <row r="222" spans="1:10" x14ac:dyDescent="0.3">
      <c r="A222">
        <v>220</v>
      </c>
      <c r="B222">
        <v>3495</v>
      </c>
      <c r="C222" t="b">
        <v>1</v>
      </c>
      <c r="D222">
        <v>8048</v>
      </c>
      <c r="E222">
        <v>8117</v>
      </c>
      <c r="F222">
        <v>9.1999999999999993</v>
      </c>
      <c r="G222">
        <v>8</v>
      </c>
      <c r="H222">
        <v>1.1499999999999999</v>
      </c>
      <c r="I222">
        <v>-0.14999998</v>
      </c>
      <c r="J222">
        <v>0.46511626</v>
      </c>
    </row>
    <row r="223" spans="1:10" x14ac:dyDescent="0.3">
      <c r="A223">
        <v>221</v>
      </c>
      <c r="B223">
        <v>3511</v>
      </c>
      <c r="C223" t="b">
        <v>1</v>
      </c>
      <c r="D223">
        <v>8048</v>
      </c>
      <c r="E223">
        <v>8123</v>
      </c>
      <c r="F223">
        <v>9.1999999999999993</v>
      </c>
      <c r="G223">
        <v>8</v>
      </c>
      <c r="H223">
        <v>1.1499999999999999</v>
      </c>
      <c r="I223">
        <v>-0.14999998</v>
      </c>
      <c r="J223">
        <v>0.46511626</v>
      </c>
    </row>
    <row r="224" spans="1:10" x14ac:dyDescent="0.3">
      <c r="A224">
        <v>222</v>
      </c>
      <c r="B224">
        <v>3527</v>
      </c>
      <c r="C224" t="b">
        <v>1</v>
      </c>
      <c r="D224">
        <v>8054</v>
      </c>
      <c r="E224">
        <v>8123</v>
      </c>
      <c r="F224">
        <v>9.1999999999999993</v>
      </c>
      <c r="G224">
        <v>8</v>
      </c>
      <c r="H224">
        <v>1.1499999999999999</v>
      </c>
      <c r="I224">
        <v>-0.14999998</v>
      </c>
      <c r="J224">
        <v>0.46511626</v>
      </c>
    </row>
    <row r="225" spans="1:10" x14ac:dyDescent="0.3">
      <c r="A225">
        <v>223</v>
      </c>
      <c r="B225">
        <v>3543</v>
      </c>
      <c r="C225" t="b">
        <v>1</v>
      </c>
      <c r="D225">
        <v>8054</v>
      </c>
      <c r="E225">
        <v>8123</v>
      </c>
      <c r="F225">
        <v>9.1999999999999993</v>
      </c>
      <c r="G225">
        <v>8</v>
      </c>
      <c r="H225">
        <v>1.1499999999999999</v>
      </c>
      <c r="I225">
        <v>-0.14999998</v>
      </c>
      <c r="J225">
        <v>0.46511626</v>
      </c>
    </row>
    <row r="226" spans="1:10" x14ac:dyDescent="0.3">
      <c r="A226">
        <v>224</v>
      </c>
      <c r="B226">
        <v>3559</v>
      </c>
      <c r="C226" t="b">
        <v>1</v>
      </c>
      <c r="D226">
        <v>8048</v>
      </c>
      <c r="E226">
        <v>8123</v>
      </c>
      <c r="F226">
        <v>9.1999999999999993</v>
      </c>
      <c r="G226">
        <v>8</v>
      </c>
      <c r="H226">
        <v>1.1499999999999999</v>
      </c>
      <c r="I226">
        <v>-0.14999998</v>
      </c>
      <c r="J226">
        <v>0.46511626</v>
      </c>
    </row>
    <row r="227" spans="1:10" x14ac:dyDescent="0.3">
      <c r="A227">
        <v>225</v>
      </c>
      <c r="B227">
        <v>3575</v>
      </c>
      <c r="C227" t="b">
        <v>1</v>
      </c>
      <c r="D227">
        <v>8048</v>
      </c>
      <c r="E227">
        <v>8117</v>
      </c>
      <c r="F227">
        <v>9.1999999999999993</v>
      </c>
      <c r="G227">
        <v>8</v>
      </c>
      <c r="H227">
        <v>1.1499999999999999</v>
      </c>
      <c r="I227">
        <v>-0.14999998</v>
      </c>
      <c r="J227">
        <v>0.46511626</v>
      </c>
    </row>
    <row r="228" spans="1:10" x14ac:dyDescent="0.3">
      <c r="A228">
        <v>226</v>
      </c>
      <c r="B228">
        <v>3590</v>
      </c>
      <c r="C228" t="b">
        <v>1</v>
      </c>
      <c r="D228">
        <v>8048</v>
      </c>
      <c r="E228">
        <v>8117</v>
      </c>
      <c r="F228">
        <v>8.8000000000000007</v>
      </c>
      <c r="G228">
        <v>8</v>
      </c>
      <c r="H228">
        <v>1.1000000000000001</v>
      </c>
      <c r="I228">
        <v>-0.10000002400000001</v>
      </c>
      <c r="J228">
        <v>0.47619050000000002</v>
      </c>
    </row>
    <row r="229" spans="1:10" x14ac:dyDescent="0.3">
      <c r="A229">
        <v>227</v>
      </c>
      <c r="B229">
        <v>3606</v>
      </c>
      <c r="C229" t="b">
        <v>1</v>
      </c>
      <c r="D229">
        <v>8054</v>
      </c>
      <c r="E229">
        <v>8123</v>
      </c>
      <c r="F229">
        <v>8.4</v>
      </c>
      <c r="G229">
        <v>8</v>
      </c>
      <c r="H229">
        <v>1.05</v>
      </c>
      <c r="I229">
        <v>-4.9999952E-2</v>
      </c>
      <c r="J229">
        <v>0.48780489999999999</v>
      </c>
    </row>
    <row r="230" spans="1:10" x14ac:dyDescent="0.3">
      <c r="A230">
        <v>228</v>
      </c>
      <c r="B230">
        <v>3622</v>
      </c>
      <c r="C230" t="b">
        <v>1</v>
      </c>
      <c r="D230">
        <v>8054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3638</v>
      </c>
      <c r="C231" t="b">
        <v>1</v>
      </c>
      <c r="D231">
        <v>8048</v>
      </c>
      <c r="E231">
        <v>8123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3654</v>
      </c>
      <c r="C232" t="b">
        <v>1</v>
      </c>
      <c r="D232">
        <v>8054</v>
      </c>
      <c r="E232">
        <v>8117</v>
      </c>
      <c r="F232">
        <v>8.4</v>
      </c>
      <c r="G232">
        <v>8</v>
      </c>
      <c r="H232">
        <v>1.05</v>
      </c>
      <c r="I232">
        <v>-4.9999952E-2</v>
      </c>
      <c r="J232">
        <v>0.48780489999999999</v>
      </c>
    </row>
    <row r="233" spans="1:10" x14ac:dyDescent="0.3">
      <c r="A233">
        <v>231</v>
      </c>
      <c r="B233">
        <v>3670</v>
      </c>
      <c r="C233" t="b">
        <v>1</v>
      </c>
      <c r="D233">
        <v>8042</v>
      </c>
      <c r="E233">
        <v>8123</v>
      </c>
      <c r="F233">
        <v>8.8000000000000007</v>
      </c>
      <c r="G233">
        <v>8</v>
      </c>
      <c r="H233">
        <v>1.1000000000000001</v>
      </c>
      <c r="I233">
        <v>-0.10000002400000001</v>
      </c>
      <c r="J233">
        <v>0.47619050000000002</v>
      </c>
    </row>
    <row r="234" spans="1:10" x14ac:dyDescent="0.3">
      <c r="A234">
        <v>232</v>
      </c>
      <c r="B234">
        <v>3686</v>
      </c>
      <c r="C234" t="b">
        <v>1</v>
      </c>
      <c r="D234">
        <v>8048</v>
      </c>
      <c r="E234">
        <v>8123</v>
      </c>
      <c r="F234">
        <v>8.8000000000000007</v>
      </c>
      <c r="G234">
        <v>8</v>
      </c>
      <c r="H234">
        <v>1.1000000000000001</v>
      </c>
      <c r="I234">
        <v>-0.10000002400000001</v>
      </c>
      <c r="J234">
        <v>0.47619050000000002</v>
      </c>
    </row>
    <row r="235" spans="1:10" x14ac:dyDescent="0.3">
      <c r="A235">
        <v>233</v>
      </c>
      <c r="B235">
        <v>3702</v>
      </c>
      <c r="C235" t="b">
        <v>1</v>
      </c>
      <c r="D235">
        <v>8048</v>
      </c>
      <c r="E235">
        <v>8123</v>
      </c>
      <c r="F235">
        <v>8.8000000000000007</v>
      </c>
      <c r="G235">
        <v>8</v>
      </c>
      <c r="H235">
        <v>1.1000000000000001</v>
      </c>
      <c r="I235">
        <v>-0.10000002400000001</v>
      </c>
      <c r="J235">
        <v>0.47619050000000002</v>
      </c>
    </row>
    <row r="236" spans="1:10" x14ac:dyDescent="0.3">
      <c r="A236">
        <v>234</v>
      </c>
      <c r="B236">
        <v>3718</v>
      </c>
      <c r="C236" t="b">
        <v>1</v>
      </c>
      <c r="D236">
        <v>8048</v>
      </c>
      <c r="E236">
        <v>8123</v>
      </c>
      <c r="F236">
        <v>8.8000000000000007</v>
      </c>
      <c r="G236">
        <v>8</v>
      </c>
      <c r="H236">
        <v>1.1000000000000001</v>
      </c>
      <c r="I236">
        <v>-0.10000002400000001</v>
      </c>
      <c r="J236">
        <v>0.47619050000000002</v>
      </c>
    </row>
    <row r="237" spans="1:10" x14ac:dyDescent="0.3">
      <c r="A237">
        <v>235</v>
      </c>
      <c r="B237">
        <v>3734</v>
      </c>
      <c r="C237" t="b">
        <v>1</v>
      </c>
      <c r="D237">
        <v>8048</v>
      </c>
      <c r="E237">
        <v>8123</v>
      </c>
      <c r="F237">
        <v>8.8000000000000007</v>
      </c>
      <c r="G237">
        <v>8</v>
      </c>
      <c r="H237">
        <v>1.1000000000000001</v>
      </c>
      <c r="I237">
        <v>-0.10000002400000001</v>
      </c>
      <c r="J237">
        <v>0.47619050000000002</v>
      </c>
    </row>
    <row r="238" spans="1:10" x14ac:dyDescent="0.3">
      <c r="A238">
        <v>236</v>
      </c>
      <c r="B238">
        <v>3750</v>
      </c>
      <c r="C238" t="b">
        <v>1</v>
      </c>
      <c r="D238">
        <v>8048</v>
      </c>
      <c r="E238">
        <v>8123</v>
      </c>
      <c r="F238">
        <v>8.8000000000000007</v>
      </c>
      <c r="G238">
        <v>8</v>
      </c>
      <c r="H238">
        <v>1.1000000000000001</v>
      </c>
      <c r="I238">
        <v>-0.10000002400000001</v>
      </c>
      <c r="J238">
        <v>0.47619050000000002</v>
      </c>
    </row>
    <row r="239" spans="1:10" x14ac:dyDescent="0.3">
      <c r="A239">
        <v>237</v>
      </c>
      <c r="B239">
        <v>3766</v>
      </c>
      <c r="C239" t="b">
        <v>1</v>
      </c>
      <c r="D239">
        <v>8048</v>
      </c>
      <c r="E239">
        <v>8129</v>
      </c>
      <c r="F239">
        <v>8.8000000000000007</v>
      </c>
      <c r="G239">
        <v>8</v>
      </c>
      <c r="H239">
        <v>1.1000000000000001</v>
      </c>
      <c r="I239">
        <v>-0.10000002400000001</v>
      </c>
      <c r="J239">
        <v>0.47619050000000002</v>
      </c>
    </row>
    <row r="240" spans="1:10" x14ac:dyDescent="0.3">
      <c r="A240">
        <v>238</v>
      </c>
      <c r="B240">
        <v>3782</v>
      </c>
      <c r="C240" t="b">
        <v>1</v>
      </c>
      <c r="D240">
        <v>8054</v>
      </c>
      <c r="E240">
        <v>8123</v>
      </c>
      <c r="F240">
        <v>8.8000000000000007</v>
      </c>
      <c r="G240">
        <v>8</v>
      </c>
      <c r="H240">
        <v>1.1000000000000001</v>
      </c>
      <c r="I240">
        <v>-0.10000002400000001</v>
      </c>
      <c r="J240">
        <v>0.47619050000000002</v>
      </c>
    </row>
    <row r="241" spans="1:10" x14ac:dyDescent="0.3">
      <c r="A241">
        <v>239</v>
      </c>
      <c r="B241">
        <v>3798</v>
      </c>
      <c r="C241" t="b">
        <v>1</v>
      </c>
      <c r="D241">
        <v>8048</v>
      </c>
      <c r="E241">
        <v>8117</v>
      </c>
      <c r="F241">
        <v>8.8000000000000007</v>
      </c>
      <c r="G241">
        <v>8</v>
      </c>
      <c r="H241">
        <v>1.1000000000000001</v>
      </c>
      <c r="I241">
        <v>-0.10000002400000001</v>
      </c>
      <c r="J241">
        <v>0.47619050000000002</v>
      </c>
    </row>
    <row r="242" spans="1:10" x14ac:dyDescent="0.3">
      <c r="A242">
        <v>240</v>
      </c>
      <c r="B242">
        <v>3814</v>
      </c>
      <c r="C242" t="b">
        <v>1</v>
      </c>
      <c r="D242">
        <v>8048</v>
      </c>
      <c r="E242">
        <v>8129</v>
      </c>
      <c r="F242">
        <v>8.8000000000000007</v>
      </c>
      <c r="G242">
        <v>8</v>
      </c>
      <c r="H242">
        <v>1.1000000000000001</v>
      </c>
      <c r="I242">
        <v>-0.10000002400000001</v>
      </c>
      <c r="J242">
        <v>0.47619050000000002</v>
      </c>
    </row>
    <row r="243" spans="1:10" x14ac:dyDescent="0.3">
      <c r="A243">
        <v>241</v>
      </c>
      <c r="B243">
        <v>3830</v>
      </c>
      <c r="C243" t="b">
        <v>1</v>
      </c>
      <c r="D243">
        <v>8048</v>
      </c>
      <c r="E243">
        <v>8123</v>
      </c>
      <c r="F243">
        <v>8.8000000000000007</v>
      </c>
      <c r="G243">
        <v>8</v>
      </c>
      <c r="H243">
        <v>1.1000000000000001</v>
      </c>
      <c r="I243">
        <v>-0.10000002400000001</v>
      </c>
      <c r="J243">
        <v>0.47619050000000002</v>
      </c>
    </row>
    <row r="244" spans="1:10" x14ac:dyDescent="0.3">
      <c r="A244">
        <v>242</v>
      </c>
      <c r="B244">
        <v>3846</v>
      </c>
      <c r="C244" t="b">
        <v>1</v>
      </c>
      <c r="D244">
        <v>8048</v>
      </c>
      <c r="E244">
        <v>8123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3861</v>
      </c>
      <c r="C245" t="b">
        <v>1</v>
      </c>
      <c r="D245">
        <v>8048</v>
      </c>
      <c r="E245">
        <v>8123</v>
      </c>
      <c r="F245">
        <v>8.8000000000000007</v>
      </c>
      <c r="G245">
        <v>8</v>
      </c>
      <c r="H245">
        <v>1.1000000000000001</v>
      </c>
      <c r="I245">
        <v>-0.10000002400000001</v>
      </c>
      <c r="J245">
        <v>0.47619050000000002</v>
      </c>
    </row>
    <row r="246" spans="1:10" x14ac:dyDescent="0.3">
      <c r="A246">
        <v>244</v>
      </c>
      <c r="B246">
        <v>3877</v>
      </c>
      <c r="C246" t="b">
        <v>1</v>
      </c>
      <c r="D246">
        <v>8054</v>
      </c>
      <c r="E246">
        <v>8123</v>
      </c>
      <c r="F246">
        <v>8.8000000000000007</v>
      </c>
      <c r="G246">
        <v>8</v>
      </c>
      <c r="H246">
        <v>1.1000000000000001</v>
      </c>
      <c r="I246">
        <v>-0.10000002400000001</v>
      </c>
      <c r="J246">
        <v>0.47619050000000002</v>
      </c>
    </row>
    <row r="247" spans="1:10" x14ac:dyDescent="0.3">
      <c r="A247">
        <v>245</v>
      </c>
      <c r="B247">
        <v>3893</v>
      </c>
      <c r="C247" t="b">
        <v>1</v>
      </c>
      <c r="D247">
        <v>8048</v>
      </c>
      <c r="E247">
        <v>8123</v>
      </c>
      <c r="F247">
        <v>8.4</v>
      </c>
      <c r="G247">
        <v>8</v>
      </c>
      <c r="H247">
        <v>1.05</v>
      </c>
      <c r="I247">
        <v>-4.9999952E-2</v>
      </c>
      <c r="J247">
        <v>0.48780489999999999</v>
      </c>
    </row>
    <row r="248" spans="1:10" x14ac:dyDescent="0.3">
      <c r="A248">
        <v>246</v>
      </c>
      <c r="B248">
        <v>3909</v>
      </c>
      <c r="C248" t="b">
        <v>1</v>
      </c>
      <c r="D248">
        <v>8054</v>
      </c>
      <c r="E248">
        <v>8123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3925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3941</v>
      </c>
      <c r="C250" t="b">
        <v>1</v>
      </c>
      <c r="D250">
        <v>8054</v>
      </c>
      <c r="E250">
        <v>8123</v>
      </c>
      <c r="F250">
        <v>8.4</v>
      </c>
      <c r="G250">
        <v>8</v>
      </c>
      <c r="H250">
        <v>1.05</v>
      </c>
      <c r="I250">
        <v>-4.9999952E-2</v>
      </c>
      <c r="J250">
        <v>0.48780489999999999</v>
      </c>
    </row>
    <row r="251" spans="1:10" x14ac:dyDescent="0.3">
      <c r="A251">
        <v>249</v>
      </c>
      <c r="B251">
        <v>3957</v>
      </c>
      <c r="C251" t="b">
        <v>1</v>
      </c>
      <c r="D251">
        <v>8054</v>
      </c>
      <c r="E251">
        <v>8123</v>
      </c>
      <c r="F251">
        <v>8.8000000000000007</v>
      </c>
      <c r="G251">
        <v>8</v>
      </c>
      <c r="H251">
        <v>1.1000000000000001</v>
      </c>
      <c r="I251">
        <v>-0.10000002400000001</v>
      </c>
      <c r="J251">
        <v>0.47619050000000002</v>
      </c>
    </row>
    <row r="252" spans="1:10" x14ac:dyDescent="0.3">
      <c r="A252">
        <v>250</v>
      </c>
      <c r="B252">
        <v>3972</v>
      </c>
      <c r="C252" t="b">
        <v>1</v>
      </c>
      <c r="D252">
        <v>8054</v>
      </c>
      <c r="E252">
        <v>8123</v>
      </c>
      <c r="F252">
        <v>9.1999999999999993</v>
      </c>
      <c r="G252">
        <v>8</v>
      </c>
      <c r="H252">
        <v>1.1499999999999999</v>
      </c>
      <c r="I252">
        <v>-0.14999998</v>
      </c>
      <c r="J252">
        <v>0.46511626</v>
      </c>
    </row>
    <row r="253" spans="1:10" x14ac:dyDescent="0.3">
      <c r="A253">
        <v>251</v>
      </c>
      <c r="B253">
        <v>3988</v>
      </c>
      <c r="C253" t="b">
        <v>1</v>
      </c>
      <c r="D253">
        <v>8048</v>
      </c>
      <c r="E253">
        <v>8129</v>
      </c>
      <c r="F253">
        <v>9.6</v>
      </c>
      <c r="G253">
        <v>8</v>
      </c>
      <c r="H253">
        <v>1.2</v>
      </c>
      <c r="I253">
        <v>-0.20000005000000001</v>
      </c>
      <c r="J253">
        <v>0.45454544000000002</v>
      </c>
    </row>
    <row r="254" spans="1:10" x14ac:dyDescent="0.3">
      <c r="A254">
        <v>252</v>
      </c>
      <c r="B254">
        <v>4004</v>
      </c>
      <c r="C254" t="b">
        <v>1</v>
      </c>
      <c r="D254">
        <v>8054</v>
      </c>
      <c r="E254">
        <v>8123</v>
      </c>
      <c r="F254">
        <v>10</v>
      </c>
      <c r="G254">
        <v>8</v>
      </c>
      <c r="H254">
        <v>1.25</v>
      </c>
      <c r="I254">
        <v>-0.25</v>
      </c>
      <c r="J254">
        <v>0.44444444999999999</v>
      </c>
    </row>
    <row r="255" spans="1:10" x14ac:dyDescent="0.3">
      <c r="A255">
        <v>253</v>
      </c>
      <c r="B255">
        <v>4019</v>
      </c>
      <c r="C255" t="b">
        <v>1</v>
      </c>
      <c r="D255">
        <v>8048</v>
      </c>
      <c r="E255">
        <v>8123</v>
      </c>
      <c r="F255">
        <v>10.4</v>
      </c>
      <c r="G255">
        <v>8</v>
      </c>
      <c r="H255">
        <v>1.3</v>
      </c>
      <c r="I255">
        <v>-0.29999995000000002</v>
      </c>
      <c r="J255">
        <v>0.43478262000000001</v>
      </c>
    </row>
    <row r="256" spans="1:10" x14ac:dyDescent="0.3">
      <c r="A256">
        <v>254</v>
      </c>
      <c r="B256">
        <v>4035</v>
      </c>
      <c r="C256" t="b">
        <v>1</v>
      </c>
      <c r="D256">
        <v>8042</v>
      </c>
      <c r="E256">
        <v>8123</v>
      </c>
      <c r="F256">
        <v>10.4</v>
      </c>
      <c r="G256">
        <v>8</v>
      </c>
      <c r="H256">
        <v>1.3</v>
      </c>
      <c r="I256">
        <v>-0.29999995000000002</v>
      </c>
      <c r="J256">
        <v>0.43478262000000001</v>
      </c>
    </row>
    <row r="257" spans="1:10" x14ac:dyDescent="0.3">
      <c r="A257">
        <v>255</v>
      </c>
      <c r="B257">
        <v>4051</v>
      </c>
      <c r="C257" t="b">
        <v>1</v>
      </c>
      <c r="D257">
        <v>8048</v>
      </c>
      <c r="E257">
        <v>8123</v>
      </c>
      <c r="F257">
        <v>10.4</v>
      </c>
      <c r="G257">
        <v>8</v>
      </c>
      <c r="H257">
        <v>1.3</v>
      </c>
      <c r="I257">
        <v>-0.29999995000000002</v>
      </c>
      <c r="J257">
        <v>0.43478262000000001</v>
      </c>
    </row>
    <row r="258" spans="1:10" x14ac:dyDescent="0.3">
      <c r="A258">
        <v>256</v>
      </c>
      <c r="B258">
        <v>4067</v>
      </c>
      <c r="C258" t="b">
        <v>1</v>
      </c>
      <c r="D258">
        <v>8048</v>
      </c>
      <c r="E258">
        <v>8129</v>
      </c>
      <c r="F258">
        <v>10.4</v>
      </c>
      <c r="G258">
        <v>8</v>
      </c>
      <c r="H258">
        <v>1.3</v>
      </c>
      <c r="I258">
        <v>-0.29999995000000002</v>
      </c>
      <c r="J258">
        <v>0.43478262000000001</v>
      </c>
    </row>
    <row r="259" spans="1:10" x14ac:dyDescent="0.3">
      <c r="A259">
        <v>257</v>
      </c>
      <c r="B259">
        <v>4083</v>
      </c>
      <c r="C259" t="b">
        <v>1</v>
      </c>
      <c r="D259">
        <v>8048</v>
      </c>
      <c r="E259">
        <v>8123</v>
      </c>
      <c r="F259">
        <v>10.4</v>
      </c>
      <c r="G259">
        <v>8</v>
      </c>
      <c r="H259">
        <v>1.3</v>
      </c>
      <c r="I259">
        <v>-0.29999995000000002</v>
      </c>
      <c r="J259">
        <v>0.43478262000000001</v>
      </c>
    </row>
    <row r="260" spans="1:10" x14ac:dyDescent="0.3">
      <c r="A260">
        <v>258</v>
      </c>
      <c r="B260">
        <v>4099</v>
      </c>
      <c r="C260" t="b">
        <v>1</v>
      </c>
      <c r="D260">
        <v>8048</v>
      </c>
      <c r="E260">
        <v>8123</v>
      </c>
      <c r="F260">
        <v>10.4</v>
      </c>
      <c r="G260">
        <v>8</v>
      </c>
      <c r="H260">
        <v>1.3</v>
      </c>
      <c r="I260">
        <v>-0.29999995000000002</v>
      </c>
      <c r="J260">
        <v>0.43478262000000001</v>
      </c>
    </row>
    <row r="261" spans="1:10" x14ac:dyDescent="0.3">
      <c r="A261">
        <v>259</v>
      </c>
      <c r="B261">
        <v>4115</v>
      </c>
      <c r="C261" t="b">
        <v>1</v>
      </c>
      <c r="D261">
        <v>8054</v>
      </c>
      <c r="E261">
        <v>8123</v>
      </c>
      <c r="F261">
        <v>10.4</v>
      </c>
      <c r="G261">
        <v>8</v>
      </c>
      <c r="H261">
        <v>1.3</v>
      </c>
      <c r="I261">
        <v>-0.29999995000000002</v>
      </c>
      <c r="J261">
        <v>0.43478262000000001</v>
      </c>
    </row>
    <row r="262" spans="1:10" x14ac:dyDescent="0.3">
      <c r="A262">
        <v>260</v>
      </c>
      <c r="B262">
        <v>4131</v>
      </c>
      <c r="C262" t="b">
        <v>1</v>
      </c>
      <c r="D262">
        <v>8054</v>
      </c>
      <c r="E262">
        <v>8123</v>
      </c>
      <c r="F262">
        <v>10.4</v>
      </c>
      <c r="G262">
        <v>8</v>
      </c>
      <c r="H262">
        <v>1.3</v>
      </c>
      <c r="I262">
        <v>-0.29999995000000002</v>
      </c>
      <c r="J262">
        <v>0.43478262000000001</v>
      </c>
    </row>
    <row r="263" spans="1:10" x14ac:dyDescent="0.3">
      <c r="A263">
        <v>261</v>
      </c>
      <c r="B263">
        <v>4147</v>
      </c>
      <c r="C263" t="b">
        <v>1</v>
      </c>
      <c r="D263">
        <v>8054</v>
      </c>
      <c r="E263">
        <v>8123</v>
      </c>
      <c r="F263">
        <v>10.8</v>
      </c>
      <c r="G263">
        <v>8</v>
      </c>
      <c r="H263">
        <v>1.35</v>
      </c>
      <c r="I263">
        <v>-0.35000002000000002</v>
      </c>
      <c r="J263">
        <v>0.42553192000000001</v>
      </c>
    </row>
    <row r="264" spans="1:10" x14ac:dyDescent="0.3">
      <c r="A264">
        <v>262</v>
      </c>
      <c r="B264">
        <v>4162</v>
      </c>
      <c r="C264" t="b">
        <v>1</v>
      </c>
      <c r="D264">
        <v>8054</v>
      </c>
      <c r="E264">
        <v>8123</v>
      </c>
      <c r="F264">
        <v>11.2</v>
      </c>
      <c r="G264">
        <v>8</v>
      </c>
      <c r="H264">
        <v>1.4</v>
      </c>
      <c r="I264">
        <v>-0.39999997999999998</v>
      </c>
      <c r="J264">
        <v>0.41666666000000002</v>
      </c>
    </row>
    <row r="265" spans="1:10" x14ac:dyDescent="0.3">
      <c r="A265">
        <v>263</v>
      </c>
      <c r="B265">
        <v>4178</v>
      </c>
      <c r="C265" t="b">
        <v>1</v>
      </c>
      <c r="D265">
        <v>8054</v>
      </c>
      <c r="E265">
        <v>8123</v>
      </c>
      <c r="F265">
        <v>11.2</v>
      </c>
      <c r="G265">
        <v>8</v>
      </c>
      <c r="H265">
        <v>1.4</v>
      </c>
      <c r="I265">
        <v>-0.39999997999999998</v>
      </c>
      <c r="J265">
        <v>0.41666666000000002</v>
      </c>
    </row>
    <row r="266" spans="1:10" x14ac:dyDescent="0.3">
      <c r="A266">
        <v>264</v>
      </c>
      <c r="B266">
        <v>4194</v>
      </c>
      <c r="C266" t="b">
        <v>1</v>
      </c>
      <c r="D266">
        <v>8054</v>
      </c>
      <c r="E266">
        <v>8123</v>
      </c>
      <c r="F266">
        <v>11.2</v>
      </c>
      <c r="G266">
        <v>8</v>
      </c>
      <c r="H266">
        <v>1.4</v>
      </c>
      <c r="I266">
        <v>-0.39999997999999998</v>
      </c>
      <c r="J266">
        <v>0.41666666000000002</v>
      </c>
    </row>
    <row r="267" spans="1:10" x14ac:dyDescent="0.3">
      <c r="A267">
        <v>265</v>
      </c>
      <c r="B267">
        <v>4210</v>
      </c>
      <c r="C267" t="b">
        <v>1</v>
      </c>
      <c r="D267">
        <v>8054</v>
      </c>
      <c r="E267">
        <v>8123</v>
      </c>
      <c r="F267">
        <v>11.2</v>
      </c>
      <c r="G267">
        <v>8</v>
      </c>
      <c r="H267">
        <v>1.4</v>
      </c>
      <c r="I267">
        <v>-0.39999997999999998</v>
      </c>
      <c r="J267">
        <v>0.41666666000000002</v>
      </c>
    </row>
    <row r="268" spans="1:10" x14ac:dyDescent="0.3">
      <c r="A268">
        <v>266</v>
      </c>
      <c r="B268">
        <v>4226</v>
      </c>
      <c r="C268" t="b">
        <v>1</v>
      </c>
      <c r="D268">
        <v>8048</v>
      </c>
      <c r="E268">
        <v>8123</v>
      </c>
      <c r="F268">
        <v>11.2</v>
      </c>
      <c r="G268">
        <v>8</v>
      </c>
      <c r="H268">
        <v>1.4</v>
      </c>
      <c r="I268">
        <v>-0.39999997999999998</v>
      </c>
      <c r="J268">
        <v>0.41666666000000002</v>
      </c>
    </row>
    <row r="269" spans="1:10" x14ac:dyDescent="0.3">
      <c r="A269">
        <v>267</v>
      </c>
      <c r="B269">
        <v>4242</v>
      </c>
      <c r="C269" t="b">
        <v>1</v>
      </c>
      <c r="D269">
        <v>8048</v>
      </c>
      <c r="E269">
        <v>8123</v>
      </c>
      <c r="F269">
        <v>11.2</v>
      </c>
      <c r="G269">
        <v>8</v>
      </c>
      <c r="H269">
        <v>1.4</v>
      </c>
      <c r="I269">
        <v>-0.39999997999999998</v>
      </c>
      <c r="J269">
        <v>0.41666666000000002</v>
      </c>
    </row>
    <row r="270" spans="1:10" x14ac:dyDescent="0.3">
      <c r="A270">
        <v>268</v>
      </c>
      <c r="B270">
        <v>4258</v>
      </c>
      <c r="C270" t="b">
        <v>1</v>
      </c>
      <c r="D270">
        <v>8048</v>
      </c>
      <c r="E270">
        <v>8123</v>
      </c>
      <c r="F270">
        <v>10.8</v>
      </c>
      <c r="G270">
        <v>8</v>
      </c>
      <c r="H270">
        <v>1.35</v>
      </c>
      <c r="I270">
        <v>-0.35000002000000002</v>
      </c>
      <c r="J270">
        <v>0.42553192000000001</v>
      </c>
    </row>
    <row r="271" spans="1:10" x14ac:dyDescent="0.3">
      <c r="A271">
        <v>269</v>
      </c>
      <c r="B271">
        <v>4273</v>
      </c>
      <c r="C271" t="b">
        <v>1</v>
      </c>
      <c r="D271">
        <v>8054</v>
      </c>
      <c r="E271">
        <v>8123</v>
      </c>
      <c r="F271">
        <v>10.8</v>
      </c>
      <c r="G271">
        <v>8</v>
      </c>
      <c r="H271">
        <v>1.35</v>
      </c>
      <c r="I271">
        <v>-0.35000002000000002</v>
      </c>
      <c r="J271">
        <v>0.42553192000000001</v>
      </c>
    </row>
    <row r="272" spans="1:10" x14ac:dyDescent="0.3">
      <c r="A272">
        <v>270</v>
      </c>
      <c r="B272">
        <v>4289</v>
      </c>
      <c r="C272" t="b">
        <v>1</v>
      </c>
      <c r="D272">
        <v>8048</v>
      </c>
      <c r="E272">
        <v>8123</v>
      </c>
      <c r="F272">
        <v>10.8</v>
      </c>
      <c r="G272">
        <v>8</v>
      </c>
      <c r="H272">
        <v>1.35</v>
      </c>
      <c r="I272">
        <v>-0.35000002000000002</v>
      </c>
      <c r="J272">
        <v>0.42553192000000001</v>
      </c>
    </row>
    <row r="273" spans="1:10" x14ac:dyDescent="0.3">
      <c r="A273">
        <v>271</v>
      </c>
      <c r="B273">
        <v>4305</v>
      </c>
      <c r="C273" t="b">
        <v>1</v>
      </c>
      <c r="D273">
        <v>8048</v>
      </c>
      <c r="E273">
        <v>8123</v>
      </c>
      <c r="F273">
        <v>10.8</v>
      </c>
      <c r="G273">
        <v>8</v>
      </c>
      <c r="H273">
        <v>1.35</v>
      </c>
      <c r="I273">
        <v>-0.35000002000000002</v>
      </c>
      <c r="J273">
        <v>0.42553192000000001</v>
      </c>
    </row>
    <row r="274" spans="1:10" x14ac:dyDescent="0.3">
      <c r="A274">
        <v>272</v>
      </c>
      <c r="B274">
        <v>4321</v>
      </c>
      <c r="C274" t="b">
        <v>1</v>
      </c>
      <c r="D274">
        <v>8048</v>
      </c>
      <c r="E274">
        <v>8123</v>
      </c>
      <c r="F274">
        <v>10.8</v>
      </c>
      <c r="G274">
        <v>8</v>
      </c>
      <c r="H274">
        <v>1.35</v>
      </c>
      <c r="I274">
        <v>-0.35000002000000002</v>
      </c>
      <c r="J274">
        <v>0.42553192000000001</v>
      </c>
    </row>
    <row r="275" spans="1:10" x14ac:dyDescent="0.3">
      <c r="A275">
        <v>273</v>
      </c>
      <c r="B275">
        <v>4337</v>
      </c>
      <c r="C275" t="b">
        <v>1</v>
      </c>
      <c r="D275">
        <v>8048</v>
      </c>
      <c r="E275">
        <v>8123</v>
      </c>
      <c r="F275">
        <v>10.8</v>
      </c>
      <c r="G275">
        <v>8</v>
      </c>
      <c r="H275">
        <v>1.35</v>
      </c>
      <c r="I275">
        <v>-0.35000002000000002</v>
      </c>
      <c r="J275">
        <v>0.42553192000000001</v>
      </c>
    </row>
    <row r="276" spans="1:10" x14ac:dyDescent="0.3">
      <c r="A276">
        <v>274</v>
      </c>
      <c r="B276">
        <v>4353</v>
      </c>
      <c r="C276" t="b">
        <v>1</v>
      </c>
      <c r="D276">
        <v>8048</v>
      </c>
      <c r="E276">
        <v>8123</v>
      </c>
      <c r="F276">
        <v>10.8</v>
      </c>
      <c r="G276">
        <v>8</v>
      </c>
      <c r="H276">
        <v>1.35</v>
      </c>
      <c r="I276">
        <v>-0.35000002000000002</v>
      </c>
      <c r="J276">
        <v>0.42553192000000001</v>
      </c>
    </row>
    <row r="277" spans="1:10" x14ac:dyDescent="0.3">
      <c r="A277">
        <v>275</v>
      </c>
      <c r="B277">
        <v>4369</v>
      </c>
      <c r="C277" t="b">
        <v>1</v>
      </c>
      <c r="D277">
        <v>8048</v>
      </c>
      <c r="E277">
        <v>8117</v>
      </c>
      <c r="F277">
        <v>10.8</v>
      </c>
      <c r="G277">
        <v>8</v>
      </c>
      <c r="H277">
        <v>1.35</v>
      </c>
      <c r="I277">
        <v>-0.35000002000000002</v>
      </c>
      <c r="J277">
        <v>0.42553192000000001</v>
      </c>
    </row>
    <row r="278" spans="1:10" x14ac:dyDescent="0.3">
      <c r="A278">
        <v>276</v>
      </c>
      <c r="B278">
        <v>4384</v>
      </c>
      <c r="C278" t="b">
        <v>1</v>
      </c>
      <c r="D278">
        <v>8048</v>
      </c>
      <c r="E278">
        <v>8123</v>
      </c>
      <c r="F278">
        <v>10.4</v>
      </c>
      <c r="G278">
        <v>8</v>
      </c>
      <c r="H278">
        <v>1.3</v>
      </c>
      <c r="I278">
        <v>-0.29999995000000002</v>
      </c>
      <c r="J278">
        <v>0.43478262000000001</v>
      </c>
    </row>
    <row r="279" spans="1:10" x14ac:dyDescent="0.3">
      <c r="A279">
        <v>277</v>
      </c>
      <c r="B279">
        <v>4401</v>
      </c>
      <c r="C279" t="b">
        <v>1</v>
      </c>
      <c r="D279">
        <v>8054</v>
      </c>
      <c r="E279">
        <v>8123</v>
      </c>
      <c r="F279">
        <v>10</v>
      </c>
      <c r="G279">
        <v>8</v>
      </c>
      <c r="H279">
        <v>1.25</v>
      </c>
      <c r="I279">
        <v>-0.25</v>
      </c>
      <c r="J279">
        <v>0.44444444999999999</v>
      </c>
    </row>
    <row r="280" spans="1:10" x14ac:dyDescent="0.3">
      <c r="A280">
        <v>278</v>
      </c>
      <c r="B280">
        <v>4416</v>
      </c>
      <c r="C280" t="b">
        <v>1</v>
      </c>
      <c r="D280">
        <v>8054</v>
      </c>
      <c r="E280">
        <v>8117</v>
      </c>
      <c r="F280">
        <v>9.6</v>
      </c>
      <c r="G280">
        <v>8</v>
      </c>
      <c r="H280">
        <v>1.2</v>
      </c>
      <c r="I280">
        <v>-0.20000005000000001</v>
      </c>
      <c r="J280">
        <v>0.45454544000000002</v>
      </c>
    </row>
    <row r="281" spans="1:10" x14ac:dyDescent="0.3">
      <c r="A281">
        <v>279</v>
      </c>
      <c r="B281">
        <v>4433</v>
      </c>
      <c r="C281" t="b">
        <v>1</v>
      </c>
      <c r="D281">
        <v>8054</v>
      </c>
      <c r="E281">
        <v>8117</v>
      </c>
      <c r="F281">
        <v>9.6</v>
      </c>
      <c r="G281">
        <v>7.6</v>
      </c>
      <c r="H281">
        <v>1.263158</v>
      </c>
      <c r="I281">
        <v>-0.26315796000000002</v>
      </c>
      <c r="J281">
        <v>0.44186044000000002</v>
      </c>
    </row>
    <row r="282" spans="1:10" x14ac:dyDescent="0.3">
      <c r="A282">
        <v>280</v>
      </c>
      <c r="B282">
        <v>4449</v>
      </c>
      <c r="C282" t="b">
        <v>1</v>
      </c>
      <c r="D282">
        <v>8048</v>
      </c>
      <c r="E282">
        <v>8117</v>
      </c>
      <c r="F282">
        <v>9.6</v>
      </c>
      <c r="G282">
        <v>7.2</v>
      </c>
      <c r="H282">
        <v>1.3333333999999999</v>
      </c>
      <c r="I282">
        <v>-0.33333342999999999</v>
      </c>
      <c r="J282">
        <v>0.42857142999999998</v>
      </c>
    </row>
    <row r="283" spans="1:10" x14ac:dyDescent="0.3">
      <c r="A283">
        <v>281</v>
      </c>
      <c r="B283">
        <v>4464</v>
      </c>
      <c r="C283" t="b">
        <v>1</v>
      </c>
      <c r="D283">
        <v>8048</v>
      </c>
      <c r="E283">
        <v>8123</v>
      </c>
      <c r="F283">
        <v>9.6</v>
      </c>
      <c r="G283">
        <v>6.8</v>
      </c>
      <c r="H283">
        <v>1.4117647</v>
      </c>
      <c r="I283">
        <v>-0.41176469999999998</v>
      </c>
      <c r="J283">
        <v>0.41463410000000001</v>
      </c>
    </row>
    <row r="284" spans="1:10" x14ac:dyDescent="0.3">
      <c r="A284">
        <v>282</v>
      </c>
      <c r="B284">
        <v>4480</v>
      </c>
      <c r="C284" t="b">
        <v>1</v>
      </c>
      <c r="D284">
        <v>8054</v>
      </c>
      <c r="E284">
        <v>8123</v>
      </c>
      <c r="F284">
        <v>9.6</v>
      </c>
      <c r="G284">
        <v>6.4</v>
      </c>
      <c r="H284">
        <v>1.5</v>
      </c>
      <c r="I284">
        <v>-0.50000005999999997</v>
      </c>
      <c r="J284">
        <v>0.4</v>
      </c>
    </row>
    <row r="285" spans="1:10" x14ac:dyDescent="0.3">
      <c r="A285">
        <v>283</v>
      </c>
      <c r="B285">
        <v>4496</v>
      </c>
      <c r="C285" t="b">
        <v>1</v>
      </c>
      <c r="D285">
        <v>8048</v>
      </c>
      <c r="E285">
        <v>8123</v>
      </c>
      <c r="F285">
        <v>9.6</v>
      </c>
      <c r="G285">
        <v>6.4</v>
      </c>
      <c r="H285">
        <v>1.5</v>
      </c>
      <c r="I285">
        <v>-0.50000005999999997</v>
      </c>
      <c r="J285">
        <v>0.4</v>
      </c>
    </row>
    <row r="286" spans="1:10" x14ac:dyDescent="0.3">
      <c r="A286">
        <v>284</v>
      </c>
      <c r="B286">
        <v>4512</v>
      </c>
      <c r="C286" t="b">
        <v>1</v>
      </c>
      <c r="D286">
        <v>8048</v>
      </c>
      <c r="E286">
        <v>8123</v>
      </c>
      <c r="F286">
        <v>9.6</v>
      </c>
      <c r="G286">
        <v>6.4</v>
      </c>
      <c r="H286">
        <v>1.5</v>
      </c>
      <c r="I286">
        <v>-0.50000005999999997</v>
      </c>
      <c r="J286">
        <v>0.4</v>
      </c>
    </row>
    <row r="287" spans="1:10" x14ac:dyDescent="0.3">
      <c r="A287">
        <v>285</v>
      </c>
      <c r="B287">
        <v>4527</v>
      </c>
      <c r="C287" t="b">
        <v>1</v>
      </c>
      <c r="D287">
        <v>8054</v>
      </c>
      <c r="E287">
        <v>8123</v>
      </c>
      <c r="F287">
        <v>9.6</v>
      </c>
      <c r="G287">
        <v>6.4</v>
      </c>
      <c r="H287">
        <v>1.5</v>
      </c>
      <c r="I287">
        <v>-0.50000005999999997</v>
      </c>
      <c r="J287">
        <v>0.4</v>
      </c>
    </row>
    <row r="288" spans="1:10" x14ac:dyDescent="0.3">
      <c r="A288">
        <v>286</v>
      </c>
      <c r="B288">
        <v>4543</v>
      </c>
      <c r="C288" t="b">
        <v>1</v>
      </c>
      <c r="D288">
        <v>8048</v>
      </c>
      <c r="E288">
        <v>8123</v>
      </c>
      <c r="F288">
        <v>9.6</v>
      </c>
      <c r="G288">
        <v>6.4</v>
      </c>
      <c r="H288">
        <v>1.5</v>
      </c>
      <c r="I288">
        <v>-0.50000005999999997</v>
      </c>
      <c r="J288">
        <v>0.4</v>
      </c>
    </row>
    <row r="289" spans="1:10" x14ac:dyDescent="0.3">
      <c r="A289">
        <v>287</v>
      </c>
      <c r="B289">
        <v>4559</v>
      </c>
      <c r="C289" t="b">
        <v>1</v>
      </c>
      <c r="D289">
        <v>8048</v>
      </c>
      <c r="E289">
        <v>8117</v>
      </c>
      <c r="F289">
        <v>9.6</v>
      </c>
      <c r="G289">
        <v>6.4</v>
      </c>
      <c r="H289">
        <v>1.5</v>
      </c>
      <c r="I289">
        <v>-0.50000005999999997</v>
      </c>
      <c r="J289">
        <v>0.4</v>
      </c>
    </row>
    <row r="290" spans="1:10" x14ac:dyDescent="0.3">
      <c r="A290">
        <v>288</v>
      </c>
      <c r="B290">
        <v>4575</v>
      </c>
      <c r="C290" t="b">
        <v>1</v>
      </c>
      <c r="D290">
        <v>8048</v>
      </c>
      <c r="E290">
        <v>8123</v>
      </c>
      <c r="F290">
        <v>9.6</v>
      </c>
      <c r="G290">
        <v>6.4</v>
      </c>
      <c r="H290">
        <v>1.5</v>
      </c>
      <c r="I290">
        <v>-0.50000005999999997</v>
      </c>
      <c r="J290">
        <v>0.4</v>
      </c>
    </row>
    <row r="291" spans="1:10" x14ac:dyDescent="0.3">
      <c r="A291">
        <v>289</v>
      </c>
      <c r="B291">
        <v>4591</v>
      </c>
      <c r="C291" t="b">
        <v>1</v>
      </c>
      <c r="D291">
        <v>8048</v>
      </c>
      <c r="E291">
        <v>8117</v>
      </c>
      <c r="F291">
        <v>9.6</v>
      </c>
      <c r="G291">
        <v>6.4</v>
      </c>
      <c r="H291">
        <v>1.5</v>
      </c>
      <c r="I291">
        <v>-0.50000005999999997</v>
      </c>
      <c r="J291">
        <v>0.4</v>
      </c>
    </row>
    <row r="292" spans="1:10" x14ac:dyDescent="0.3">
      <c r="A292">
        <v>290</v>
      </c>
      <c r="B292">
        <v>4607</v>
      </c>
      <c r="C292" t="b">
        <v>1</v>
      </c>
      <c r="D292">
        <v>8048</v>
      </c>
      <c r="E292">
        <v>8123</v>
      </c>
      <c r="F292">
        <v>9.6</v>
      </c>
      <c r="G292">
        <v>6.4</v>
      </c>
      <c r="H292">
        <v>1.5</v>
      </c>
      <c r="I292">
        <v>-0.50000005999999997</v>
      </c>
      <c r="J292">
        <v>0.4</v>
      </c>
    </row>
    <row r="293" spans="1:10" x14ac:dyDescent="0.3">
      <c r="A293">
        <v>291</v>
      </c>
      <c r="B293">
        <v>4622</v>
      </c>
      <c r="C293" t="b">
        <v>1</v>
      </c>
      <c r="D293">
        <v>8048</v>
      </c>
      <c r="E293">
        <v>8123</v>
      </c>
      <c r="F293">
        <v>9.6</v>
      </c>
      <c r="G293">
        <v>6.4</v>
      </c>
      <c r="H293">
        <v>1.5</v>
      </c>
      <c r="I293">
        <v>-0.50000005999999997</v>
      </c>
      <c r="J293">
        <v>0.4</v>
      </c>
    </row>
    <row r="294" spans="1:10" x14ac:dyDescent="0.3">
      <c r="A294">
        <v>292</v>
      </c>
      <c r="B294">
        <v>4638</v>
      </c>
      <c r="C294" t="b">
        <v>1</v>
      </c>
      <c r="D294">
        <v>8048</v>
      </c>
      <c r="E294">
        <v>8123</v>
      </c>
      <c r="F294">
        <v>9.6</v>
      </c>
      <c r="G294">
        <v>6.4</v>
      </c>
      <c r="H294">
        <v>1.5</v>
      </c>
      <c r="I294">
        <v>-0.50000005999999997</v>
      </c>
      <c r="J294">
        <v>0.4</v>
      </c>
    </row>
    <row r="295" spans="1:10" x14ac:dyDescent="0.3">
      <c r="A295">
        <v>293</v>
      </c>
      <c r="B295">
        <v>4654</v>
      </c>
      <c r="C295" t="b">
        <v>1</v>
      </c>
      <c r="D295">
        <v>8054</v>
      </c>
      <c r="E295">
        <v>8123</v>
      </c>
      <c r="F295">
        <v>9.6</v>
      </c>
      <c r="G295">
        <v>6.4</v>
      </c>
      <c r="H295">
        <v>1.5</v>
      </c>
      <c r="I295">
        <v>-0.50000005999999997</v>
      </c>
      <c r="J295">
        <v>0.4</v>
      </c>
    </row>
    <row r="296" spans="1:10" x14ac:dyDescent="0.3">
      <c r="A296">
        <v>294</v>
      </c>
      <c r="B296">
        <v>4670</v>
      </c>
      <c r="C296" t="b">
        <v>1</v>
      </c>
      <c r="D296">
        <v>8048</v>
      </c>
      <c r="E296">
        <v>8123</v>
      </c>
      <c r="F296">
        <v>9.1999999999999993</v>
      </c>
      <c r="G296">
        <v>6.8</v>
      </c>
      <c r="H296">
        <v>1.3529412000000001</v>
      </c>
      <c r="I296">
        <v>-0.35294110000000001</v>
      </c>
      <c r="J296">
        <v>0.42499999999999999</v>
      </c>
    </row>
    <row r="297" spans="1:10" x14ac:dyDescent="0.3">
      <c r="A297">
        <v>295</v>
      </c>
      <c r="B297">
        <v>4686</v>
      </c>
      <c r="C297" t="b">
        <v>1</v>
      </c>
      <c r="D297">
        <v>8054</v>
      </c>
      <c r="E297">
        <v>8123</v>
      </c>
      <c r="F297">
        <v>8.8000000000000007</v>
      </c>
      <c r="G297">
        <v>7.2</v>
      </c>
      <c r="H297">
        <v>1.2222223000000001</v>
      </c>
      <c r="I297">
        <v>-0.22222227999999999</v>
      </c>
      <c r="J297">
        <v>0.45</v>
      </c>
    </row>
    <row r="298" spans="1:10" x14ac:dyDescent="0.3">
      <c r="A298">
        <v>296</v>
      </c>
      <c r="B298">
        <v>4702</v>
      </c>
      <c r="C298" t="b">
        <v>1</v>
      </c>
      <c r="D298">
        <v>8048</v>
      </c>
      <c r="E298">
        <v>8123</v>
      </c>
      <c r="F298">
        <v>8.4</v>
      </c>
      <c r="G298">
        <v>7.6</v>
      </c>
      <c r="H298">
        <v>1.1052630999999999</v>
      </c>
      <c r="I298">
        <v>-0.10526312</v>
      </c>
      <c r="J298">
        <v>0.47499999999999998</v>
      </c>
    </row>
    <row r="299" spans="1:10" x14ac:dyDescent="0.3">
      <c r="A299">
        <v>297</v>
      </c>
      <c r="B299">
        <v>4718</v>
      </c>
      <c r="C299" t="b">
        <v>1</v>
      </c>
      <c r="D299">
        <v>8054</v>
      </c>
      <c r="E299">
        <v>8123</v>
      </c>
      <c r="F299">
        <v>8.4</v>
      </c>
      <c r="G299">
        <v>8</v>
      </c>
      <c r="H299">
        <v>1.05</v>
      </c>
      <c r="I299">
        <v>-4.9999952E-2</v>
      </c>
      <c r="J299">
        <v>0.48780489999999999</v>
      </c>
    </row>
    <row r="300" spans="1:10" x14ac:dyDescent="0.3">
      <c r="A300">
        <v>298</v>
      </c>
      <c r="B300">
        <v>4734</v>
      </c>
      <c r="C300" t="b">
        <v>1</v>
      </c>
      <c r="D300">
        <v>8048</v>
      </c>
      <c r="E300">
        <v>8123</v>
      </c>
      <c r="F300">
        <v>8.4</v>
      </c>
      <c r="G300">
        <v>8</v>
      </c>
      <c r="H300">
        <v>1.05</v>
      </c>
      <c r="I300">
        <v>-4.9999952E-2</v>
      </c>
      <c r="J300">
        <v>0.48780489999999999</v>
      </c>
    </row>
    <row r="301" spans="1:10" x14ac:dyDescent="0.3">
      <c r="A301">
        <v>299</v>
      </c>
      <c r="B301">
        <v>4750</v>
      </c>
      <c r="C301" t="b">
        <v>1</v>
      </c>
      <c r="D301">
        <v>8042</v>
      </c>
      <c r="E301">
        <v>8123</v>
      </c>
      <c r="F301">
        <v>8.4</v>
      </c>
      <c r="G301">
        <v>8</v>
      </c>
      <c r="H301">
        <v>1.05</v>
      </c>
      <c r="I301">
        <v>-4.9999952E-2</v>
      </c>
      <c r="J301">
        <v>0.48780489999999999</v>
      </c>
    </row>
    <row r="302" spans="1:10" x14ac:dyDescent="0.3">
      <c r="A302">
        <v>300</v>
      </c>
      <c r="B302">
        <v>4766</v>
      </c>
      <c r="C302" t="b">
        <v>1</v>
      </c>
      <c r="D302">
        <v>8048</v>
      </c>
      <c r="E302">
        <v>8123</v>
      </c>
      <c r="F302">
        <v>8.4</v>
      </c>
      <c r="G302">
        <v>8</v>
      </c>
      <c r="H302">
        <v>1.05</v>
      </c>
      <c r="I302">
        <v>-4.9999952E-2</v>
      </c>
      <c r="J302">
        <v>0.48780489999999999</v>
      </c>
    </row>
    <row r="303" spans="1:10" x14ac:dyDescent="0.3">
      <c r="A303">
        <v>301</v>
      </c>
      <c r="B303">
        <v>4782</v>
      </c>
      <c r="C303" t="b">
        <v>1</v>
      </c>
      <c r="D303">
        <v>8048</v>
      </c>
      <c r="E303">
        <v>8123</v>
      </c>
      <c r="F303">
        <v>8.4</v>
      </c>
      <c r="G303">
        <v>8</v>
      </c>
      <c r="H303">
        <v>1.05</v>
      </c>
      <c r="I303">
        <v>-4.9999952E-2</v>
      </c>
      <c r="J303">
        <v>0.48780489999999999</v>
      </c>
    </row>
    <row r="304" spans="1:10" x14ac:dyDescent="0.3">
      <c r="A304">
        <v>302</v>
      </c>
      <c r="B304">
        <v>4798</v>
      </c>
      <c r="C304" t="b">
        <v>1</v>
      </c>
      <c r="D304">
        <v>8048</v>
      </c>
      <c r="E304">
        <v>8123</v>
      </c>
      <c r="F304">
        <v>8.4</v>
      </c>
      <c r="G304">
        <v>8</v>
      </c>
      <c r="H304">
        <v>1.05</v>
      </c>
      <c r="I304">
        <v>-4.9999952E-2</v>
      </c>
      <c r="J304">
        <v>0.48780489999999999</v>
      </c>
    </row>
    <row r="305" spans="1:10" x14ac:dyDescent="0.3">
      <c r="A305">
        <v>303</v>
      </c>
      <c r="B305">
        <v>4814</v>
      </c>
      <c r="C305" t="b">
        <v>1</v>
      </c>
      <c r="D305">
        <v>8048</v>
      </c>
      <c r="E305">
        <v>8123</v>
      </c>
      <c r="F305">
        <v>8.4</v>
      </c>
      <c r="G305">
        <v>8</v>
      </c>
      <c r="H305">
        <v>1.05</v>
      </c>
      <c r="I305">
        <v>-4.9999952E-2</v>
      </c>
      <c r="J305">
        <v>0.48780489999999999</v>
      </c>
    </row>
    <row r="306" spans="1:10" x14ac:dyDescent="0.3">
      <c r="A306">
        <v>304</v>
      </c>
      <c r="B306">
        <v>4830</v>
      </c>
      <c r="C306" t="b">
        <v>1</v>
      </c>
      <c r="D306">
        <v>8048</v>
      </c>
      <c r="E306">
        <v>8123</v>
      </c>
      <c r="F306">
        <v>8.4</v>
      </c>
      <c r="G306">
        <v>8</v>
      </c>
      <c r="H306">
        <v>1.05</v>
      </c>
      <c r="I306">
        <v>-4.9999952E-2</v>
      </c>
      <c r="J306">
        <v>0.48780489999999999</v>
      </c>
    </row>
    <row r="307" spans="1:10" x14ac:dyDescent="0.3">
      <c r="A307">
        <v>305</v>
      </c>
      <c r="B307">
        <v>4846</v>
      </c>
      <c r="C307" t="b">
        <v>1</v>
      </c>
      <c r="D307">
        <v>8054</v>
      </c>
      <c r="E307">
        <v>8123</v>
      </c>
      <c r="F307">
        <v>8.4</v>
      </c>
      <c r="G307">
        <v>8</v>
      </c>
      <c r="H307">
        <v>1.05</v>
      </c>
      <c r="I307">
        <v>-4.9999952E-2</v>
      </c>
      <c r="J307">
        <v>0.48780489999999999</v>
      </c>
    </row>
    <row r="308" spans="1:10" x14ac:dyDescent="0.3">
      <c r="A308">
        <v>306</v>
      </c>
      <c r="B308">
        <v>4862</v>
      </c>
      <c r="C308" t="b">
        <v>1</v>
      </c>
      <c r="D308">
        <v>8054</v>
      </c>
      <c r="E308">
        <v>8123</v>
      </c>
      <c r="F308">
        <v>8.4</v>
      </c>
      <c r="G308">
        <v>8</v>
      </c>
      <c r="H308">
        <v>1.05</v>
      </c>
      <c r="I308">
        <v>-4.9999952E-2</v>
      </c>
      <c r="J308">
        <v>0.48780489999999999</v>
      </c>
    </row>
    <row r="309" spans="1:10" x14ac:dyDescent="0.3">
      <c r="A309">
        <v>307</v>
      </c>
      <c r="B309">
        <v>4878</v>
      </c>
      <c r="C309" t="b">
        <v>1</v>
      </c>
      <c r="D309">
        <v>8054</v>
      </c>
      <c r="E309">
        <v>8117</v>
      </c>
      <c r="F309">
        <v>8.8000000000000007</v>
      </c>
      <c r="G309">
        <v>8</v>
      </c>
      <c r="H309">
        <v>1.1000000000000001</v>
      </c>
      <c r="I309">
        <v>-0.10000002400000001</v>
      </c>
      <c r="J309">
        <v>0.47619050000000002</v>
      </c>
    </row>
    <row r="310" spans="1:10" x14ac:dyDescent="0.3">
      <c r="A310">
        <v>308</v>
      </c>
      <c r="B310">
        <v>4894</v>
      </c>
      <c r="C310" t="b">
        <v>1</v>
      </c>
      <c r="D310">
        <v>8048</v>
      </c>
      <c r="E310">
        <v>8123</v>
      </c>
      <c r="F310">
        <v>9.1999999999999993</v>
      </c>
      <c r="G310">
        <v>8</v>
      </c>
      <c r="H310">
        <v>1.1499999999999999</v>
      </c>
      <c r="I310">
        <v>-0.14999998</v>
      </c>
      <c r="J310">
        <v>0.46511626</v>
      </c>
    </row>
    <row r="311" spans="1:10" x14ac:dyDescent="0.3">
      <c r="A311">
        <v>309</v>
      </c>
      <c r="B311">
        <v>4910</v>
      </c>
      <c r="C311" t="b">
        <v>1</v>
      </c>
      <c r="D311">
        <v>8048</v>
      </c>
      <c r="E311">
        <v>8117</v>
      </c>
      <c r="F311">
        <v>9.6</v>
      </c>
      <c r="G311">
        <v>8</v>
      </c>
      <c r="H311">
        <v>1.2</v>
      </c>
      <c r="I311">
        <v>-0.20000005000000001</v>
      </c>
      <c r="J311">
        <v>0.45454544000000002</v>
      </c>
    </row>
    <row r="312" spans="1:10" x14ac:dyDescent="0.3">
      <c r="A312">
        <v>310</v>
      </c>
      <c r="B312">
        <v>4925</v>
      </c>
      <c r="C312" t="b">
        <v>1</v>
      </c>
      <c r="D312">
        <v>8048</v>
      </c>
      <c r="E312">
        <v>8117</v>
      </c>
      <c r="F312">
        <v>9.6</v>
      </c>
      <c r="G312">
        <v>7.6</v>
      </c>
      <c r="H312">
        <v>1.263158</v>
      </c>
      <c r="I312">
        <v>-0.26315796000000002</v>
      </c>
      <c r="J312">
        <v>0.44186044000000002</v>
      </c>
    </row>
    <row r="313" spans="1:10" x14ac:dyDescent="0.3">
      <c r="A313">
        <v>311</v>
      </c>
      <c r="B313">
        <v>4941</v>
      </c>
      <c r="C313" t="b">
        <v>1</v>
      </c>
      <c r="D313">
        <v>8048</v>
      </c>
      <c r="E313">
        <v>8129</v>
      </c>
      <c r="F313">
        <v>9.6</v>
      </c>
      <c r="G313">
        <v>7.2</v>
      </c>
      <c r="H313">
        <v>1.3333333999999999</v>
      </c>
      <c r="I313">
        <v>-0.33333342999999999</v>
      </c>
      <c r="J313">
        <v>0.42857142999999998</v>
      </c>
    </row>
    <row r="314" spans="1:10" x14ac:dyDescent="0.3">
      <c r="A314">
        <v>312</v>
      </c>
      <c r="B314">
        <v>4957</v>
      </c>
      <c r="C314" t="b">
        <v>1</v>
      </c>
      <c r="D314">
        <v>8048</v>
      </c>
      <c r="E314">
        <v>8123</v>
      </c>
      <c r="F314">
        <v>9.1999999999999993</v>
      </c>
      <c r="G314">
        <v>7.2</v>
      </c>
      <c r="H314">
        <v>1.2777778</v>
      </c>
      <c r="I314">
        <v>-0.27777780000000002</v>
      </c>
      <c r="J314">
        <v>0.43902439999999998</v>
      </c>
    </row>
    <row r="315" spans="1:10" x14ac:dyDescent="0.3">
      <c r="A315">
        <v>313</v>
      </c>
      <c r="B315">
        <v>4973</v>
      </c>
      <c r="C315" t="b">
        <v>1</v>
      </c>
      <c r="D315">
        <v>8042</v>
      </c>
      <c r="E315">
        <v>8123</v>
      </c>
      <c r="F315">
        <v>9.1999999999999993</v>
      </c>
      <c r="G315">
        <v>7.2</v>
      </c>
      <c r="H315">
        <v>1.2777778</v>
      </c>
      <c r="I315">
        <v>-0.27777780000000002</v>
      </c>
      <c r="J315">
        <v>0.43902439999999998</v>
      </c>
    </row>
    <row r="316" spans="1:10" x14ac:dyDescent="0.3">
      <c r="A316">
        <v>314</v>
      </c>
      <c r="B316">
        <v>4989</v>
      </c>
      <c r="C316" t="b">
        <v>1</v>
      </c>
      <c r="D316">
        <v>8048</v>
      </c>
      <c r="E316">
        <v>8123</v>
      </c>
      <c r="F316">
        <v>9.1999999999999993</v>
      </c>
      <c r="G316">
        <v>7.2</v>
      </c>
      <c r="H316">
        <v>1.2777778</v>
      </c>
      <c r="I316">
        <v>-0.27777780000000002</v>
      </c>
      <c r="J316">
        <v>0.43902439999999998</v>
      </c>
    </row>
    <row r="317" spans="1:10" x14ac:dyDescent="0.3">
      <c r="A317">
        <v>315</v>
      </c>
      <c r="B317">
        <v>5005</v>
      </c>
      <c r="C317" t="b">
        <v>1</v>
      </c>
      <c r="D317">
        <v>8048</v>
      </c>
      <c r="E317">
        <v>8123</v>
      </c>
      <c r="F317">
        <v>9.1999999999999993</v>
      </c>
      <c r="G317">
        <v>7.2</v>
      </c>
      <c r="H317">
        <v>1.2777778</v>
      </c>
      <c r="I317">
        <v>-0.27777780000000002</v>
      </c>
      <c r="J317">
        <v>0.43902439999999998</v>
      </c>
    </row>
    <row r="318" spans="1:10" x14ac:dyDescent="0.3">
      <c r="A318">
        <v>316</v>
      </c>
      <c r="B318">
        <v>5021</v>
      </c>
      <c r="C318" t="b">
        <v>1</v>
      </c>
      <c r="D318">
        <v>8048</v>
      </c>
      <c r="E318">
        <v>8117</v>
      </c>
      <c r="F318">
        <v>9.1999999999999993</v>
      </c>
      <c r="G318">
        <v>7.2</v>
      </c>
      <c r="H318">
        <v>1.2777778</v>
      </c>
      <c r="I318">
        <v>-0.27777780000000002</v>
      </c>
      <c r="J318">
        <v>0.43902439999999998</v>
      </c>
    </row>
    <row r="319" spans="1:10" x14ac:dyDescent="0.3">
      <c r="A319">
        <v>317</v>
      </c>
      <c r="B319">
        <v>5036</v>
      </c>
      <c r="C319" t="b">
        <v>1</v>
      </c>
      <c r="D319">
        <v>8048</v>
      </c>
      <c r="E319">
        <v>8117</v>
      </c>
      <c r="F319">
        <v>9.1999999999999993</v>
      </c>
      <c r="G319">
        <v>7.2</v>
      </c>
      <c r="H319">
        <v>1.2777778</v>
      </c>
      <c r="I319">
        <v>-0.27777780000000002</v>
      </c>
      <c r="J319">
        <v>0.43902439999999998</v>
      </c>
    </row>
    <row r="320" spans="1:10" x14ac:dyDescent="0.3">
      <c r="A320">
        <v>318</v>
      </c>
      <c r="B320">
        <v>5052</v>
      </c>
      <c r="C320" t="b">
        <v>1</v>
      </c>
      <c r="D320">
        <v>8048</v>
      </c>
      <c r="E320">
        <v>8117</v>
      </c>
      <c r="F320">
        <v>9.1999999999999993</v>
      </c>
      <c r="G320">
        <v>6.8</v>
      </c>
      <c r="H320">
        <v>1.3529412000000001</v>
      </c>
      <c r="I320">
        <v>-0.35294110000000001</v>
      </c>
      <c r="J320">
        <v>0.42499999999999999</v>
      </c>
    </row>
    <row r="321" spans="1:10" x14ac:dyDescent="0.3">
      <c r="A321">
        <v>319</v>
      </c>
      <c r="B321">
        <v>5068</v>
      </c>
      <c r="C321" t="b">
        <v>1</v>
      </c>
      <c r="D321">
        <v>8048</v>
      </c>
      <c r="E321">
        <v>8117</v>
      </c>
      <c r="F321">
        <v>9.1999999999999993</v>
      </c>
      <c r="G321">
        <v>6.4</v>
      </c>
      <c r="H321">
        <v>1.4375</v>
      </c>
      <c r="I321">
        <v>-0.43749993999999998</v>
      </c>
      <c r="J321">
        <v>0.41025642000000001</v>
      </c>
    </row>
    <row r="322" spans="1:10" x14ac:dyDescent="0.3">
      <c r="A322">
        <v>320</v>
      </c>
      <c r="B322">
        <v>5084</v>
      </c>
      <c r="C322" t="b">
        <v>1</v>
      </c>
      <c r="D322">
        <v>8048</v>
      </c>
      <c r="E322">
        <v>8123</v>
      </c>
      <c r="F322">
        <v>9.1999999999999993</v>
      </c>
      <c r="G322">
        <v>6</v>
      </c>
      <c r="H322">
        <v>1.5333333</v>
      </c>
      <c r="I322">
        <v>-0.53333330000000001</v>
      </c>
      <c r="J322">
        <v>0.39473686000000002</v>
      </c>
    </row>
    <row r="323" spans="1:10" x14ac:dyDescent="0.3">
      <c r="A323">
        <v>321</v>
      </c>
      <c r="B323">
        <v>5100</v>
      </c>
      <c r="C323" t="b">
        <v>1</v>
      </c>
      <c r="D323">
        <v>8048</v>
      </c>
      <c r="E323">
        <v>8123</v>
      </c>
      <c r="F323">
        <v>9.1999999999999993</v>
      </c>
      <c r="G323">
        <v>5.6</v>
      </c>
      <c r="H323">
        <v>1.6428571999999999</v>
      </c>
      <c r="I323">
        <v>-0.64285713</v>
      </c>
      <c r="J323">
        <v>0.3783784</v>
      </c>
    </row>
    <row r="324" spans="1:10" x14ac:dyDescent="0.3">
      <c r="A324">
        <v>322</v>
      </c>
      <c r="B324">
        <v>5116</v>
      </c>
      <c r="C324" t="b">
        <v>1</v>
      </c>
      <c r="D324">
        <v>8048</v>
      </c>
      <c r="E324">
        <v>8123</v>
      </c>
      <c r="F324">
        <v>8.8000000000000007</v>
      </c>
      <c r="G324">
        <v>5.6</v>
      </c>
      <c r="H324">
        <v>1.5714287</v>
      </c>
      <c r="I324">
        <v>-0.57142866000000003</v>
      </c>
      <c r="J324">
        <v>0.38888889999999998</v>
      </c>
    </row>
    <row r="325" spans="1:10" x14ac:dyDescent="0.3">
      <c r="A325">
        <v>323</v>
      </c>
      <c r="B325">
        <v>5132</v>
      </c>
      <c r="C325" t="b">
        <v>1</v>
      </c>
      <c r="D325">
        <v>8054</v>
      </c>
      <c r="E325">
        <v>8123</v>
      </c>
      <c r="F325">
        <v>8.4</v>
      </c>
      <c r="G325">
        <v>5.6</v>
      </c>
      <c r="H325">
        <v>1.5</v>
      </c>
      <c r="I325">
        <v>-0.49999997000000002</v>
      </c>
      <c r="J325">
        <v>0.4</v>
      </c>
    </row>
    <row r="326" spans="1:10" x14ac:dyDescent="0.3">
      <c r="A326">
        <v>324</v>
      </c>
      <c r="B326">
        <v>5148</v>
      </c>
      <c r="C326" t="b">
        <v>1</v>
      </c>
      <c r="D326">
        <v>8054</v>
      </c>
      <c r="E326">
        <v>8123</v>
      </c>
      <c r="F326">
        <v>8</v>
      </c>
      <c r="G326">
        <v>5.6</v>
      </c>
      <c r="H326">
        <v>1.4285715000000001</v>
      </c>
      <c r="I326">
        <v>-0.42857146000000002</v>
      </c>
      <c r="J326">
        <v>0.41176467999999999</v>
      </c>
    </row>
    <row r="327" spans="1:10" x14ac:dyDescent="0.3">
      <c r="A327">
        <v>325</v>
      </c>
      <c r="B327">
        <v>5163</v>
      </c>
      <c r="C327" t="b">
        <v>1</v>
      </c>
      <c r="D327">
        <v>8054</v>
      </c>
      <c r="E327">
        <v>8123</v>
      </c>
      <c r="F327">
        <v>8.4</v>
      </c>
      <c r="G327">
        <v>6</v>
      </c>
      <c r="H327">
        <v>1.4</v>
      </c>
      <c r="I327">
        <v>-0.39999994999999999</v>
      </c>
      <c r="J327">
        <v>0.4166667</v>
      </c>
    </row>
    <row r="328" spans="1:10" x14ac:dyDescent="0.3">
      <c r="A328">
        <v>326</v>
      </c>
      <c r="B328">
        <v>5179</v>
      </c>
      <c r="C328" t="b">
        <v>1</v>
      </c>
      <c r="D328">
        <v>8054</v>
      </c>
      <c r="E328">
        <v>8123</v>
      </c>
      <c r="F328">
        <v>8.8000000000000007</v>
      </c>
      <c r="G328">
        <v>6.4</v>
      </c>
      <c r="H328">
        <v>1.375</v>
      </c>
      <c r="I328">
        <v>-0.375</v>
      </c>
      <c r="J328">
        <v>0.4210526</v>
      </c>
    </row>
    <row r="329" spans="1:10" x14ac:dyDescent="0.3">
      <c r="A329">
        <v>327</v>
      </c>
      <c r="B329">
        <v>5195</v>
      </c>
      <c r="C329" t="b">
        <v>1</v>
      </c>
      <c r="D329">
        <v>8048</v>
      </c>
      <c r="E329">
        <v>8123</v>
      </c>
      <c r="F329">
        <v>9.1999999999999993</v>
      </c>
      <c r="G329">
        <v>6.4</v>
      </c>
      <c r="H329">
        <v>1.4375</v>
      </c>
      <c r="I329">
        <v>-0.43749993999999998</v>
      </c>
      <c r="J329">
        <v>0.41025642000000001</v>
      </c>
    </row>
    <row r="330" spans="1:10" x14ac:dyDescent="0.3">
      <c r="A330">
        <v>328</v>
      </c>
      <c r="B330">
        <v>5211</v>
      </c>
      <c r="C330" t="b">
        <v>1</v>
      </c>
      <c r="D330">
        <v>8054</v>
      </c>
      <c r="E330">
        <v>8123</v>
      </c>
      <c r="F330">
        <v>9.6</v>
      </c>
      <c r="G330">
        <v>6.4</v>
      </c>
      <c r="H330">
        <v>1.5</v>
      </c>
      <c r="I330">
        <v>-0.50000005999999997</v>
      </c>
      <c r="J330">
        <v>0.4</v>
      </c>
    </row>
    <row r="331" spans="1:10" x14ac:dyDescent="0.3">
      <c r="A331">
        <v>329</v>
      </c>
      <c r="B331">
        <v>5227</v>
      </c>
      <c r="C331" t="b">
        <v>1</v>
      </c>
      <c r="D331">
        <v>8048</v>
      </c>
      <c r="E331">
        <v>8123</v>
      </c>
      <c r="F331">
        <v>10</v>
      </c>
      <c r="G331">
        <v>6.4</v>
      </c>
      <c r="H331">
        <v>1.5625</v>
      </c>
      <c r="I331">
        <v>-0.5625</v>
      </c>
      <c r="J331">
        <v>0.39024392000000002</v>
      </c>
    </row>
    <row r="332" spans="1:10" x14ac:dyDescent="0.3">
      <c r="A332">
        <v>330</v>
      </c>
      <c r="B332">
        <v>5242</v>
      </c>
      <c r="C332" t="b">
        <v>1</v>
      </c>
      <c r="D332">
        <v>8048</v>
      </c>
      <c r="E332">
        <v>8123</v>
      </c>
      <c r="F332">
        <v>10</v>
      </c>
      <c r="G332">
        <v>6.4</v>
      </c>
      <c r="H332">
        <v>1.5625</v>
      </c>
      <c r="I332">
        <v>-0.5625</v>
      </c>
      <c r="J332">
        <v>0.39024392000000002</v>
      </c>
    </row>
    <row r="333" spans="1:10" x14ac:dyDescent="0.3">
      <c r="A333">
        <v>331</v>
      </c>
      <c r="B333">
        <v>5258</v>
      </c>
      <c r="C333" t="b">
        <v>1</v>
      </c>
      <c r="D333">
        <v>8048</v>
      </c>
      <c r="E333">
        <v>8123</v>
      </c>
      <c r="F333">
        <v>10</v>
      </c>
      <c r="G333">
        <v>6.4</v>
      </c>
      <c r="H333">
        <v>1.5625</v>
      </c>
      <c r="I333">
        <v>-0.5625</v>
      </c>
      <c r="J333">
        <v>0.39024392000000002</v>
      </c>
    </row>
    <row r="334" spans="1:10" x14ac:dyDescent="0.3">
      <c r="A334">
        <v>332</v>
      </c>
      <c r="B334">
        <v>5274</v>
      </c>
      <c r="C334" t="b">
        <v>1</v>
      </c>
      <c r="D334">
        <v>8048</v>
      </c>
      <c r="E334">
        <v>8123</v>
      </c>
      <c r="F334">
        <v>10</v>
      </c>
      <c r="G334">
        <v>6.4</v>
      </c>
      <c r="H334">
        <v>1.5625</v>
      </c>
      <c r="I334">
        <v>-0.5625</v>
      </c>
      <c r="J334">
        <v>0.39024392000000002</v>
      </c>
    </row>
    <row r="335" spans="1:10" x14ac:dyDescent="0.3">
      <c r="A335">
        <v>333</v>
      </c>
      <c r="B335">
        <v>5290</v>
      </c>
      <c r="C335" t="b">
        <v>1</v>
      </c>
      <c r="D335">
        <v>8048</v>
      </c>
      <c r="E335">
        <v>8134</v>
      </c>
      <c r="F335">
        <v>10</v>
      </c>
      <c r="G335">
        <v>6.8</v>
      </c>
      <c r="H335">
        <v>1.4705881999999999</v>
      </c>
      <c r="I335">
        <v>-0.47058820000000001</v>
      </c>
      <c r="J335">
        <v>0.40476193999999999</v>
      </c>
    </row>
    <row r="336" spans="1:10" x14ac:dyDescent="0.3">
      <c r="A336">
        <v>334</v>
      </c>
      <c r="B336">
        <v>5306</v>
      </c>
      <c r="C336" t="b">
        <v>1</v>
      </c>
      <c r="D336">
        <v>8048</v>
      </c>
      <c r="E336">
        <v>8117</v>
      </c>
      <c r="F336">
        <v>10</v>
      </c>
      <c r="G336">
        <v>7.2</v>
      </c>
      <c r="H336">
        <v>1.388889</v>
      </c>
      <c r="I336">
        <v>-0.38888893000000002</v>
      </c>
      <c r="J336">
        <v>0.41860459999999999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10</v>
      </c>
      <c r="G337">
        <v>7.6</v>
      </c>
      <c r="H337">
        <v>1.3157894999999999</v>
      </c>
      <c r="I337">
        <v>-0.3157895</v>
      </c>
      <c r="J337">
        <v>0.43181816000000001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10</v>
      </c>
      <c r="G338">
        <v>8</v>
      </c>
      <c r="H338">
        <v>1.25</v>
      </c>
      <c r="I338">
        <v>-0.25</v>
      </c>
      <c r="J338">
        <v>0.44444444999999999</v>
      </c>
    </row>
    <row r="339" spans="1:10" x14ac:dyDescent="0.3">
      <c r="A339">
        <v>337</v>
      </c>
      <c r="B339">
        <v>5353</v>
      </c>
      <c r="C339" t="b">
        <v>1</v>
      </c>
      <c r="D339">
        <v>8048</v>
      </c>
      <c r="E339">
        <v>8123</v>
      </c>
      <c r="F339">
        <v>10</v>
      </c>
      <c r="G339">
        <v>8</v>
      </c>
      <c r="H339">
        <v>1.25</v>
      </c>
      <c r="I339">
        <v>-0.25</v>
      </c>
      <c r="J339">
        <v>0.44444444999999999</v>
      </c>
    </row>
    <row r="340" spans="1:10" x14ac:dyDescent="0.3">
      <c r="A340">
        <v>338</v>
      </c>
      <c r="B340">
        <v>5369</v>
      </c>
      <c r="C340" t="b">
        <v>1</v>
      </c>
      <c r="D340">
        <v>8048</v>
      </c>
      <c r="E340">
        <v>8123</v>
      </c>
      <c r="F340">
        <v>10</v>
      </c>
      <c r="G340">
        <v>8</v>
      </c>
      <c r="H340">
        <v>1.25</v>
      </c>
      <c r="I340">
        <v>-0.25</v>
      </c>
      <c r="J340">
        <v>0.44444444999999999</v>
      </c>
    </row>
    <row r="341" spans="1:10" x14ac:dyDescent="0.3">
      <c r="A341">
        <v>339</v>
      </c>
      <c r="B341">
        <v>5386</v>
      </c>
      <c r="C341" t="b">
        <v>1</v>
      </c>
      <c r="D341">
        <v>8042</v>
      </c>
      <c r="E341">
        <v>8123</v>
      </c>
      <c r="F341">
        <v>10</v>
      </c>
      <c r="G341">
        <v>8</v>
      </c>
      <c r="H341">
        <v>1.25</v>
      </c>
      <c r="I341">
        <v>-0.25</v>
      </c>
      <c r="J341">
        <v>0.44444444999999999</v>
      </c>
    </row>
    <row r="342" spans="1:10" x14ac:dyDescent="0.3">
      <c r="A342">
        <v>340</v>
      </c>
      <c r="B342">
        <v>5402</v>
      </c>
      <c r="C342" t="b">
        <v>1</v>
      </c>
      <c r="D342">
        <v>8048</v>
      </c>
      <c r="E342">
        <v>8123</v>
      </c>
      <c r="F342">
        <v>9.6</v>
      </c>
      <c r="G342">
        <v>8</v>
      </c>
      <c r="H342">
        <v>1.2</v>
      </c>
      <c r="I342">
        <v>-0.20000005000000001</v>
      </c>
      <c r="J342">
        <v>0.45454544000000002</v>
      </c>
    </row>
    <row r="343" spans="1:10" x14ac:dyDescent="0.3">
      <c r="A343">
        <v>341</v>
      </c>
      <c r="B343">
        <v>5418</v>
      </c>
      <c r="C343" t="b">
        <v>1</v>
      </c>
      <c r="D343">
        <v>8048</v>
      </c>
      <c r="E343">
        <v>8123</v>
      </c>
      <c r="F343">
        <v>9.1999999999999993</v>
      </c>
      <c r="G343">
        <v>8</v>
      </c>
      <c r="H343">
        <v>1.1499999999999999</v>
      </c>
      <c r="I343">
        <v>-0.14999998</v>
      </c>
      <c r="J343">
        <v>0.46511626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8134</v>
      </c>
      <c r="F344">
        <v>8.8000000000000007</v>
      </c>
      <c r="G344">
        <v>8</v>
      </c>
      <c r="H344">
        <v>1.1000000000000001</v>
      </c>
      <c r="I344">
        <v>-0.10000002400000001</v>
      </c>
      <c r="J344">
        <v>0.47619050000000002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8123</v>
      </c>
      <c r="F345">
        <v>8.4</v>
      </c>
      <c r="G345">
        <v>8</v>
      </c>
      <c r="H345">
        <v>1.05</v>
      </c>
      <c r="I345">
        <v>-4.9999952E-2</v>
      </c>
      <c r="J345">
        <v>0.48780489999999999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8123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5497</v>
      </c>
      <c r="C348" t="b">
        <v>1</v>
      </c>
      <c r="D348">
        <v>8054</v>
      </c>
      <c r="E348">
        <v>8123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5513</v>
      </c>
      <c r="C349" t="b">
        <v>1</v>
      </c>
      <c r="D349">
        <v>8048</v>
      </c>
      <c r="E349">
        <v>8123</v>
      </c>
      <c r="F349">
        <v>8</v>
      </c>
      <c r="G349">
        <v>8</v>
      </c>
      <c r="H349">
        <v>1</v>
      </c>
      <c r="I349">
        <v>0</v>
      </c>
      <c r="J349">
        <v>0.5</v>
      </c>
    </row>
    <row r="350" spans="1:10" x14ac:dyDescent="0.3">
      <c r="A350">
        <v>348</v>
      </c>
      <c r="B350">
        <v>5528</v>
      </c>
      <c r="C350" t="b">
        <v>1</v>
      </c>
      <c r="D350">
        <v>8048</v>
      </c>
      <c r="E350">
        <v>8123</v>
      </c>
      <c r="F350">
        <v>8</v>
      </c>
      <c r="G350">
        <v>8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8117</v>
      </c>
      <c r="F351">
        <v>8</v>
      </c>
      <c r="G351">
        <v>8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8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8123</v>
      </c>
      <c r="F353">
        <v>8</v>
      </c>
      <c r="G353">
        <v>8</v>
      </c>
      <c r="H353">
        <v>1</v>
      </c>
      <c r="I353">
        <v>0</v>
      </c>
      <c r="J353">
        <v>0.5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7.6</v>
      </c>
      <c r="H354">
        <v>1.0526316</v>
      </c>
      <c r="I354">
        <v>-5.2631589999999999E-2</v>
      </c>
      <c r="J354">
        <v>0.48717946000000001</v>
      </c>
    </row>
    <row r="355" spans="1:10" x14ac:dyDescent="0.3">
      <c r="A355">
        <v>353</v>
      </c>
      <c r="B355">
        <v>5608</v>
      </c>
      <c r="C355" t="b">
        <v>1</v>
      </c>
      <c r="D355">
        <v>8042</v>
      </c>
      <c r="E355">
        <v>8117</v>
      </c>
      <c r="F355">
        <v>8</v>
      </c>
      <c r="G355">
        <v>7.2</v>
      </c>
      <c r="H355">
        <v>1.1111112000000001</v>
      </c>
      <c r="I355">
        <v>-0.11111114</v>
      </c>
      <c r="J355">
        <v>0.4736842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8117</v>
      </c>
      <c r="F356">
        <v>8</v>
      </c>
      <c r="G356">
        <v>6.8</v>
      </c>
      <c r="H356">
        <v>1.1764705</v>
      </c>
      <c r="I356">
        <v>-0.17647055</v>
      </c>
      <c r="J356">
        <v>0.45945944999999999</v>
      </c>
    </row>
    <row r="357" spans="1:10" x14ac:dyDescent="0.3">
      <c r="A357">
        <v>355</v>
      </c>
      <c r="B357">
        <v>5639</v>
      </c>
      <c r="C357" t="b">
        <v>1</v>
      </c>
      <c r="D357">
        <v>8054</v>
      </c>
      <c r="E357">
        <v>8123</v>
      </c>
      <c r="F357">
        <v>8</v>
      </c>
      <c r="G357">
        <v>6.4</v>
      </c>
      <c r="H357">
        <v>1.25</v>
      </c>
      <c r="I357">
        <v>-0.24999999000000001</v>
      </c>
      <c r="J357">
        <v>0.44444447999999998</v>
      </c>
    </row>
    <row r="358" spans="1:10" x14ac:dyDescent="0.3">
      <c r="A358">
        <v>356</v>
      </c>
      <c r="B358">
        <v>5656</v>
      </c>
      <c r="C358" t="b">
        <v>1</v>
      </c>
      <c r="D358">
        <v>8054</v>
      </c>
      <c r="E358">
        <v>8123</v>
      </c>
      <c r="F358">
        <v>8</v>
      </c>
      <c r="G358">
        <v>6</v>
      </c>
      <c r="H358">
        <v>1.3333333999999999</v>
      </c>
      <c r="I358">
        <v>-0.33333333999999998</v>
      </c>
      <c r="J358">
        <v>0.42857142999999998</v>
      </c>
    </row>
    <row r="359" spans="1:10" x14ac:dyDescent="0.3">
      <c r="A359">
        <v>357</v>
      </c>
      <c r="B359">
        <v>5672</v>
      </c>
      <c r="C359" t="b">
        <v>1</v>
      </c>
      <c r="D359">
        <v>8054</v>
      </c>
      <c r="E359">
        <v>8123</v>
      </c>
      <c r="F359">
        <v>8.4</v>
      </c>
      <c r="G359">
        <v>6</v>
      </c>
      <c r="H359">
        <v>1.4</v>
      </c>
      <c r="I359">
        <v>-0.39999994999999999</v>
      </c>
      <c r="J359">
        <v>0.4166667</v>
      </c>
    </row>
    <row r="360" spans="1:10" x14ac:dyDescent="0.3">
      <c r="A360">
        <v>358</v>
      </c>
      <c r="B360">
        <v>5688</v>
      </c>
      <c r="C360" t="b">
        <v>1</v>
      </c>
      <c r="D360">
        <v>8054</v>
      </c>
      <c r="E360">
        <v>8123</v>
      </c>
      <c r="F360">
        <v>8.8000000000000007</v>
      </c>
      <c r="G360">
        <v>6</v>
      </c>
      <c r="H360">
        <v>1.4666667</v>
      </c>
      <c r="I360">
        <v>-0.46666669999999999</v>
      </c>
      <c r="J360">
        <v>0.40540540000000003</v>
      </c>
    </row>
    <row r="361" spans="1:10" x14ac:dyDescent="0.3">
      <c r="A361">
        <v>359</v>
      </c>
      <c r="B361">
        <v>5704</v>
      </c>
      <c r="C361" t="b">
        <v>1</v>
      </c>
      <c r="D361">
        <v>8054</v>
      </c>
      <c r="E361">
        <v>8123</v>
      </c>
      <c r="F361">
        <v>9.1999999999999993</v>
      </c>
      <c r="G361">
        <v>6</v>
      </c>
      <c r="H361">
        <v>1.5333333</v>
      </c>
      <c r="I361">
        <v>-0.53333330000000001</v>
      </c>
      <c r="J361">
        <v>0.39473686000000002</v>
      </c>
    </row>
    <row r="362" spans="1:10" x14ac:dyDescent="0.3">
      <c r="A362">
        <v>360</v>
      </c>
      <c r="B362">
        <v>5720</v>
      </c>
      <c r="C362" t="b">
        <v>1</v>
      </c>
      <c r="D362">
        <v>8048</v>
      </c>
      <c r="E362">
        <v>8123</v>
      </c>
      <c r="F362">
        <v>9.6</v>
      </c>
      <c r="G362">
        <v>6</v>
      </c>
      <c r="H362">
        <v>1.6</v>
      </c>
      <c r="I362">
        <v>-0.60000010000000004</v>
      </c>
      <c r="J362">
        <v>0.38461536000000002</v>
      </c>
    </row>
    <row r="363" spans="1:10" x14ac:dyDescent="0.3">
      <c r="A363">
        <v>361</v>
      </c>
      <c r="B363">
        <v>5735</v>
      </c>
      <c r="C363" t="b">
        <v>1</v>
      </c>
      <c r="D363">
        <v>8042</v>
      </c>
      <c r="E363">
        <v>8123</v>
      </c>
      <c r="F363">
        <v>10</v>
      </c>
      <c r="G363">
        <v>6</v>
      </c>
      <c r="H363">
        <v>1.6666666000000001</v>
      </c>
      <c r="I363">
        <v>-0.66666669999999995</v>
      </c>
      <c r="J363">
        <v>0.375</v>
      </c>
    </row>
    <row r="364" spans="1:10" x14ac:dyDescent="0.3">
      <c r="A364">
        <v>362</v>
      </c>
      <c r="B364">
        <v>5751</v>
      </c>
      <c r="C364" t="b">
        <v>1</v>
      </c>
      <c r="D364">
        <v>8042</v>
      </c>
      <c r="E364">
        <v>8117</v>
      </c>
      <c r="F364">
        <v>10</v>
      </c>
      <c r="G364">
        <v>6</v>
      </c>
      <c r="H364">
        <v>1.6666666000000001</v>
      </c>
      <c r="I364">
        <v>-0.66666669999999995</v>
      </c>
      <c r="J364">
        <v>0.375</v>
      </c>
    </row>
    <row r="365" spans="1:10" x14ac:dyDescent="0.3">
      <c r="A365">
        <v>363</v>
      </c>
      <c r="B365">
        <v>5768</v>
      </c>
      <c r="C365" t="b">
        <v>1</v>
      </c>
      <c r="D365">
        <v>8048</v>
      </c>
      <c r="E365">
        <v>8123</v>
      </c>
      <c r="F365">
        <v>10</v>
      </c>
      <c r="G365">
        <v>6</v>
      </c>
      <c r="H365">
        <v>1.6666666000000001</v>
      </c>
      <c r="I365">
        <v>-0.66666669999999995</v>
      </c>
      <c r="J365">
        <v>0.375</v>
      </c>
    </row>
    <row r="366" spans="1:10" x14ac:dyDescent="0.3">
      <c r="A366">
        <v>364</v>
      </c>
      <c r="B366">
        <v>5784</v>
      </c>
      <c r="C366" t="b">
        <v>1</v>
      </c>
      <c r="D366">
        <v>8054</v>
      </c>
      <c r="E366">
        <v>8117</v>
      </c>
      <c r="F366">
        <v>10</v>
      </c>
      <c r="G366">
        <v>6</v>
      </c>
      <c r="H366">
        <v>1.6666666000000001</v>
      </c>
      <c r="I366">
        <v>-0.66666669999999995</v>
      </c>
      <c r="J366">
        <v>0.375</v>
      </c>
    </row>
    <row r="367" spans="1:10" x14ac:dyDescent="0.3">
      <c r="A367">
        <v>365</v>
      </c>
      <c r="B367">
        <v>5799</v>
      </c>
      <c r="C367" t="b">
        <v>1</v>
      </c>
      <c r="D367">
        <v>8042</v>
      </c>
      <c r="E367">
        <v>8111</v>
      </c>
      <c r="F367">
        <v>9.6</v>
      </c>
      <c r="G367">
        <v>5.6</v>
      </c>
      <c r="H367">
        <v>1.7142858999999999</v>
      </c>
      <c r="I367">
        <v>-0.71428579999999997</v>
      </c>
      <c r="J367">
        <v>0.36842101999999999</v>
      </c>
    </row>
    <row r="368" spans="1:10" x14ac:dyDescent="0.3">
      <c r="A368">
        <v>366</v>
      </c>
      <c r="B368">
        <v>5816</v>
      </c>
      <c r="C368" t="b">
        <v>1</v>
      </c>
      <c r="D368">
        <v>8048</v>
      </c>
      <c r="E368">
        <v>8117</v>
      </c>
      <c r="F368">
        <v>9.6</v>
      </c>
      <c r="G368">
        <v>5.2</v>
      </c>
      <c r="H368">
        <v>1.8461540000000001</v>
      </c>
      <c r="I368">
        <v>-0.84615399999999996</v>
      </c>
      <c r="J368">
        <v>0.35135132000000002</v>
      </c>
    </row>
    <row r="369" spans="1:10" x14ac:dyDescent="0.3">
      <c r="A369">
        <v>367</v>
      </c>
      <c r="B369">
        <v>5831</v>
      </c>
      <c r="C369" t="b">
        <v>1</v>
      </c>
      <c r="D369">
        <v>8048</v>
      </c>
      <c r="E369">
        <v>8117</v>
      </c>
      <c r="F369">
        <v>9.6</v>
      </c>
      <c r="G369">
        <v>5.2</v>
      </c>
      <c r="H369">
        <v>1.8461540000000001</v>
      </c>
      <c r="I369">
        <v>-0.84615399999999996</v>
      </c>
      <c r="J369">
        <v>0.35135132000000002</v>
      </c>
    </row>
    <row r="370" spans="1:10" x14ac:dyDescent="0.3">
      <c r="A370">
        <v>368</v>
      </c>
      <c r="B370">
        <v>5847</v>
      </c>
      <c r="C370" t="b">
        <v>1</v>
      </c>
      <c r="D370">
        <v>8054</v>
      </c>
      <c r="E370">
        <v>8117</v>
      </c>
      <c r="F370">
        <v>9.6</v>
      </c>
      <c r="G370">
        <v>5.2</v>
      </c>
      <c r="H370">
        <v>1.8461540000000001</v>
      </c>
      <c r="I370">
        <v>-0.84615399999999996</v>
      </c>
      <c r="J370">
        <v>0.35135132000000002</v>
      </c>
    </row>
    <row r="371" spans="1:10" x14ac:dyDescent="0.3">
      <c r="A371">
        <v>369</v>
      </c>
      <c r="B371">
        <v>5863</v>
      </c>
      <c r="C371" t="b">
        <v>1</v>
      </c>
      <c r="D371">
        <v>8048</v>
      </c>
      <c r="E371">
        <v>8117</v>
      </c>
      <c r="F371">
        <v>9.6</v>
      </c>
      <c r="G371">
        <v>5.2</v>
      </c>
      <c r="H371">
        <v>1.8461540000000001</v>
      </c>
      <c r="I371">
        <v>-0.84615399999999996</v>
      </c>
      <c r="J371">
        <v>0.35135132000000002</v>
      </c>
    </row>
    <row r="372" spans="1:10" x14ac:dyDescent="0.3">
      <c r="A372">
        <v>370</v>
      </c>
      <c r="B372">
        <v>5879</v>
      </c>
      <c r="C372" t="b">
        <v>1</v>
      </c>
      <c r="D372">
        <v>8048</v>
      </c>
      <c r="E372">
        <v>8117</v>
      </c>
      <c r="F372">
        <v>9.6</v>
      </c>
      <c r="G372">
        <v>5.2</v>
      </c>
      <c r="H372">
        <v>1.8461540000000001</v>
      </c>
      <c r="I372">
        <v>-0.84615399999999996</v>
      </c>
      <c r="J372">
        <v>0.35135132000000002</v>
      </c>
    </row>
    <row r="373" spans="1:10" x14ac:dyDescent="0.3">
      <c r="A373">
        <v>371</v>
      </c>
      <c r="B373">
        <v>5895</v>
      </c>
      <c r="C373" t="b">
        <v>1</v>
      </c>
      <c r="D373">
        <v>8048</v>
      </c>
      <c r="E373">
        <v>8111</v>
      </c>
      <c r="F373">
        <v>9.6</v>
      </c>
      <c r="G373">
        <v>5.2</v>
      </c>
      <c r="H373">
        <v>1.8461540000000001</v>
      </c>
      <c r="I373">
        <v>-0.84615399999999996</v>
      </c>
      <c r="J373">
        <v>0.35135132000000002</v>
      </c>
    </row>
    <row r="374" spans="1:10" x14ac:dyDescent="0.3">
      <c r="A374">
        <v>372</v>
      </c>
      <c r="B374">
        <v>5911</v>
      </c>
      <c r="C374" t="b">
        <v>1</v>
      </c>
      <c r="D374">
        <v>8048</v>
      </c>
      <c r="E374">
        <v>8117</v>
      </c>
      <c r="F374">
        <v>9.1999999999999993</v>
      </c>
      <c r="G374">
        <v>4.8</v>
      </c>
      <c r="H374">
        <v>1.9166665000000001</v>
      </c>
      <c r="I374">
        <v>-0.91666656999999996</v>
      </c>
      <c r="J374">
        <v>0.34285715</v>
      </c>
    </row>
    <row r="375" spans="1:10" x14ac:dyDescent="0.3">
      <c r="A375">
        <v>373</v>
      </c>
      <c r="B375">
        <v>5927</v>
      </c>
      <c r="C375" t="b">
        <v>1</v>
      </c>
      <c r="D375">
        <v>8054</v>
      </c>
      <c r="E375">
        <v>8117</v>
      </c>
      <c r="F375">
        <v>8.8000000000000007</v>
      </c>
      <c r="G375">
        <v>4.4000000000000004</v>
      </c>
      <c r="H375">
        <v>2</v>
      </c>
      <c r="I375">
        <v>-1</v>
      </c>
      <c r="J375">
        <v>0.3333333</v>
      </c>
    </row>
    <row r="376" spans="1:10" x14ac:dyDescent="0.3">
      <c r="A376">
        <v>374</v>
      </c>
      <c r="B376">
        <v>5942</v>
      </c>
      <c r="C376" t="b">
        <v>1</v>
      </c>
      <c r="D376">
        <v>8042</v>
      </c>
      <c r="E376">
        <v>8129</v>
      </c>
      <c r="F376">
        <v>8.4</v>
      </c>
      <c r="G376">
        <v>4</v>
      </c>
      <c r="H376">
        <v>2.1</v>
      </c>
      <c r="I376">
        <v>-1.0999999</v>
      </c>
      <c r="J376">
        <v>0.32258067000000001</v>
      </c>
    </row>
    <row r="377" spans="1:10" x14ac:dyDescent="0.3">
      <c r="A377">
        <v>375</v>
      </c>
      <c r="B377">
        <v>5958</v>
      </c>
      <c r="C377" t="b">
        <v>1</v>
      </c>
      <c r="D377">
        <v>8042</v>
      </c>
      <c r="E377">
        <v>8123</v>
      </c>
      <c r="F377">
        <v>8</v>
      </c>
      <c r="G377">
        <v>3.6</v>
      </c>
      <c r="H377">
        <v>2.2222222999999999</v>
      </c>
      <c r="I377">
        <v>-1.2222223000000001</v>
      </c>
      <c r="J377">
        <v>0.31034482000000002</v>
      </c>
    </row>
    <row r="378" spans="1:10" x14ac:dyDescent="0.3">
      <c r="A378">
        <v>376</v>
      </c>
      <c r="B378">
        <v>5974</v>
      </c>
      <c r="C378" t="b">
        <v>1</v>
      </c>
      <c r="D378">
        <v>8048</v>
      </c>
      <c r="E378">
        <v>8123</v>
      </c>
      <c r="F378">
        <v>7.6</v>
      </c>
      <c r="G378">
        <v>3.6</v>
      </c>
      <c r="H378">
        <v>2.1111111999999999</v>
      </c>
      <c r="I378">
        <v>-1.1111112000000001</v>
      </c>
      <c r="J378">
        <v>0.32142857000000002</v>
      </c>
    </row>
    <row r="379" spans="1:10" x14ac:dyDescent="0.3">
      <c r="A379">
        <v>377</v>
      </c>
      <c r="B379">
        <v>5990</v>
      </c>
      <c r="C379" t="b">
        <v>1</v>
      </c>
      <c r="D379">
        <v>8048</v>
      </c>
      <c r="E379">
        <v>8123</v>
      </c>
      <c r="F379">
        <v>7.6</v>
      </c>
      <c r="G379">
        <v>3.6</v>
      </c>
      <c r="H379">
        <v>2.1111111999999999</v>
      </c>
      <c r="I379">
        <v>-1.1111112000000001</v>
      </c>
      <c r="J379">
        <v>0.32142857000000002</v>
      </c>
    </row>
    <row r="380" spans="1:10" x14ac:dyDescent="0.3">
      <c r="A380">
        <v>378</v>
      </c>
      <c r="B380">
        <v>6006</v>
      </c>
      <c r="C380" t="b">
        <v>1</v>
      </c>
      <c r="D380">
        <v>8048</v>
      </c>
      <c r="E380">
        <v>8123</v>
      </c>
      <c r="F380">
        <v>7.6</v>
      </c>
      <c r="G380">
        <v>3.6</v>
      </c>
      <c r="H380">
        <v>2.1111111999999999</v>
      </c>
      <c r="I380">
        <v>-1.1111112000000001</v>
      </c>
      <c r="J380">
        <v>0.32142857000000002</v>
      </c>
    </row>
    <row r="381" spans="1:10" x14ac:dyDescent="0.3">
      <c r="A381">
        <v>379</v>
      </c>
      <c r="B381">
        <v>6022</v>
      </c>
      <c r="C381" t="b">
        <v>1</v>
      </c>
      <c r="D381">
        <v>8048</v>
      </c>
      <c r="E381">
        <v>8123</v>
      </c>
      <c r="F381">
        <v>7.6</v>
      </c>
      <c r="G381">
        <v>3.6</v>
      </c>
      <c r="H381">
        <v>2.1111111999999999</v>
      </c>
      <c r="I381">
        <v>-1.1111112000000001</v>
      </c>
      <c r="J381">
        <v>0.32142857000000002</v>
      </c>
    </row>
    <row r="382" spans="1:10" x14ac:dyDescent="0.3">
      <c r="A382">
        <v>380</v>
      </c>
      <c r="B382">
        <v>6038</v>
      </c>
      <c r="C382" t="b">
        <v>1</v>
      </c>
      <c r="D382">
        <v>8048</v>
      </c>
      <c r="E382">
        <v>8123</v>
      </c>
      <c r="F382">
        <v>8</v>
      </c>
      <c r="G382">
        <v>4</v>
      </c>
      <c r="H382">
        <v>2</v>
      </c>
      <c r="I382">
        <v>-1</v>
      </c>
      <c r="J382">
        <v>0.33333333999999998</v>
      </c>
    </row>
    <row r="383" spans="1:10" x14ac:dyDescent="0.3">
      <c r="A383">
        <v>381</v>
      </c>
      <c r="B383">
        <v>6054</v>
      </c>
      <c r="C383" t="b">
        <v>1</v>
      </c>
      <c r="D383">
        <v>8048</v>
      </c>
      <c r="E383">
        <v>8123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6070</v>
      </c>
      <c r="C384" t="b">
        <v>1</v>
      </c>
      <c r="D384">
        <v>8042</v>
      </c>
      <c r="E384">
        <v>8123</v>
      </c>
      <c r="F384">
        <v>8</v>
      </c>
      <c r="G384">
        <v>4.8</v>
      </c>
      <c r="H384">
        <v>1.6666666000000001</v>
      </c>
      <c r="I384">
        <v>-0.6666666</v>
      </c>
      <c r="J384">
        <v>0.375</v>
      </c>
    </row>
    <row r="385" spans="1:10" x14ac:dyDescent="0.3">
      <c r="A385">
        <v>383</v>
      </c>
      <c r="B385">
        <v>6085</v>
      </c>
      <c r="C385" t="b">
        <v>1</v>
      </c>
      <c r="D385">
        <v>8048</v>
      </c>
      <c r="E385">
        <v>8117</v>
      </c>
      <c r="F385">
        <v>8</v>
      </c>
      <c r="G385">
        <v>5.2</v>
      </c>
      <c r="H385">
        <v>1.5384616</v>
      </c>
      <c r="I385">
        <v>-0.53846156999999994</v>
      </c>
      <c r="J385">
        <v>0.39393938000000001</v>
      </c>
    </row>
    <row r="386" spans="1:10" x14ac:dyDescent="0.3">
      <c r="A386">
        <v>384</v>
      </c>
      <c r="B386">
        <v>6102</v>
      </c>
      <c r="C386" t="b">
        <v>1</v>
      </c>
      <c r="D386">
        <v>8054</v>
      </c>
      <c r="E386">
        <v>8129</v>
      </c>
      <c r="F386">
        <v>8</v>
      </c>
      <c r="G386">
        <v>5.6</v>
      </c>
      <c r="H386">
        <v>1.4285715000000001</v>
      </c>
      <c r="I386">
        <v>-0.42857146000000002</v>
      </c>
      <c r="J386">
        <v>0.41176467999999999</v>
      </c>
    </row>
    <row r="387" spans="1:10" x14ac:dyDescent="0.3">
      <c r="A387">
        <v>385</v>
      </c>
      <c r="B387">
        <v>6118</v>
      </c>
      <c r="C387" t="b">
        <v>1</v>
      </c>
      <c r="D387">
        <v>8054</v>
      </c>
      <c r="E387">
        <v>8123</v>
      </c>
      <c r="F387">
        <v>8</v>
      </c>
      <c r="G387">
        <v>6</v>
      </c>
      <c r="H387">
        <v>1.3333333999999999</v>
      </c>
      <c r="I387">
        <v>-0.33333333999999998</v>
      </c>
      <c r="J387">
        <v>0.42857142999999998</v>
      </c>
    </row>
    <row r="388" spans="1:10" x14ac:dyDescent="0.3">
      <c r="A388">
        <v>386</v>
      </c>
      <c r="B388">
        <v>6134</v>
      </c>
      <c r="C388" t="b">
        <v>1</v>
      </c>
      <c r="D388">
        <v>8048</v>
      </c>
      <c r="E388">
        <v>8117</v>
      </c>
      <c r="F388">
        <v>8</v>
      </c>
      <c r="G388">
        <v>6.4</v>
      </c>
      <c r="H388">
        <v>1.25</v>
      </c>
      <c r="I388">
        <v>-0.24999999000000001</v>
      </c>
      <c r="J388">
        <v>0.44444447999999998</v>
      </c>
    </row>
    <row r="389" spans="1:10" x14ac:dyDescent="0.3">
      <c r="A389">
        <v>387</v>
      </c>
      <c r="B389">
        <v>6149</v>
      </c>
      <c r="C389" t="b">
        <v>1</v>
      </c>
      <c r="D389">
        <v>8042</v>
      </c>
      <c r="E389">
        <v>8117</v>
      </c>
      <c r="F389">
        <v>8</v>
      </c>
      <c r="G389">
        <v>6.4</v>
      </c>
      <c r="H389">
        <v>1.25</v>
      </c>
      <c r="I389">
        <v>-0.24999999000000001</v>
      </c>
      <c r="J389">
        <v>0.44444447999999998</v>
      </c>
    </row>
    <row r="390" spans="1:10" x14ac:dyDescent="0.3">
      <c r="A390">
        <v>388</v>
      </c>
      <c r="B390">
        <v>6165</v>
      </c>
      <c r="C390" t="b">
        <v>1</v>
      </c>
      <c r="D390">
        <v>8048</v>
      </c>
      <c r="E390">
        <v>8117</v>
      </c>
      <c r="F390">
        <v>8</v>
      </c>
      <c r="G390">
        <v>6.4</v>
      </c>
      <c r="H390">
        <v>1.25</v>
      </c>
      <c r="I390">
        <v>-0.24999999000000001</v>
      </c>
      <c r="J390">
        <v>0.44444447999999998</v>
      </c>
    </row>
    <row r="391" spans="1:10" x14ac:dyDescent="0.3">
      <c r="A391">
        <v>389</v>
      </c>
      <c r="B391">
        <v>6181</v>
      </c>
      <c r="C391" t="b">
        <v>1</v>
      </c>
      <c r="D391">
        <v>8048</v>
      </c>
      <c r="E391">
        <v>8123</v>
      </c>
      <c r="F391">
        <v>8</v>
      </c>
      <c r="G391">
        <v>6.4</v>
      </c>
      <c r="H391">
        <v>1.25</v>
      </c>
      <c r="I391">
        <v>-0.24999999000000001</v>
      </c>
      <c r="J391">
        <v>0.44444447999999998</v>
      </c>
    </row>
    <row r="392" spans="1:10" x14ac:dyDescent="0.3">
      <c r="A392">
        <v>390</v>
      </c>
      <c r="B392">
        <v>6197</v>
      </c>
      <c r="C392" t="b">
        <v>1</v>
      </c>
      <c r="D392">
        <v>8054</v>
      </c>
      <c r="E392">
        <v>8117</v>
      </c>
      <c r="F392">
        <v>8</v>
      </c>
      <c r="G392">
        <v>6.4</v>
      </c>
      <c r="H392">
        <v>1.25</v>
      </c>
      <c r="I392">
        <v>-0.24999999000000001</v>
      </c>
      <c r="J392">
        <v>0.44444447999999998</v>
      </c>
    </row>
    <row r="393" spans="1:10" x14ac:dyDescent="0.3">
      <c r="A393">
        <v>391</v>
      </c>
      <c r="B393">
        <v>6213</v>
      </c>
      <c r="C393" t="b">
        <v>1</v>
      </c>
      <c r="D393">
        <v>8048</v>
      </c>
      <c r="E393">
        <v>8117</v>
      </c>
      <c r="F393">
        <v>8</v>
      </c>
      <c r="G393">
        <v>6</v>
      </c>
      <c r="H393">
        <v>1.3333333999999999</v>
      </c>
      <c r="I393">
        <v>-0.33333333999999998</v>
      </c>
      <c r="J393">
        <v>0.42857142999999998</v>
      </c>
    </row>
    <row r="394" spans="1:10" x14ac:dyDescent="0.3">
      <c r="A394">
        <v>392</v>
      </c>
      <c r="B394">
        <v>6229</v>
      </c>
      <c r="C394" t="b">
        <v>1</v>
      </c>
      <c r="D394">
        <v>8048</v>
      </c>
      <c r="E394">
        <v>8123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6245</v>
      </c>
      <c r="C395" t="b">
        <v>1</v>
      </c>
      <c r="D395">
        <v>8048</v>
      </c>
      <c r="E395">
        <v>8123</v>
      </c>
      <c r="F395">
        <v>8</v>
      </c>
      <c r="G395">
        <v>5.6</v>
      </c>
      <c r="H395">
        <v>1.4285715000000001</v>
      </c>
      <c r="I395">
        <v>-0.42857146000000002</v>
      </c>
      <c r="J395">
        <v>0.41176467999999999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5.6</v>
      </c>
      <c r="H396">
        <v>1.4285715000000001</v>
      </c>
      <c r="I396">
        <v>-0.42857146000000002</v>
      </c>
      <c r="J396">
        <v>0.41176467999999999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5.6</v>
      </c>
      <c r="H397">
        <v>1.4285715000000001</v>
      </c>
      <c r="I397">
        <v>-0.42857146000000002</v>
      </c>
      <c r="J397">
        <v>0.41176467999999999</v>
      </c>
    </row>
    <row r="398" spans="1:10" x14ac:dyDescent="0.3">
      <c r="A398">
        <v>396</v>
      </c>
      <c r="B398">
        <v>6292</v>
      </c>
      <c r="C398" t="b">
        <v>1</v>
      </c>
      <c r="D398">
        <v>8048</v>
      </c>
      <c r="E398">
        <v>8123</v>
      </c>
      <c r="F398">
        <v>8</v>
      </c>
      <c r="G398">
        <v>5.6</v>
      </c>
      <c r="H398">
        <v>1.4285715000000001</v>
      </c>
      <c r="I398">
        <v>-0.42857146000000002</v>
      </c>
      <c r="J398">
        <v>0.41176467999999999</v>
      </c>
    </row>
    <row r="399" spans="1:10" x14ac:dyDescent="0.3">
      <c r="A399">
        <v>397</v>
      </c>
      <c r="B399">
        <v>6308</v>
      </c>
      <c r="C399" t="b">
        <v>1</v>
      </c>
      <c r="D399">
        <v>8048</v>
      </c>
      <c r="E399">
        <v>8117</v>
      </c>
      <c r="F399">
        <v>8</v>
      </c>
      <c r="G399">
        <v>5.6</v>
      </c>
      <c r="H399">
        <v>1.4285715000000001</v>
      </c>
      <c r="I399">
        <v>-0.42857146000000002</v>
      </c>
      <c r="J399">
        <v>0.41176467999999999</v>
      </c>
    </row>
    <row r="400" spans="1:10" x14ac:dyDescent="0.3">
      <c r="A400">
        <v>398</v>
      </c>
      <c r="B400">
        <v>6324</v>
      </c>
      <c r="C400" t="b">
        <v>1</v>
      </c>
      <c r="D400">
        <v>8054</v>
      </c>
      <c r="E400">
        <v>8123</v>
      </c>
      <c r="F400">
        <v>8</v>
      </c>
      <c r="G400">
        <v>5.6</v>
      </c>
      <c r="H400">
        <v>1.4285715000000001</v>
      </c>
      <c r="I400">
        <v>-0.42857146000000002</v>
      </c>
      <c r="J400">
        <v>0.41176467999999999</v>
      </c>
    </row>
    <row r="401" spans="1:10" x14ac:dyDescent="0.3">
      <c r="A401">
        <v>399</v>
      </c>
      <c r="B401">
        <v>6339</v>
      </c>
      <c r="C401" t="b">
        <v>1</v>
      </c>
      <c r="D401">
        <v>8048</v>
      </c>
      <c r="E401">
        <v>8123</v>
      </c>
      <c r="F401">
        <v>8</v>
      </c>
      <c r="G401">
        <v>5.6</v>
      </c>
      <c r="H401">
        <v>1.4285715000000001</v>
      </c>
      <c r="I401">
        <v>-0.42857146000000002</v>
      </c>
      <c r="J401">
        <v>0.41176467999999999</v>
      </c>
    </row>
    <row r="402" spans="1:10" x14ac:dyDescent="0.3">
      <c r="A402">
        <v>400</v>
      </c>
      <c r="B402">
        <v>6355</v>
      </c>
      <c r="C402" t="b">
        <v>1</v>
      </c>
      <c r="D402">
        <v>8048</v>
      </c>
      <c r="E402">
        <v>8123</v>
      </c>
      <c r="F402">
        <v>8</v>
      </c>
      <c r="G402">
        <v>5.6</v>
      </c>
      <c r="H402">
        <v>1.4285715000000001</v>
      </c>
      <c r="I402">
        <v>-0.42857146000000002</v>
      </c>
      <c r="J402">
        <v>0.41176467999999999</v>
      </c>
    </row>
    <row r="403" spans="1:10" x14ac:dyDescent="0.3">
      <c r="A403">
        <v>401</v>
      </c>
      <c r="B403">
        <v>6371</v>
      </c>
      <c r="C403" t="b">
        <v>1</v>
      </c>
      <c r="D403">
        <v>8048</v>
      </c>
      <c r="E403">
        <v>8123</v>
      </c>
      <c r="F403">
        <v>8</v>
      </c>
      <c r="G403">
        <v>5.6</v>
      </c>
      <c r="H403">
        <v>1.4285715000000001</v>
      </c>
      <c r="I403">
        <v>-0.42857146000000002</v>
      </c>
      <c r="J403">
        <v>0.41176467999999999</v>
      </c>
    </row>
    <row r="404" spans="1:10" x14ac:dyDescent="0.3">
      <c r="A404">
        <v>402</v>
      </c>
      <c r="B404">
        <v>6387</v>
      </c>
      <c r="C404" t="b">
        <v>1</v>
      </c>
      <c r="D404">
        <v>8042</v>
      </c>
      <c r="E404">
        <v>8123</v>
      </c>
      <c r="F404">
        <v>8</v>
      </c>
      <c r="G404">
        <v>6</v>
      </c>
      <c r="H404">
        <v>1.3333333999999999</v>
      </c>
      <c r="I404">
        <v>-0.33333333999999998</v>
      </c>
      <c r="J404">
        <v>0.42857142999999998</v>
      </c>
    </row>
    <row r="405" spans="1:10" x14ac:dyDescent="0.3">
      <c r="A405">
        <v>403</v>
      </c>
      <c r="B405">
        <v>6403</v>
      </c>
      <c r="C405" t="b">
        <v>1</v>
      </c>
      <c r="D405">
        <v>8048</v>
      </c>
      <c r="E405">
        <v>8123</v>
      </c>
      <c r="F405">
        <v>8</v>
      </c>
      <c r="G405">
        <v>6.4</v>
      </c>
      <c r="H405">
        <v>1.25</v>
      </c>
      <c r="I405">
        <v>-0.24999999000000001</v>
      </c>
      <c r="J405">
        <v>0.44444447999999998</v>
      </c>
    </row>
    <row r="406" spans="1:10" x14ac:dyDescent="0.3">
      <c r="A406">
        <v>404</v>
      </c>
      <c r="B406">
        <v>6418</v>
      </c>
      <c r="C406" t="b">
        <v>1</v>
      </c>
      <c r="D406">
        <v>8048</v>
      </c>
      <c r="E406">
        <v>8123</v>
      </c>
      <c r="F406">
        <v>8</v>
      </c>
      <c r="G406">
        <v>6.8</v>
      </c>
      <c r="H406">
        <v>1.1764705</v>
      </c>
      <c r="I406">
        <v>-0.17647055</v>
      </c>
      <c r="J406">
        <v>0.45945944999999999</v>
      </c>
    </row>
    <row r="407" spans="1:10" x14ac:dyDescent="0.3">
      <c r="A407">
        <v>405</v>
      </c>
      <c r="B407">
        <v>6434</v>
      </c>
      <c r="C407" t="b">
        <v>1</v>
      </c>
      <c r="D407">
        <v>8048</v>
      </c>
      <c r="E407">
        <v>8123</v>
      </c>
      <c r="F407">
        <v>8</v>
      </c>
      <c r="G407">
        <v>7.2</v>
      </c>
      <c r="H407">
        <v>1.1111112000000001</v>
      </c>
      <c r="I407">
        <v>-0.11111114</v>
      </c>
      <c r="J407">
        <v>0.4736842</v>
      </c>
    </row>
    <row r="408" spans="1:10" x14ac:dyDescent="0.3">
      <c r="A408">
        <v>406</v>
      </c>
      <c r="B408">
        <v>6450</v>
      </c>
      <c r="C408" t="b">
        <v>1</v>
      </c>
      <c r="D408">
        <v>8048</v>
      </c>
      <c r="E408">
        <v>8123</v>
      </c>
      <c r="F408">
        <v>8</v>
      </c>
      <c r="G408">
        <v>7.6</v>
      </c>
      <c r="H408">
        <v>1.0526316</v>
      </c>
      <c r="I408">
        <v>-5.2631589999999999E-2</v>
      </c>
      <c r="J408">
        <v>0.48717946000000001</v>
      </c>
    </row>
    <row r="409" spans="1:10" x14ac:dyDescent="0.3">
      <c r="A409">
        <v>407</v>
      </c>
      <c r="B409">
        <v>6465</v>
      </c>
      <c r="C409" t="b">
        <v>1</v>
      </c>
      <c r="D409">
        <v>8048</v>
      </c>
      <c r="E409">
        <v>8123</v>
      </c>
      <c r="F409">
        <v>8</v>
      </c>
      <c r="G409">
        <v>8</v>
      </c>
      <c r="H409">
        <v>1</v>
      </c>
      <c r="I409">
        <v>0</v>
      </c>
      <c r="J409">
        <v>0.5</v>
      </c>
    </row>
    <row r="410" spans="1:10" x14ac:dyDescent="0.3">
      <c r="A410">
        <v>408</v>
      </c>
      <c r="B410">
        <v>6481</v>
      </c>
      <c r="C410" t="b">
        <v>1</v>
      </c>
      <c r="D410">
        <v>8054</v>
      </c>
      <c r="E410">
        <v>8129</v>
      </c>
      <c r="F410">
        <v>8</v>
      </c>
      <c r="G410">
        <v>8</v>
      </c>
      <c r="H410">
        <v>1</v>
      </c>
      <c r="I410">
        <v>0</v>
      </c>
      <c r="J410">
        <v>0.5</v>
      </c>
    </row>
    <row r="411" spans="1:10" x14ac:dyDescent="0.3">
      <c r="A411">
        <v>409</v>
      </c>
      <c r="B411">
        <v>6497</v>
      </c>
      <c r="C411" t="b">
        <v>1</v>
      </c>
      <c r="D411">
        <v>8054</v>
      </c>
      <c r="E411">
        <v>8123</v>
      </c>
      <c r="F411">
        <v>8</v>
      </c>
      <c r="G411">
        <v>8</v>
      </c>
      <c r="H411">
        <v>1</v>
      </c>
      <c r="I411">
        <v>0</v>
      </c>
      <c r="J411">
        <v>0.5</v>
      </c>
    </row>
    <row r="412" spans="1:10" x14ac:dyDescent="0.3">
      <c r="A412">
        <v>410</v>
      </c>
      <c r="B412">
        <v>6513</v>
      </c>
      <c r="C412" t="b">
        <v>1</v>
      </c>
      <c r="D412">
        <v>8054</v>
      </c>
      <c r="E412">
        <v>8123</v>
      </c>
      <c r="F412">
        <v>8.4</v>
      </c>
      <c r="G412">
        <v>8</v>
      </c>
      <c r="H412">
        <v>1.05</v>
      </c>
      <c r="I412">
        <v>-4.9999952E-2</v>
      </c>
      <c r="J412">
        <v>0.48780489999999999</v>
      </c>
    </row>
    <row r="413" spans="1:10" x14ac:dyDescent="0.3">
      <c r="A413">
        <v>411</v>
      </c>
      <c r="B413">
        <v>6529</v>
      </c>
      <c r="C413" t="b">
        <v>1</v>
      </c>
      <c r="D413">
        <v>8042</v>
      </c>
      <c r="E413">
        <v>8117</v>
      </c>
      <c r="F413">
        <v>8.8000000000000007</v>
      </c>
      <c r="G413">
        <v>8</v>
      </c>
      <c r="H413">
        <v>1.1000000000000001</v>
      </c>
      <c r="I413">
        <v>-0.10000002400000001</v>
      </c>
      <c r="J413">
        <v>0.47619050000000002</v>
      </c>
    </row>
    <row r="414" spans="1:10" x14ac:dyDescent="0.3">
      <c r="A414">
        <v>412</v>
      </c>
      <c r="B414">
        <v>6545</v>
      </c>
      <c r="C414" t="b">
        <v>1</v>
      </c>
      <c r="D414">
        <v>8048</v>
      </c>
      <c r="E414">
        <v>8117</v>
      </c>
      <c r="F414">
        <v>9.1999999999999993</v>
      </c>
      <c r="G414">
        <v>8</v>
      </c>
      <c r="H414">
        <v>1.1499999999999999</v>
      </c>
      <c r="I414">
        <v>-0.14999998</v>
      </c>
      <c r="J414">
        <v>0.46511626</v>
      </c>
    </row>
    <row r="415" spans="1:10" x14ac:dyDescent="0.3">
      <c r="A415">
        <v>413</v>
      </c>
      <c r="B415">
        <v>6560</v>
      </c>
      <c r="C415" t="b">
        <v>1</v>
      </c>
      <c r="D415">
        <v>8048</v>
      </c>
      <c r="E415">
        <v>8117</v>
      </c>
      <c r="F415">
        <v>9.1999999999999993</v>
      </c>
      <c r="G415">
        <v>7.6</v>
      </c>
      <c r="H415">
        <v>1.2105262999999999</v>
      </c>
      <c r="I415">
        <v>-0.2105263</v>
      </c>
      <c r="J415">
        <v>0.45238096</v>
      </c>
    </row>
    <row r="416" spans="1:10" x14ac:dyDescent="0.3">
      <c r="A416">
        <v>414</v>
      </c>
      <c r="B416">
        <v>6576</v>
      </c>
      <c r="C416" t="b">
        <v>1</v>
      </c>
      <c r="D416">
        <v>8048</v>
      </c>
      <c r="E416">
        <v>8117</v>
      </c>
      <c r="F416">
        <v>9.1999999999999993</v>
      </c>
      <c r="G416">
        <v>7.2</v>
      </c>
      <c r="H416">
        <v>1.2777778</v>
      </c>
      <c r="I416">
        <v>-0.27777780000000002</v>
      </c>
      <c r="J416">
        <v>0.43902439999999998</v>
      </c>
    </row>
    <row r="417" spans="1:10" x14ac:dyDescent="0.3">
      <c r="A417">
        <v>415</v>
      </c>
      <c r="B417">
        <v>6592</v>
      </c>
      <c r="C417" t="b">
        <v>1</v>
      </c>
      <c r="D417">
        <v>8048</v>
      </c>
      <c r="E417">
        <v>8123</v>
      </c>
      <c r="F417">
        <v>9.1999999999999993</v>
      </c>
      <c r="G417">
        <v>6.8</v>
      </c>
      <c r="H417">
        <v>1.3529412000000001</v>
      </c>
      <c r="I417">
        <v>-0.35294110000000001</v>
      </c>
      <c r="J417">
        <v>0.42499999999999999</v>
      </c>
    </row>
    <row r="418" spans="1:10" x14ac:dyDescent="0.3">
      <c r="A418">
        <v>416</v>
      </c>
      <c r="B418">
        <v>6607</v>
      </c>
      <c r="C418" t="b">
        <v>1</v>
      </c>
      <c r="D418">
        <v>8048</v>
      </c>
      <c r="E418">
        <v>8117</v>
      </c>
      <c r="F418">
        <v>9.1999999999999993</v>
      </c>
      <c r="G418">
        <v>6.4</v>
      </c>
      <c r="H418">
        <v>1.4375</v>
      </c>
      <c r="I418">
        <v>-0.43749993999999998</v>
      </c>
      <c r="J418">
        <v>0.41025642000000001</v>
      </c>
    </row>
    <row r="419" spans="1:10" x14ac:dyDescent="0.3">
      <c r="A419">
        <v>417</v>
      </c>
      <c r="B419">
        <v>6623</v>
      </c>
      <c r="C419" t="b">
        <v>1</v>
      </c>
      <c r="D419">
        <v>8048</v>
      </c>
      <c r="E419">
        <v>8123</v>
      </c>
      <c r="F419">
        <v>9.1999999999999993</v>
      </c>
      <c r="G419">
        <v>6</v>
      </c>
      <c r="H419">
        <v>1.5333333</v>
      </c>
      <c r="I419">
        <v>-0.53333330000000001</v>
      </c>
      <c r="J419">
        <v>0.39473686000000002</v>
      </c>
    </row>
    <row r="420" spans="1:10" x14ac:dyDescent="0.3">
      <c r="A420">
        <v>418</v>
      </c>
      <c r="B420">
        <v>6639</v>
      </c>
      <c r="C420" t="b">
        <v>1</v>
      </c>
      <c r="D420">
        <v>8042</v>
      </c>
      <c r="E420">
        <v>8123</v>
      </c>
      <c r="F420">
        <v>9.1999999999999993</v>
      </c>
      <c r="G420">
        <v>6</v>
      </c>
      <c r="H420">
        <v>1.5333333</v>
      </c>
      <c r="I420">
        <v>-0.53333330000000001</v>
      </c>
      <c r="J420">
        <v>0.39473686000000002</v>
      </c>
    </row>
    <row r="421" spans="1:10" x14ac:dyDescent="0.3">
      <c r="A421">
        <v>419</v>
      </c>
      <c r="B421">
        <v>6655</v>
      </c>
      <c r="C421" t="b">
        <v>1</v>
      </c>
      <c r="D421">
        <v>8048</v>
      </c>
      <c r="E421">
        <v>8123</v>
      </c>
      <c r="F421">
        <v>9.1999999999999993</v>
      </c>
      <c r="G421">
        <v>6</v>
      </c>
      <c r="H421">
        <v>1.5333333</v>
      </c>
      <c r="I421">
        <v>-0.53333330000000001</v>
      </c>
      <c r="J421">
        <v>0.39473686000000002</v>
      </c>
    </row>
    <row r="422" spans="1:10" x14ac:dyDescent="0.3">
      <c r="A422">
        <v>420</v>
      </c>
      <c r="B422">
        <v>6671</v>
      </c>
      <c r="C422" t="b">
        <v>1</v>
      </c>
      <c r="D422">
        <v>8048</v>
      </c>
      <c r="E422">
        <v>8123</v>
      </c>
      <c r="F422">
        <v>9.1999999999999993</v>
      </c>
      <c r="G422">
        <v>6</v>
      </c>
      <c r="H422">
        <v>1.5333333</v>
      </c>
      <c r="I422">
        <v>-0.53333330000000001</v>
      </c>
      <c r="J422">
        <v>0.39473686000000002</v>
      </c>
    </row>
    <row r="423" spans="1:10" x14ac:dyDescent="0.3">
      <c r="A423">
        <v>421</v>
      </c>
      <c r="B423">
        <v>6687</v>
      </c>
      <c r="C423" t="b">
        <v>1</v>
      </c>
      <c r="D423">
        <v>8048</v>
      </c>
      <c r="E423">
        <v>8123</v>
      </c>
      <c r="F423">
        <v>9.1999999999999993</v>
      </c>
      <c r="G423">
        <v>6</v>
      </c>
      <c r="H423">
        <v>1.5333333</v>
      </c>
      <c r="I423">
        <v>-0.53333330000000001</v>
      </c>
      <c r="J423">
        <v>0.39473686000000002</v>
      </c>
    </row>
    <row r="424" spans="1:10" x14ac:dyDescent="0.3">
      <c r="A424">
        <v>422</v>
      </c>
      <c r="B424">
        <v>6703</v>
      </c>
      <c r="C424" t="b">
        <v>1</v>
      </c>
      <c r="D424">
        <v>8048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6718</v>
      </c>
      <c r="C425" t="b">
        <v>1</v>
      </c>
      <c r="D425">
        <v>8048</v>
      </c>
      <c r="E425">
        <v>8123</v>
      </c>
      <c r="F425">
        <v>9.1999999999999993</v>
      </c>
      <c r="G425">
        <v>6</v>
      </c>
      <c r="H425">
        <v>1.5333333</v>
      </c>
      <c r="I425">
        <v>-0.53333330000000001</v>
      </c>
      <c r="J425">
        <v>0.39473686000000002</v>
      </c>
    </row>
    <row r="426" spans="1:10" x14ac:dyDescent="0.3">
      <c r="A426">
        <v>424</v>
      </c>
      <c r="B426">
        <v>6734</v>
      </c>
      <c r="C426" t="b">
        <v>1</v>
      </c>
      <c r="D426">
        <v>8048</v>
      </c>
      <c r="E426">
        <v>8117</v>
      </c>
      <c r="F426">
        <v>9.1999999999999993</v>
      </c>
      <c r="G426">
        <v>6</v>
      </c>
      <c r="H426">
        <v>1.5333333</v>
      </c>
      <c r="I426">
        <v>-0.53333330000000001</v>
      </c>
      <c r="J426">
        <v>0.39473686000000002</v>
      </c>
    </row>
    <row r="427" spans="1:10" x14ac:dyDescent="0.3">
      <c r="A427">
        <v>425</v>
      </c>
      <c r="B427">
        <v>6750</v>
      </c>
      <c r="C427" t="b">
        <v>1</v>
      </c>
      <c r="D427">
        <v>8048</v>
      </c>
      <c r="E427">
        <v>8123</v>
      </c>
      <c r="F427">
        <v>8.8000000000000007</v>
      </c>
      <c r="G427">
        <v>6</v>
      </c>
      <c r="H427">
        <v>1.4666667</v>
      </c>
      <c r="I427">
        <v>-0.46666669999999999</v>
      </c>
      <c r="J427">
        <v>0.40540540000000003</v>
      </c>
    </row>
    <row r="428" spans="1:10" x14ac:dyDescent="0.3">
      <c r="A428">
        <v>426</v>
      </c>
      <c r="B428">
        <v>6765</v>
      </c>
      <c r="C428" t="b">
        <v>1</v>
      </c>
      <c r="D428">
        <v>8048</v>
      </c>
      <c r="E428">
        <v>8117</v>
      </c>
      <c r="F428">
        <v>8.4</v>
      </c>
      <c r="G428">
        <v>6</v>
      </c>
      <c r="H428">
        <v>1.4</v>
      </c>
      <c r="I428">
        <v>-0.39999994999999999</v>
      </c>
      <c r="J428">
        <v>0.4166667</v>
      </c>
    </row>
    <row r="429" spans="1:10" x14ac:dyDescent="0.3">
      <c r="A429">
        <v>427</v>
      </c>
      <c r="B429">
        <v>6781</v>
      </c>
      <c r="C429" t="b">
        <v>1</v>
      </c>
      <c r="D429">
        <v>8048</v>
      </c>
      <c r="E429">
        <v>8123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6797</v>
      </c>
      <c r="C430" t="b">
        <v>1</v>
      </c>
      <c r="D430">
        <v>8048</v>
      </c>
      <c r="E430">
        <v>8123</v>
      </c>
      <c r="F430">
        <v>8</v>
      </c>
      <c r="G430">
        <v>6.4</v>
      </c>
      <c r="H430">
        <v>1.25</v>
      </c>
      <c r="I430">
        <v>-0.24999999000000001</v>
      </c>
      <c r="J430">
        <v>0.44444447999999998</v>
      </c>
    </row>
    <row r="431" spans="1:10" x14ac:dyDescent="0.3">
      <c r="A431">
        <v>429</v>
      </c>
      <c r="B431">
        <v>6813</v>
      </c>
      <c r="C431" t="b">
        <v>1</v>
      </c>
      <c r="D431">
        <v>8054</v>
      </c>
      <c r="E431">
        <v>8117</v>
      </c>
      <c r="F431">
        <v>8</v>
      </c>
      <c r="G431">
        <v>6.8</v>
      </c>
      <c r="H431">
        <v>1.1764705</v>
      </c>
      <c r="I431">
        <v>-0.17647055</v>
      </c>
      <c r="J431">
        <v>0.45945944999999999</v>
      </c>
    </row>
    <row r="432" spans="1:10" x14ac:dyDescent="0.3">
      <c r="A432">
        <v>430</v>
      </c>
      <c r="B432">
        <v>6829</v>
      </c>
      <c r="C432" t="b">
        <v>1</v>
      </c>
      <c r="D432">
        <v>8048</v>
      </c>
      <c r="E432">
        <v>8117</v>
      </c>
      <c r="F432">
        <v>8</v>
      </c>
      <c r="G432">
        <v>6.8</v>
      </c>
      <c r="H432">
        <v>1.1764705</v>
      </c>
      <c r="I432">
        <v>-0.17647055</v>
      </c>
      <c r="J432">
        <v>0.45945944999999999</v>
      </c>
    </row>
    <row r="433" spans="1:10" x14ac:dyDescent="0.3">
      <c r="A433">
        <v>431</v>
      </c>
      <c r="B433">
        <v>6844</v>
      </c>
      <c r="C433" t="b">
        <v>1</v>
      </c>
      <c r="D433">
        <v>8048</v>
      </c>
      <c r="E433">
        <v>8117</v>
      </c>
      <c r="F433">
        <v>8</v>
      </c>
      <c r="G433">
        <v>6.8</v>
      </c>
      <c r="H433">
        <v>1.1764705</v>
      </c>
      <c r="I433">
        <v>-0.17647055</v>
      </c>
      <c r="J433">
        <v>0.45945944999999999</v>
      </c>
    </row>
    <row r="434" spans="1:10" x14ac:dyDescent="0.3">
      <c r="A434">
        <v>432</v>
      </c>
      <c r="B434">
        <v>6861</v>
      </c>
      <c r="C434" t="b">
        <v>1</v>
      </c>
      <c r="D434">
        <v>8048</v>
      </c>
      <c r="E434">
        <v>8123</v>
      </c>
      <c r="F434">
        <v>8</v>
      </c>
      <c r="G434">
        <v>6.8</v>
      </c>
      <c r="H434">
        <v>1.1764705</v>
      </c>
      <c r="I434">
        <v>-0.17647055</v>
      </c>
      <c r="J434">
        <v>0.45945944999999999</v>
      </c>
    </row>
    <row r="435" spans="1:10" x14ac:dyDescent="0.3">
      <c r="A435">
        <v>433</v>
      </c>
      <c r="B435">
        <v>6876</v>
      </c>
      <c r="C435" t="b">
        <v>1</v>
      </c>
      <c r="D435">
        <v>8048</v>
      </c>
      <c r="E435">
        <v>8117</v>
      </c>
      <c r="F435">
        <v>8</v>
      </c>
      <c r="G435">
        <v>6.4</v>
      </c>
      <c r="H435">
        <v>1.25</v>
      </c>
      <c r="I435">
        <v>-0.24999999000000001</v>
      </c>
      <c r="J435">
        <v>0.44444447999999998</v>
      </c>
    </row>
    <row r="436" spans="1:10" x14ac:dyDescent="0.3">
      <c r="A436">
        <v>434</v>
      </c>
      <c r="B436">
        <v>6892</v>
      </c>
      <c r="C436" t="b">
        <v>1</v>
      </c>
      <c r="D436">
        <v>8048</v>
      </c>
      <c r="E436">
        <v>8117</v>
      </c>
      <c r="F436">
        <v>8</v>
      </c>
      <c r="G436">
        <v>6</v>
      </c>
      <c r="H436">
        <v>1.3333333999999999</v>
      </c>
      <c r="I436">
        <v>-0.33333333999999998</v>
      </c>
      <c r="J436">
        <v>0.42857142999999998</v>
      </c>
    </row>
    <row r="437" spans="1:10" x14ac:dyDescent="0.3">
      <c r="A437">
        <v>435</v>
      </c>
      <c r="B437">
        <v>6907</v>
      </c>
      <c r="C437" t="b">
        <v>1</v>
      </c>
      <c r="D437">
        <v>8048</v>
      </c>
      <c r="E437">
        <v>8117</v>
      </c>
      <c r="F437">
        <v>8</v>
      </c>
      <c r="G437">
        <v>5.6</v>
      </c>
      <c r="H437">
        <v>1.4285715000000001</v>
      </c>
      <c r="I437">
        <v>-0.42857146000000002</v>
      </c>
      <c r="J437">
        <v>0.41176467999999999</v>
      </c>
    </row>
    <row r="438" spans="1:10" x14ac:dyDescent="0.3">
      <c r="A438">
        <v>436</v>
      </c>
      <c r="B438">
        <v>6924</v>
      </c>
      <c r="C438" t="b">
        <v>1</v>
      </c>
      <c r="D438">
        <v>8054</v>
      </c>
      <c r="E438">
        <v>8117</v>
      </c>
      <c r="F438">
        <v>8</v>
      </c>
      <c r="G438">
        <v>5.2</v>
      </c>
      <c r="H438">
        <v>1.5384616</v>
      </c>
      <c r="I438">
        <v>-0.53846156999999994</v>
      </c>
      <c r="J438">
        <v>0.39393938000000001</v>
      </c>
    </row>
    <row r="439" spans="1:10" x14ac:dyDescent="0.3">
      <c r="A439">
        <v>437</v>
      </c>
      <c r="B439">
        <v>6940</v>
      </c>
      <c r="C439" t="b">
        <v>1</v>
      </c>
      <c r="D439">
        <v>8048</v>
      </c>
      <c r="E439">
        <v>8117</v>
      </c>
      <c r="F439">
        <v>8</v>
      </c>
      <c r="G439">
        <v>4.8</v>
      </c>
      <c r="H439">
        <v>1.6666666000000001</v>
      </c>
      <c r="I439">
        <v>-0.6666666</v>
      </c>
      <c r="J439">
        <v>0.375</v>
      </c>
    </row>
    <row r="440" spans="1:10" x14ac:dyDescent="0.3">
      <c r="A440">
        <v>438</v>
      </c>
      <c r="B440">
        <v>6955</v>
      </c>
      <c r="C440" t="b">
        <v>1</v>
      </c>
      <c r="D440">
        <v>8048</v>
      </c>
      <c r="E440">
        <v>8111</v>
      </c>
      <c r="F440">
        <v>8</v>
      </c>
      <c r="G440">
        <v>4.4000000000000004</v>
      </c>
      <c r="H440">
        <v>1.8181818000000001</v>
      </c>
      <c r="I440">
        <v>-0.81818175000000004</v>
      </c>
      <c r="J440">
        <v>0.35483872999999999</v>
      </c>
    </row>
    <row r="441" spans="1:10" x14ac:dyDescent="0.3">
      <c r="A441">
        <v>439</v>
      </c>
      <c r="B441">
        <v>6971</v>
      </c>
      <c r="C441" t="b">
        <v>1</v>
      </c>
      <c r="D441">
        <v>8048</v>
      </c>
      <c r="E441">
        <v>8123</v>
      </c>
      <c r="F441">
        <v>8</v>
      </c>
      <c r="G441">
        <v>4</v>
      </c>
      <c r="H441">
        <v>2</v>
      </c>
      <c r="I441">
        <v>-1</v>
      </c>
      <c r="J441">
        <v>0.33333333999999998</v>
      </c>
    </row>
    <row r="442" spans="1:10" x14ac:dyDescent="0.3">
      <c r="A442">
        <v>440</v>
      </c>
      <c r="B442">
        <v>6987</v>
      </c>
      <c r="C442" t="b">
        <v>1</v>
      </c>
      <c r="D442">
        <v>8048</v>
      </c>
      <c r="E442">
        <v>8117</v>
      </c>
      <c r="F442">
        <v>8</v>
      </c>
      <c r="G442">
        <v>3.6</v>
      </c>
      <c r="H442">
        <v>2.2222222999999999</v>
      </c>
      <c r="I442">
        <v>-1.2222223000000001</v>
      </c>
      <c r="J442">
        <v>0.31034482000000002</v>
      </c>
    </row>
    <row r="443" spans="1:10" x14ac:dyDescent="0.3">
      <c r="A443">
        <v>441</v>
      </c>
      <c r="B443">
        <v>7003</v>
      </c>
      <c r="C443" t="b">
        <v>1</v>
      </c>
      <c r="D443">
        <v>8048</v>
      </c>
      <c r="E443">
        <v>8117</v>
      </c>
      <c r="F443">
        <v>8</v>
      </c>
      <c r="G443">
        <v>3.2</v>
      </c>
      <c r="H443">
        <v>2.5</v>
      </c>
      <c r="I443">
        <v>-1.5</v>
      </c>
      <c r="J443">
        <v>0.28571429999999998</v>
      </c>
    </row>
    <row r="444" spans="1:10" x14ac:dyDescent="0.3">
      <c r="A444">
        <v>442</v>
      </c>
      <c r="B444">
        <v>7019</v>
      </c>
      <c r="C444" t="b">
        <v>1</v>
      </c>
      <c r="D444">
        <v>8048</v>
      </c>
      <c r="E444">
        <v>8117</v>
      </c>
      <c r="F444">
        <v>8</v>
      </c>
      <c r="G444">
        <v>2.8</v>
      </c>
      <c r="H444">
        <v>2.8571430000000002</v>
      </c>
      <c r="I444">
        <v>-1.8571428000000001</v>
      </c>
      <c r="J444">
        <v>0.25925925</v>
      </c>
    </row>
    <row r="445" spans="1:10" x14ac:dyDescent="0.3">
      <c r="A445">
        <v>443</v>
      </c>
      <c r="B445">
        <v>7035</v>
      </c>
      <c r="C445" t="b">
        <v>1</v>
      </c>
      <c r="D445">
        <v>8048</v>
      </c>
      <c r="E445">
        <v>8117</v>
      </c>
      <c r="F445">
        <v>8</v>
      </c>
      <c r="G445">
        <v>2.4</v>
      </c>
      <c r="H445">
        <v>3.3333333000000001</v>
      </c>
      <c r="I445">
        <v>-2.3333333000000001</v>
      </c>
      <c r="J445">
        <v>0.23076925000000001</v>
      </c>
    </row>
    <row r="446" spans="1:10" x14ac:dyDescent="0.3">
      <c r="A446">
        <v>444</v>
      </c>
      <c r="B446">
        <v>7051</v>
      </c>
      <c r="C446" t="b">
        <v>1</v>
      </c>
      <c r="D446">
        <v>8060</v>
      </c>
      <c r="E446">
        <v>8117</v>
      </c>
      <c r="F446">
        <v>8</v>
      </c>
      <c r="G446">
        <v>2</v>
      </c>
      <c r="H446">
        <v>4</v>
      </c>
      <c r="I446">
        <v>-3</v>
      </c>
      <c r="J446">
        <v>0.2</v>
      </c>
    </row>
    <row r="447" spans="1:10" x14ac:dyDescent="0.3">
      <c r="A447">
        <v>445</v>
      </c>
      <c r="B447">
        <v>7067</v>
      </c>
      <c r="C447" t="b">
        <v>1</v>
      </c>
      <c r="D447">
        <v>8060</v>
      </c>
      <c r="E447">
        <v>8117</v>
      </c>
      <c r="F447">
        <v>8</v>
      </c>
      <c r="G447">
        <v>2</v>
      </c>
      <c r="H447">
        <v>4</v>
      </c>
      <c r="I447">
        <v>-3</v>
      </c>
      <c r="J447">
        <v>0.2</v>
      </c>
    </row>
    <row r="448" spans="1:10" x14ac:dyDescent="0.3">
      <c r="A448">
        <v>446</v>
      </c>
      <c r="B448">
        <v>7083</v>
      </c>
      <c r="C448" t="b">
        <v>1</v>
      </c>
      <c r="D448">
        <v>8054</v>
      </c>
      <c r="E448">
        <v>8117</v>
      </c>
      <c r="F448">
        <v>8.4</v>
      </c>
      <c r="G448">
        <v>2</v>
      </c>
      <c r="H448">
        <v>4.2</v>
      </c>
      <c r="I448">
        <v>-3.1999998000000001</v>
      </c>
      <c r="J448">
        <v>0.1923077</v>
      </c>
    </row>
    <row r="449" spans="1:10" x14ac:dyDescent="0.3">
      <c r="A449">
        <v>447</v>
      </c>
      <c r="B449">
        <v>7099</v>
      </c>
      <c r="C449" t="b">
        <v>1</v>
      </c>
      <c r="D449">
        <v>8054</v>
      </c>
      <c r="E449">
        <v>8123</v>
      </c>
      <c r="F449">
        <v>8.8000000000000007</v>
      </c>
      <c r="G449">
        <v>2</v>
      </c>
      <c r="H449">
        <v>4.4000000000000004</v>
      </c>
      <c r="I449">
        <v>-3.4</v>
      </c>
      <c r="J449">
        <v>0.18518518</v>
      </c>
    </row>
    <row r="450" spans="1:10" x14ac:dyDescent="0.3">
      <c r="A450">
        <v>448</v>
      </c>
      <c r="B450">
        <v>7115</v>
      </c>
      <c r="C450" t="b">
        <v>1</v>
      </c>
      <c r="D450">
        <v>8054</v>
      </c>
      <c r="E450">
        <v>8123</v>
      </c>
      <c r="F450">
        <v>9.1999999999999993</v>
      </c>
      <c r="G450">
        <v>2</v>
      </c>
      <c r="H450">
        <v>4.5999999999999996</v>
      </c>
      <c r="I450">
        <v>-3.6</v>
      </c>
      <c r="J450">
        <v>0.17857143</v>
      </c>
    </row>
    <row r="451" spans="1:10" x14ac:dyDescent="0.3">
      <c r="A451">
        <v>449</v>
      </c>
      <c r="B451">
        <v>7131</v>
      </c>
      <c r="C451" t="b">
        <v>1</v>
      </c>
      <c r="D451">
        <v>8054</v>
      </c>
      <c r="E451">
        <v>8123</v>
      </c>
      <c r="F451">
        <v>9.6</v>
      </c>
      <c r="G451">
        <v>2.4</v>
      </c>
      <c r="H451">
        <v>4</v>
      </c>
      <c r="I451">
        <v>-3</v>
      </c>
      <c r="J451">
        <v>0.2</v>
      </c>
    </row>
    <row r="452" spans="1:10" x14ac:dyDescent="0.3">
      <c r="A452">
        <v>450</v>
      </c>
      <c r="B452">
        <v>7147</v>
      </c>
      <c r="C452" t="b">
        <v>1</v>
      </c>
      <c r="D452">
        <v>8048</v>
      </c>
      <c r="E452">
        <v>8123</v>
      </c>
      <c r="F452">
        <v>10</v>
      </c>
      <c r="G452">
        <v>2.8</v>
      </c>
      <c r="H452">
        <v>3.5714285000000001</v>
      </c>
      <c r="I452">
        <v>-2.5714285000000001</v>
      </c>
      <c r="J452">
        <v>0.21875</v>
      </c>
    </row>
    <row r="453" spans="1:10" x14ac:dyDescent="0.3">
      <c r="A453">
        <v>451</v>
      </c>
      <c r="B453">
        <v>7162</v>
      </c>
      <c r="C453" t="b">
        <v>1</v>
      </c>
      <c r="D453">
        <v>8048</v>
      </c>
      <c r="E453">
        <v>8123</v>
      </c>
      <c r="F453">
        <v>10.4</v>
      </c>
      <c r="G453">
        <v>3.2</v>
      </c>
      <c r="H453">
        <v>3.2499997999999999</v>
      </c>
      <c r="I453">
        <v>-2.25</v>
      </c>
      <c r="J453">
        <v>0.23529412999999999</v>
      </c>
    </row>
    <row r="454" spans="1:10" x14ac:dyDescent="0.3">
      <c r="A454">
        <v>452</v>
      </c>
      <c r="B454">
        <v>7178</v>
      </c>
      <c r="C454" t="b">
        <v>1</v>
      </c>
      <c r="D454">
        <v>8048</v>
      </c>
      <c r="E454">
        <v>8123</v>
      </c>
      <c r="F454">
        <v>10.4</v>
      </c>
      <c r="G454">
        <v>3.6</v>
      </c>
      <c r="H454">
        <v>2.8888888000000001</v>
      </c>
      <c r="I454">
        <v>-1.8888887999999999</v>
      </c>
      <c r="J454">
        <v>0.25714283999999998</v>
      </c>
    </row>
    <row r="455" spans="1:10" x14ac:dyDescent="0.3">
      <c r="A455">
        <v>453</v>
      </c>
      <c r="B455">
        <v>7194</v>
      </c>
      <c r="C455" t="b">
        <v>1</v>
      </c>
      <c r="D455">
        <v>8048</v>
      </c>
      <c r="E455">
        <v>8123</v>
      </c>
      <c r="F455">
        <v>10.4</v>
      </c>
      <c r="G455">
        <v>4</v>
      </c>
      <c r="H455">
        <v>2.6</v>
      </c>
      <c r="I455">
        <v>-1.5999999</v>
      </c>
      <c r="J455">
        <v>0.27777780000000002</v>
      </c>
    </row>
    <row r="456" spans="1:10" x14ac:dyDescent="0.3">
      <c r="A456">
        <v>454</v>
      </c>
      <c r="B456">
        <v>7210</v>
      </c>
      <c r="C456" t="b">
        <v>1</v>
      </c>
      <c r="D456">
        <v>8048</v>
      </c>
      <c r="E456">
        <v>8123</v>
      </c>
      <c r="F456">
        <v>10.4</v>
      </c>
      <c r="G456">
        <v>4.4000000000000004</v>
      </c>
      <c r="H456">
        <v>2.3636363</v>
      </c>
      <c r="I456">
        <v>-1.3636363</v>
      </c>
      <c r="J456">
        <v>0.29729733000000003</v>
      </c>
    </row>
    <row r="457" spans="1:10" x14ac:dyDescent="0.3">
      <c r="A457">
        <v>455</v>
      </c>
      <c r="B457">
        <v>7226</v>
      </c>
      <c r="C457" t="b">
        <v>1</v>
      </c>
      <c r="D457">
        <v>8048</v>
      </c>
      <c r="E457">
        <v>8123</v>
      </c>
      <c r="F457">
        <v>10.4</v>
      </c>
      <c r="G457">
        <v>4.8</v>
      </c>
      <c r="H457">
        <v>2.1666664999999998</v>
      </c>
      <c r="I457">
        <v>-1.1666665000000001</v>
      </c>
      <c r="J457">
        <v>0.3157895</v>
      </c>
    </row>
    <row r="458" spans="1:10" x14ac:dyDescent="0.3">
      <c r="A458">
        <v>456</v>
      </c>
      <c r="B458">
        <v>7242</v>
      </c>
      <c r="C458" t="b">
        <v>1</v>
      </c>
      <c r="D458">
        <v>8048</v>
      </c>
      <c r="E458">
        <v>8123</v>
      </c>
      <c r="F458">
        <v>10.4</v>
      </c>
      <c r="G458">
        <v>5.2</v>
      </c>
      <c r="H458">
        <v>2</v>
      </c>
      <c r="I458">
        <v>-1</v>
      </c>
      <c r="J458">
        <v>0.33333333999999998</v>
      </c>
    </row>
    <row r="459" spans="1:10" x14ac:dyDescent="0.3">
      <c r="A459">
        <v>457</v>
      </c>
      <c r="B459">
        <v>7258</v>
      </c>
      <c r="C459" t="b">
        <v>1</v>
      </c>
      <c r="D459">
        <v>8048</v>
      </c>
      <c r="E459">
        <v>8129</v>
      </c>
      <c r="F459">
        <v>10.4</v>
      </c>
      <c r="G459">
        <v>5.6</v>
      </c>
      <c r="H459">
        <v>1.8571428000000001</v>
      </c>
      <c r="I459">
        <v>-0.85714279999999998</v>
      </c>
      <c r="J459">
        <v>0.35</v>
      </c>
    </row>
    <row r="460" spans="1:10" x14ac:dyDescent="0.3">
      <c r="A460">
        <v>458</v>
      </c>
      <c r="B460">
        <v>7273</v>
      </c>
      <c r="C460" t="b">
        <v>1</v>
      </c>
      <c r="D460">
        <v>8048</v>
      </c>
      <c r="E460">
        <v>8123</v>
      </c>
      <c r="F460">
        <v>10.4</v>
      </c>
      <c r="G460">
        <v>6</v>
      </c>
      <c r="H460">
        <v>1.7333331999999999</v>
      </c>
      <c r="I460">
        <v>-0.73333329999999997</v>
      </c>
      <c r="J460">
        <v>0.36585367000000002</v>
      </c>
    </row>
    <row r="461" spans="1:10" x14ac:dyDescent="0.3">
      <c r="A461">
        <v>459</v>
      </c>
      <c r="B461">
        <v>7289</v>
      </c>
      <c r="C461" t="b">
        <v>1</v>
      </c>
      <c r="D461">
        <v>8048</v>
      </c>
      <c r="E461">
        <v>8123</v>
      </c>
      <c r="F461">
        <v>10.4</v>
      </c>
      <c r="G461">
        <v>6.4</v>
      </c>
      <c r="H461">
        <v>1.6249998999999999</v>
      </c>
      <c r="I461">
        <v>-0.62499994000000003</v>
      </c>
      <c r="J461">
        <v>0.38095242000000001</v>
      </c>
    </row>
    <row r="462" spans="1:10" x14ac:dyDescent="0.3">
      <c r="A462">
        <v>460</v>
      </c>
      <c r="B462">
        <v>7305</v>
      </c>
      <c r="C462" t="b">
        <v>1</v>
      </c>
      <c r="D462">
        <v>8048</v>
      </c>
      <c r="E462">
        <v>8129</v>
      </c>
      <c r="F462">
        <v>10.4</v>
      </c>
      <c r="G462">
        <v>6.8</v>
      </c>
      <c r="H462">
        <v>1.5294117</v>
      </c>
      <c r="I462">
        <v>-0.52941170000000004</v>
      </c>
      <c r="J462">
        <v>0.39534881999999999</v>
      </c>
    </row>
    <row r="463" spans="1:10" x14ac:dyDescent="0.3">
      <c r="A463">
        <v>461</v>
      </c>
      <c r="B463">
        <v>7321</v>
      </c>
      <c r="C463" t="b">
        <v>1</v>
      </c>
      <c r="D463">
        <v>8054</v>
      </c>
      <c r="E463">
        <v>8123</v>
      </c>
      <c r="F463">
        <v>10</v>
      </c>
      <c r="G463">
        <v>7.2</v>
      </c>
      <c r="H463">
        <v>1.388889</v>
      </c>
      <c r="I463">
        <v>-0.38888893000000002</v>
      </c>
      <c r="J463">
        <v>0.41860459999999999</v>
      </c>
    </row>
    <row r="464" spans="1:10" x14ac:dyDescent="0.3">
      <c r="A464">
        <v>462</v>
      </c>
      <c r="B464">
        <v>7337</v>
      </c>
      <c r="C464" t="b">
        <v>1</v>
      </c>
      <c r="D464">
        <v>8054</v>
      </c>
      <c r="E464">
        <v>8123</v>
      </c>
      <c r="F464">
        <v>9.6</v>
      </c>
      <c r="G464">
        <v>7.6</v>
      </c>
      <c r="H464">
        <v>1.263158</v>
      </c>
      <c r="I464">
        <v>-0.26315796000000002</v>
      </c>
      <c r="J464">
        <v>0.44186044000000002</v>
      </c>
    </row>
    <row r="465" spans="1:10" x14ac:dyDescent="0.3">
      <c r="A465">
        <v>463</v>
      </c>
      <c r="B465">
        <v>7353</v>
      </c>
      <c r="C465" t="b">
        <v>1</v>
      </c>
      <c r="D465">
        <v>8048</v>
      </c>
      <c r="E465">
        <v>8123</v>
      </c>
      <c r="F465">
        <v>9.1999999999999993</v>
      </c>
      <c r="G465">
        <v>8</v>
      </c>
      <c r="H465">
        <v>1.1499999999999999</v>
      </c>
      <c r="I465">
        <v>-0.14999998</v>
      </c>
      <c r="J465">
        <v>0.46511626</v>
      </c>
    </row>
    <row r="466" spans="1:10" x14ac:dyDescent="0.3">
      <c r="A466">
        <v>464</v>
      </c>
      <c r="B466">
        <v>7369</v>
      </c>
      <c r="C466" t="b">
        <v>1</v>
      </c>
      <c r="D466">
        <v>8042</v>
      </c>
      <c r="E466">
        <v>8123</v>
      </c>
      <c r="F466">
        <v>8.8000000000000007</v>
      </c>
      <c r="G466">
        <v>8</v>
      </c>
      <c r="H466">
        <v>1.1000000000000001</v>
      </c>
      <c r="I466">
        <v>-0.10000002400000001</v>
      </c>
      <c r="J466">
        <v>0.47619050000000002</v>
      </c>
    </row>
    <row r="467" spans="1:10" x14ac:dyDescent="0.3">
      <c r="A467">
        <v>465</v>
      </c>
      <c r="B467">
        <v>7385</v>
      </c>
      <c r="C467" t="b">
        <v>1</v>
      </c>
      <c r="D467">
        <v>8048</v>
      </c>
      <c r="E467">
        <v>8123</v>
      </c>
      <c r="F467">
        <v>8.4</v>
      </c>
      <c r="G467">
        <v>8</v>
      </c>
      <c r="H467">
        <v>1.05</v>
      </c>
      <c r="I467">
        <v>-4.9999952E-2</v>
      </c>
      <c r="J467">
        <v>0.48780489999999999</v>
      </c>
    </row>
    <row r="468" spans="1:10" x14ac:dyDescent="0.3">
      <c r="A468">
        <v>466</v>
      </c>
      <c r="B468">
        <v>7401</v>
      </c>
      <c r="C468" t="b">
        <v>1</v>
      </c>
      <c r="D468">
        <v>8048</v>
      </c>
      <c r="E468">
        <v>8129</v>
      </c>
      <c r="F468">
        <v>8</v>
      </c>
      <c r="G468">
        <v>8</v>
      </c>
      <c r="H468">
        <v>1</v>
      </c>
      <c r="I468">
        <v>0</v>
      </c>
      <c r="J468">
        <v>0.5</v>
      </c>
    </row>
    <row r="469" spans="1:10" x14ac:dyDescent="0.3">
      <c r="A469">
        <v>467</v>
      </c>
      <c r="B469">
        <v>7417</v>
      </c>
      <c r="C469" t="b">
        <v>1</v>
      </c>
      <c r="D469">
        <v>8048</v>
      </c>
      <c r="E469">
        <v>8123</v>
      </c>
      <c r="F469">
        <v>8</v>
      </c>
      <c r="G469">
        <v>8</v>
      </c>
      <c r="H469">
        <v>1</v>
      </c>
      <c r="I469">
        <v>0</v>
      </c>
      <c r="J469">
        <v>0.5</v>
      </c>
    </row>
    <row r="470" spans="1:10" x14ac:dyDescent="0.3">
      <c r="A470">
        <v>468</v>
      </c>
      <c r="B470">
        <v>7433</v>
      </c>
      <c r="C470" t="b">
        <v>1</v>
      </c>
      <c r="D470">
        <v>8048</v>
      </c>
      <c r="E470">
        <v>8123</v>
      </c>
      <c r="F470">
        <v>8</v>
      </c>
      <c r="G470">
        <v>8</v>
      </c>
      <c r="H470">
        <v>1</v>
      </c>
      <c r="I470">
        <v>0</v>
      </c>
      <c r="J470">
        <v>0.5</v>
      </c>
    </row>
    <row r="471" spans="1:10" x14ac:dyDescent="0.3">
      <c r="A471">
        <v>469</v>
      </c>
      <c r="B471">
        <v>7449</v>
      </c>
      <c r="C471" t="b">
        <v>1</v>
      </c>
      <c r="D471">
        <v>8048</v>
      </c>
      <c r="E471">
        <v>8123</v>
      </c>
      <c r="F471">
        <v>8</v>
      </c>
      <c r="G471">
        <v>8</v>
      </c>
      <c r="H471">
        <v>1</v>
      </c>
      <c r="I471">
        <v>0</v>
      </c>
      <c r="J471">
        <v>0.5</v>
      </c>
    </row>
    <row r="472" spans="1:10" x14ac:dyDescent="0.3">
      <c r="A472">
        <v>470</v>
      </c>
      <c r="B472">
        <v>7464</v>
      </c>
      <c r="C472" t="b">
        <v>1</v>
      </c>
      <c r="D472">
        <v>8048</v>
      </c>
      <c r="E472">
        <v>8123</v>
      </c>
      <c r="F472">
        <v>8</v>
      </c>
      <c r="G472">
        <v>8</v>
      </c>
      <c r="H472">
        <v>1</v>
      </c>
      <c r="I472">
        <v>0</v>
      </c>
      <c r="J472">
        <v>0.5</v>
      </c>
    </row>
    <row r="473" spans="1:10" x14ac:dyDescent="0.3">
      <c r="A473">
        <v>471</v>
      </c>
      <c r="B473">
        <v>7480</v>
      </c>
      <c r="C473" t="b">
        <v>1</v>
      </c>
      <c r="D473">
        <v>8048</v>
      </c>
      <c r="E473">
        <v>8123</v>
      </c>
      <c r="F473">
        <v>8</v>
      </c>
      <c r="G473">
        <v>8</v>
      </c>
      <c r="H473">
        <v>1</v>
      </c>
      <c r="I473">
        <v>0</v>
      </c>
      <c r="J473">
        <v>0.5</v>
      </c>
    </row>
    <row r="474" spans="1:10" x14ac:dyDescent="0.3">
      <c r="A474">
        <v>472</v>
      </c>
      <c r="B474">
        <v>7496</v>
      </c>
      <c r="C474" t="b">
        <v>1</v>
      </c>
      <c r="D474">
        <v>8042</v>
      </c>
      <c r="E474">
        <v>8123</v>
      </c>
      <c r="F474">
        <v>8</v>
      </c>
      <c r="G474">
        <v>8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7512</v>
      </c>
      <c r="C475" t="b">
        <v>1</v>
      </c>
      <c r="D475">
        <v>8048</v>
      </c>
      <c r="E475">
        <v>8123</v>
      </c>
      <c r="F475">
        <v>8</v>
      </c>
      <c r="G475">
        <v>8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7528</v>
      </c>
      <c r="C476" t="b">
        <v>1</v>
      </c>
      <c r="D476">
        <v>8048</v>
      </c>
      <c r="E476">
        <v>8123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7544</v>
      </c>
      <c r="C477" t="b">
        <v>1</v>
      </c>
      <c r="D477">
        <v>8054</v>
      </c>
      <c r="E477">
        <v>8123</v>
      </c>
      <c r="F477">
        <v>8</v>
      </c>
      <c r="G477">
        <v>8</v>
      </c>
      <c r="H477">
        <v>1</v>
      </c>
      <c r="I477">
        <v>0</v>
      </c>
      <c r="J477">
        <v>0.5</v>
      </c>
    </row>
    <row r="478" spans="1:10" x14ac:dyDescent="0.3">
      <c r="A478">
        <v>476</v>
      </c>
      <c r="B478">
        <v>7560</v>
      </c>
      <c r="C478" t="b">
        <v>1</v>
      </c>
      <c r="D478">
        <v>8042</v>
      </c>
      <c r="E478">
        <v>8123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7576</v>
      </c>
      <c r="C479" t="b">
        <v>1</v>
      </c>
      <c r="D479">
        <v>8042</v>
      </c>
      <c r="E479">
        <v>8123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7592</v>
      </c>
      <c r="C480" t="b">
        <v>1</v>
      </c>
      <c r="D480">
        <v>8042</v>
      </c>
      <c r="E480">
        <v>8123</v>
      </c>
      <c r="F480">
        <v>7.6</v>
      </c>
      <c r="G480">
        <v>8</v>
      </c>
      <c r="H480">
        <v>0.95</v>
      </c>
      <c r="I480">
        <v>5.0000012000000003E-2</v>
      </c>
      <c r="J480">
        <v>0.51282050000000001</v>
      </c>
    </row>
    <row r="481" spans="1:10" x14ac:dyDescent="0.3">
      <c r="A481">
        <v>479</v>
      </c>
      <c r="B481">
        <v>7608</v>
      </c>
      <c r="C481" t="b">
        <v>1</v>
      </c>
      <c r="D481">
        <v>8042</v>
      </c>
      <c r="E481">
        <v>8123</v>
      </c>
      <c r="F481">
        <v>7.2</v>
      </c>
      <c r="G481">
        <v>8</v>
      </c>
      <c r="H481">
        <v>0.9</v>
      </c>
      <c r="I481">
        <v>0.10000002400000001</v>
      </c>
      <c r="J481">
        <v>0.5263158</v>
      </c>
    </row>
    <row r="482" spans="1:10" x14ac:dyDescent="0.3">
      <c r="A482">
        <v>480</v>
      </c>
      <c r="B482">
        <v>7623</v>
      </c>
      <c r="C482" t="b">
        <v>1</v>
      </c>
      <c r="D482">
        <v>8042</v>
      </c>
      <c r="E482">
        <v>8123</v>
      </c>
      <c r="F482">
        <v>6.8</v>
      </c>
      <c r="G482">
        <v>8</v>
      </c>
      <c r="H482">
        <v>0.85</v>
      </c>
      <c r="I482">
        <v>0.14999998</v>
      </c>
      <c r="J482">
        <v>0.54054049999999998</v>
      </c>
    </row>
    <row r="483" spans="1:10" x14ac:dyDescent="0.3">
      <c r="A483">
        <v>481</v>
      </c>
      <c r="B483">
        <v>7639</v>
      </c>
      <c r="C483" t="b">
        <v>1</v>
      </c>
      <c r="D483">
        <v>8042</v>
      </c>
      <c r="E483">
        <v>8117</v>
      </c>
      <c r="F483">
        <v>6.4</v>
      </c>
      <c r="G483">
        <v>8</v>
      </c>
      <c r="H483">
        <v>0.8</v>
      </c>
      <c r="I483">
        <v>0.19999998999999999</v>
      </c>
      <c r="J483">
        <v>0.55555560000000004</v>
      </c>
    </row>
    <row r="484" spans="1:10" x14ac:dyDescent="0.3">
      <c r="A484">
        <v>482</v>
      </c>
      <c r="B484">
        <v>7655</v>
      </c>
      <c r="C484" t="b">
        <v>1</v>
      </c>
      <c r="D484">
        <v>8042</v>
      </c>
      <c r="E484">
        <v>8123</v>
      </c>
      <c r="F484">
        <v>6</v>
      </c>
      <c r="G484">
        <v>8</v>
      </c>
      <c r="H484">
        <v>0.75</v>
      </c>
      <c r="I484">
        <v>0.25</v>
      </c>
      <c r="J484">
        <v>0.57142859999999995</v>
      </c>
    </row>
    <row r="485" spans="1:10" x14ac:dyDescent="0.3">
      <c r="A485">
        <v>483</v>
      </c>
      <c r="B485">
        <v>7671</v>
      </c>
      <c r="C485" t="b">
        <v>1</v>
      </c>
      <c r="D485">
        <v>8048</v>
      </c>
      <c r="E485">
        <v>8129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7687</v>
      </c>
      <c r="C486" t="b">
        <v>1</v>
      </c>
      <c r="D486">
        <v>8048</v>
      </c>
      <c r="E486">
        <v>8123</v>
      </c>
      <c r="F486">
        <v>5.2</v>
      </c>
      <c r="G486">
        <v>8</v>
      </c>
      <c r="H486">
        <v>0.65</v>
      </c>
      <c r="I486">
        <v>0.35000002000000002</v>
      </c>
      <c r="J486">
        <v>0.60606059999999995</v>
      </c>
    </row>
    <row r="487" spans="1:10" x14ac:dyDescent="0.3">
      <c r="A487">
        <v>485</v>
      </c>
      <c r="B487">
        <v>7703</v>
      </c>
      <c r="C487" t="b">
        <v>1</v>
      </c>
      <c r="D487">
        <v>8048</v>
      </c>
      <c r="E487">
        <v>8123</v>
      </c>
      <c r="F487">
        <v>5.2</v>
      </c>
      <c r="G487">
        <v>8</v>
      </c>
      <c r="H487">
        <v>0.65</v>
      </c>
      <c r="I487">
        <v>0.35000002000000002</v>
      </c>
      <c r="J487">
        <v>0.60606059999999995</v>
      </c>
    </row>
    <row r="488" spans="1:10" x14ac:dyDescent="0.3">
      <c r="A488">
        <v>486</v>
      </c>
      <c r="B488">
        <v>7719</v>
      </c>
      <c r="C488" t="b">
        <v>1</v>
      </c>
      <c r="D488">
        <v>8048</v>
      </c>
      <c r="E488">
        <v>8123</v>
      </c>
      <c r="F488">
        <v>5.2</v>
      </c>
      <c r="G488">
        <v>8</v>
      </c>
      <c r="H488">
        <v>0.65</v>
      </c>
      <c r="I488">
        <v>0.35000002000000002</v>
      </c>
      <c r="J488">
        <v>0.60606059999999995</v>
      </c>
    </row>
    <row r="489" spans="1:10" x14ac:dyDescent="0.3">
      <c r="A489">
        <v>487</v>
      </c>
      <c r="B489">
        <v>7735</v>
      </c>
      <c r="C489" t="b">
        <v>1</v>
      </c>
      <c r="D489">
        <v>8042</v>
      </c>
      <c r="E489">
        <v>8117</v>
      </c>
      <c r="F489">
        <v>5.2</v>
      </c>
      <c r="G489">
        <v>8</v>
      </c>
      <c r="H489">
        <v>0.65</v>
      </c>
      <c r="I489">
        <v>0.35000002000000002</v>
      </c>
      <c r="J489">
        <v>0.60606059999999995</v>
      </c>
    </row>
    <row r="490" spans="1:10" x14ac:dyDescent="0.3">
      <c r="A490">
        <v>488</v>
      </c>
      <c r="B490">
        <v>7751</v>
      </c>
      <c r="C490" t="b">
        <v>1</v>
      </c>
      <c r="D490">
        <v>8054</v>
      </c>
      <c r="E490">
        <v>8123</v>
      </c>
      <c r="F490">
        <v>5.2</v>
      </c>
      <c r="G490">
        <v>8</v>
      </c>
      <c r="H490">
        <v>0.65</v>
      </c>
      <c r="I490">
        <v>0.35000002000000002</v>
      </c>
      <c r="J490">
        <v>0.60606059999999995</v>
      </c>
    </row>
    <row r="491" spans="1:10" x14ac:dyDescent="0.3">
      <c r="A491">
        <v>489</v>
      </c>
      <c r="B491">
        <v>7767</v>
      </c>
      <c r="C491" t="b">
        <v>1</v>
      </c>
      <c r="D491">
        <v>8048</v>
      </c>
      <c r="E491">
        <v>8123</v>
      </c>
      <c r="F491">
        <v>5.2</v>
      </c>
      <c r="G491">
        <v>8</v>
      </c>
      <c r="H491">
        <v>0.65</v>
      </c>
      <c r="I491">
        <v>0.35000002000000002</v>
      </c>
      <c r="J491">
        <v>0.60606059999999995</v>
      </c>
    </row>
    <row r="492" spans="1:10" x14ac:dyDescent="0.3">
      <c r="A492">
        <v>490</v>
      </c>
      <c r="B492">
        <v>7783</v>
      </c>
      <c r="C492" t="b">
        <v>1</v>
      </c>
      <c r="D492">
        <v>8048</v>
      </c>
      <c r="E492">
        <v>8123</v>
      </c>
      <c r="F492">
        <v>5.2</v>
      </c>
      <c r="G492">
        <v>8</v>
      </c>
      <c r="H492">
        <v>0.65</v>
      </c>
      <c r="I492">
        <v>0.35000002000000002</v>
      </c>
      <c r="J492">
        <v>0.60606059999999995</v>
      </c>
    </row>
    <row r="493" spans="1:10" x14ac:dyDescent="0.3">
      <c r="A493">
        <v>491</v>
      </c>
      <c r="B493">
        <v>7798</v>
      </c>
      <c r="C493" t="b">
        <v>1</v>
      </c>
      <c r="D493">
        <v>8048</v>
      </c>
      <c r="E493">
        <v>8123</v>
      </c>
      <c r="F493">
        <v>5.2</v>
      </c>
      <c r="G493">
        <v>8</v>
      </c>
      <c r="H493">
        <v>0.65</v>
      </c>
      <c r="I493">
        <v>0.35000002000000002</v>
      </c>
      <c r="J493">
        <v>0.60606059999999995</v>
      </c>
    </row>
    <row r="494" spans="1:10" x14ac:dyDescent="0.3">
      <c r="A494">
        <v>492</v>
      </c>
      <c r="B494">
        <v>7814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7830</v>
      </c>
      <c r="C495" t="b">
        <v>1</v>
      </c>
      <c r="D495">
        <v>8054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7846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7862</v>
      </c>
      <c r="C497" t="b">
        <v>1</v>
      </c>
      <c r="D497">
        <v>8048</v>
      </c>
      <c r="E497">
        <v>8123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7878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7894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7909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7925</v>
      </c>
      <c r="C501" t="b">
        <v>1</v>
      </c>
      <c r="D501">
        <v>8048</v>
      </c>
      <c r="E501">
        <v>8123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7941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56EA-E528-477E-B49A-6900CE7D41AD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8106</v>
      </c>
      <c r="E2">
        <v>8152</v>
      </c>
      <c r="F2">
        <v>266</v>
      </c>
      <c r="G2">
        <v>237</v>
      </c>
      <c r="H2">
        <v>1.1223628999999999</v>
      </c>
      <c r="I2">
        <v>-0.12236287</v>
      </c>
      <c r="J2">
        <v>0.47117295999999997</v>
      </c>
    </row>
    <row r="3" spans="1:10" x14ac:dyDescent="0.3">
      <c r="A3">
        <v>1</v>
      </c>
      <c r="B3">
        <v>30</v>
      </c>
      <c r="C3" t="b">
        <v>1</v>
      </c>
      <c r="D3">
        <v>8123</v>
      </c>
      <c r="E3">
        <v>8152</v>
      </c>
      <c r="F3">
        <v>274.5</v>
      </c>
      <c r="G3">
        <v>237</v>
      </c>
      <c r="H3">
        <v>1.1582277999999999</v>
      </c>
      <c r="I3">
        <v>-0.15822785</v>
      </c>
      <c r="J3">
        <v>0.46334310000000001</v>
      </c>
    </row>
    <row r="4" spans="1:10" x14ac:dyDescent="0.3">
      <c r="A4">
        <v>2</v>
      </c>
      <c r="B4">
        <v>46</v>
      </c>
      <c r="C4" t="b">
        <v>1</v>
      </c>
      <c r="D4">
        <v>8106</v>
      </c>
      <c r="E4">
        <v>8140</v>
      </c>
      <c r="F4">
        <v>271.66665999999998</v>
      </c>
      <c r="G4">
        <v>237</v>
      </c>
      <c r="H4">
        <v>1.1462728</v>
      </c>
      <c r="I4">
        <v>-0.14627281</v>
      </c>
      <c r="J4">
        <v>0.465924</v>
      </c>
    </row>
    <row r="5" spans="1:10" x14ac:dyDescent="0.3">
      <c r="A5">
        <v>3</v>
      </c>
      <c r="B5">
        <v>61</v>
      </c>
      <c r="C5" t="b">
        <v>1</v>
      </c>
      <c r="D5">
        <v>8106</v>
      </c>
      <c r="E5">
        <v>8123</v>
      </c>
      <c r="F5">
        <v>270.25</v>
      </c>
      <c r="G5">
        <v>237</v>
      </c>
      <c r="H5">
        <v>1.1402954000000001</v>
      </c>
      <c r="I5">
        <v>-0.14029536000000001</v>
      </c>
      <c r="J5">
        <v>0.46722522</v>
      </c>
    </row>
    <row r="6" spans="1:10" x14ac:dyDescent="0.3">
      <c r="A6">
        <v>4</v>
      </c>
      <c r="B6">
        <v>77</v>
      </c>
      <c r="C6" t="b">
        <v>1</v>
      </c>
      <c r="D6">
        <v>8140</v>
      </c>
      <c r="E6">
        <v>8140</v>
      </c>
      <c r="F6">
        <v>269.39999999999998</v>
      </c>
      <c r="G6">
        <v>234.6</v>
      </c>
      <c r="H6">
        <v>1.1483375</v>
      </c>
      <c r="I6">
        <v>-0.14833753999999999</v>
      </c>
      <c r="J6">
        <v>0.46547620000000001</v>
      </c>
    </row>
    <row r="7" spans="1:10" x14ac:dyDescent="0.3">
      <c r="A7">
        <v>5</v>
      </c>
      <c r="B7">
        <v>93</v>
      </c>
      <c r="C7" t="b">
        <v>1</v>
      </c>
      <c r="D7">
        <v>8111</v>
      </c>
      <c r="E7">
        <v>8129</v>
      </c>
      <c r="F7">
        <v>269.66665999999998</v>
      </c>
      <c r="G7">
        <v>233</v>
      </c>
      <c r="H7">
        <v>1.1573675999999999</v>
      </c>
      <c r="I7">
        <v>-0.15736763000000001</v>
      </c>
      <c r="J7">
        <v>0.46352786000000001</v>
      </c>
    </row>
    <row r="8" spans="1:10" x14ac:dyDescent="0.3">
      <c r="A8">
        <v>6</v>
      </c>
      <c r="B8">
        <v>109</v>
      </c>
      <c r="C8" t="b">
        <v>1</v>
      </c>
      <c r="D8">
        <v>8152</v>
      </c>
      <c r="E8">
        <v>8117</v>
      </c>
      <c r="F8">
        <v>269.85714999999999</v>
      </c>
      <c r="G8">
        <v>230.28572</v>
      </c>
      <c r="H8">
        <v>1.1718363000000001</v>
      </c>
      <c r="I8">
        <v>-0.17183620999999999</v>
      </c>
      <c r="J8">
        <v>0.46043985999999998</v>
      </c>
    </row>
    <row r="9" spans="1:10" x14ac:dyDescent="0.3">
      <c r="A9">
        <v>7</v>
      </c>
      <c r="B9">
        <v>124</v>
      </c>
      <c r="C9" t="b">
        <v>1</v>
      </c>
      <c r="D9">
        <v>8129</v>
      </c>
      <c r="E9">
        <v>8170</v>
      </c>
      <c r="F9">
        <v>272.25</v>
      </c>
      <c r="G9">
        <v>228.25</v>
      </c>
      <c r="H9">
        <v>1.1927711000000001</v>
      </c>
      <c r="I9">
        <v>-0.19277108000000001</v>
      </c>
      <c r="J9">
        <v>0.45604396000000003</v>
      </c>
    </row>
    <row r="10" spans="1:10" x14ac:dyDescent="0.3">
      <c r="A10">
        <v>8</v>
      </c>
      <c r="B10">
        <v>140</v>
      </c>
      <c r="C10" t="b">
        <v>1</v>
      </c>
      <c r="D10">
        <v>8140</v>
      </c>
      <c r="E10">
        <v>8146</v>
      </c>
      <c r="F10">
        <v>275.33334000000002</v>
      </c>
      <c r="G10">
        <v>227.88889</v>
      </c>
      <c r="H10">
        <v>1.2081911999999999</v>
      </c>
      <c r="I10">
        <v>-0.20819119</v>
      </c>
      <c r="J10">
        <v>0.45285934</v>
      </c>
    </row>
    <row r="11" spans="1:10" x14ac:dyDescent="0.3">
      <c r="A11">
        <v>9</v>
      </c>
      <c r="B11">
        <v>156</v>
      </c>
      <c r="C11" t="b">
        <v>1</v>
      </c>
      <c r="D11">
        <v>8152</v>
      </c>
      <c r="E11">
        <v>8140</v>
      </c>
      <c r="F11">
        <v>277.8</v>
      </c>
      <c r="G11">
        <v>227.6</v>
      </c>
      <c r="H11">
        <v>1.2205623000000001</v>
      </c>
      <c r="I11">
        <v>-0.22056231000000001</v>
      </c>
      <c r="J11">
        <v>0.45033640000000003</v>
      </c>
    </row>
    <row r="12" spans="1:10" x14ac:dyDescent="0.3">
      <c r="A12">
        <v>10</v>
      </c>
      <c r="B12">
        <v>172</v>
      </c>
      <c r="C12" t="b">
        <v>1</v>
      </c>
      <c r="D12">
        <v>8111</v>
      </c>
      <c r="E12">
        <v>8123</v>
      </c>
      <c r="F12">
        <v>279.81817999999998</v>
      </c>
      <c r="G12">
        <v>227.36363</v>
      </c>
      <c r="H12">
        <v>1.2307078</v>
      </c>
      <c r="I12">
        <v>-0.23070772000000001</v>
      </c>
      <c r="J12">
        <v>0.44828820000000003</v>
      </c>
    </row>
    <row r="13" spans="1:10" x14ac:dyDescent="0.3">
      <c r="A13">
        <v>11</v>
      </c>
      <c r="B13">
        <v>188</v>
      </c>
      <c r="C13" t="b">
        <v>1</v>
      </c>
      <c r="D13">
        <v>8135</v>
      </c>
      <c r="E13">
        <v>8140</v>
      </c>
      <c r="F13">
        <v>281.08334000000002</v>
      </c>
      <c r="G13">
        <v>227.16667000000001</v>
      </c>
      <c r="H13">
        <v>1.2373441000000001</v>
      </c>
      <c r="I13">
        <v>-0.23734411999999999</v>
      </c>
      <c r="J13">
        <v>0.44695854000000002</v>
      </c>
    </row>
    <row r="14" spans="1:10" x14ac:dyDescent="0.3">
      <c r="A14">
        <v>12</v>
      </c>
      <c r="B14">
        <v>204</v>
      </c>
      <c r="C14" t="b">
        <v>1</v>
      </c>
      <c r="D14">
        <v>8111</v>
      </c>
      <c r="E14">
        <v>8134</v>
      </c>
      <c r="F14">
        <v>282.15384</v>
      </c>
      <c r="G14">
        <v>227</v>
      </c>
      <c r="H14">
        <v>1.2429684000000001</v>
      </c>
      <c r="I14">
        <v>-0.24296845</v>
      </c>
      <c r="J14">
        <v>0.44583773999999998</v>
      </c>
    </row>
    <row r="15" spans="1:10" x14ac:dyDescent="0.3">
      <c r="A15">
        <v>13</v>
      </c>
      <c r="B15">
        <v>220</v>
      </c>
      <c r="C15" t="b">
        <v>1</v>
      </c>
      <c r="D15">
        <v>8111</v>
      </c>
      <c r="E15">
        <v>8099</v>
      </c>
      <c r="F15">
        <v>281.35714999999999</v>
      </c>
      <c r="G15">
        <v>226.42857000000001</v>
      </c>
      <c r="H15">
        <v>1.2425866999999999</v>
      </c>
      <c r="I15">
        <v>-0.24258676000000001</v>
      </c>
      <c r="J15">
        <v>0.44591364</v>
      </c>
    </row>
    <row r="16" spans="1:10" x14ac:dyDescent="0.3">
      <c r="A16">
        <v>14</v>
      </c>
      <c r="B16">
        <v>251</v>
      </c>
      <c r="C16" t="b">
        <v>1</v>
      </c>
      <c r="D16">
        <v>8135</v>
      </c>
      <c r="E16">
        <v>8152</v>
      </c>
      <c r="F16">
        <v>280.66665999999998</v>
      </c>
      <c r="G16">
        <v>225.93333000000001</v>
      </c>
      <c r="H16">
        <v>1.2422542999999999</v>
      </c>
      <c r="I16">
        <v>-0.24225430000000001</v>
      </c>
      <c r="J16">
        <v>0.44597974000000001</v>
      </c>
    </row>
    <row r="17" spans="1:10" x14ac:dyDescent="0.3">
      <c r="A17">
        <v>15</v>
      </c>
      <c r="B17">
        <v>283</v>
      </c>
      <c r="C17" t="b">
        <v>1</v>
      </c>
      <c r="D17">
        <v>8135</v>
      </c>
      <c r="E17">
        <v>8152</v>
      </c>
      <c r="F17">
        <v>282.60000000000002</v>
      </c>
      <c r="G17">
        <v>225.13333</v>
      </c>
      <c r="H17">
        <v>1.2552562</v>
      </c>
      <c r="I17">
        <v>-0.25525618</v>
      </c>
      <c r="J17">
        <v>0.44340859999999999</v>
      </c>
    </row>
    <row r="18" spans="1:10" x14ac:dyDescent="0.3">
      <c r="A18">
        <v>16</v>
      </c>
      <c r="B18">
        <v>315</v>
      </c>
      <c r="C18" t="b">
        <v>1</v>
      </c>
      <c r="D18">
        <v>8077</v>
      </c>
      <c r="E18">
        <v>8111</v>
      </c>
      <c r="F18">
        <v>281.8</v>
      </c>
      <c r="G18">
        <v>223.93333000000001</v>
      </c>
      <c r="H18">
        <v>1.2584101999999999</v>
      </c>
      <c r="I18">
        <v>-0.25841019999999998</v>
      </c>
      <c r="J18">
        <v>0.44278935000000003</v>
      </c>
    </row>
    <row r="19" spans="1:10" x14ac:dyDescent="0.3">
      <c r="A19">
        <v>17</v>
      </c>
      <c r="B19">
        <v>347</v>
      </c>
      <c r="C19" t="b">
        <v>1</v>
      </c>
      <c r="D19">
        <v>8135</v>
      </c>
      <c r="E19">
        <v>8152</v>
      </c>
      <c r="F19">
        <v>283.73334</v>
      </c>
      <c r="G19">
        <v>223.93333000000001</v>
      </c>
      <c r="H19">
        <v>1.2670437999999999</v>
      </c>
      <c r="I19">
        <v>-0.26704377000000001</v>
      </c>
      <c r="J19">
        <v>0.44110306999999999</v>
      </c>
    </row>
    <row r="20" spans="1:10" x14ac:dyDescent="0.3">
      <c r="A20">
        <v>18</v>
      </c>
      <c r="B20">
        <v>363</v>
      </c>
      <c r="C20" t="b">
        <v>1</v>
      </c>
      <c r="D20">
        <v>8163</v>
      </c>
      <c r="E20">
        <v>8129</v>
      </c>
      <c r="F20">
        <v>285.66665999999998</v>
      </c>
      <c r="G20">
        <v>223.93333000000001</v>
      </c>
      <c r="H20">
        <v>1.2756772000000001</v>
      </c>
      <c r="I20">
        <v>-0.27567723</v>
      </c>
      <c r="J20">
        <v>0.43942964000000001</v>
      </c>
    </row>
    <row r="21" spans="1:10" x14ac:dyDescent="0.3">
      <c r="A21">
        <v>19</v>
      </c>
      <c r="B21">
        <v>379</v>
      </c>
      <c r="C21" t="b">
        <v>1</v>
      </c>
      <c r="D21">
        <v>8152</v>
      </c>
      <c r="E21">
        <v>8140</v>
      </c>
      <c r="F21">
        <v>287.60000000000002</v>
      </c>
      <c r="G21">
        <v>223.93333000000001</v>
      </c>
      <c r="H21">
        <v>1.2843108000000001</v>
      </c>
      <c r="I21">
        <v>-0.28431082000000002</v>
      </c>
      <c r="J21">
        <v>0.43776882</v>
      </c>
    </row>
    <row r="22" spans="1:10" x14ac:dyDescent="0.3">
      <c r="A22">
        <v>20</v>
      </c>
      <c r="B22">
        <v>395</v>
      </c>
      <c r="C22" t="b">
        <v>1</v>
      </c>
      <c r="D22">
        <v>8158</v>
      </c>
      <c r="E22">
        <v>8129</v>
      </c>
      <c r="F22">
        <v>290.33334000000002</v>
      </c>
      <c r="G22">
        <v>223.2</v>
      </c>
      <c r="H22">
        <v>1.3007766000000001</v>
      </c>
      <c r="I22">
        <v>-0.30077665999999997</v>
      </c>
      <c r="J22">
        <v>0.43463584999999999</v>
      </c>
    </row>
    <row r="23" spans="1:10" x14ac:dyDescent="0.3">
      <c r="A23">
        <v>21</v>
      </c>
      <c r="B23">
        <v>426</v>
      </c>
      <c r="C23" t="b">
        <v>1</v>
      </c>
      <c r="D23">
        <v>8163</v>
      </c>
      <c r="E23">
        <v>8152</v>
      </c>
      <c r="F23">
        <v>293.46667000000002</v>
      </c>
      <c r="G23">
        <v>223.93333000000001</v>
      </c>
      <c r="H23">
        <v>1.3105091</v>
      </c>
      <c r="I23">
        <v>-0.31050912000000003</v>
      </c>
      <c r="J23">
        <v>0.43280502999999998</v>
      </c>
    </row>
    <row r="24" spans="1:10" x14ac:dyDescent="0.3">
      <c r="A24">
        <v>22</v>
      </c>
      <c r="B24">
        <v>442</v>
      </c>
      <c r="C24" t="b">
        <v>1</v>
      </c>
      <c r="D24">
        <v>8140</v>
      </c>
      <c r="E24">
        <v>8134</v>
      </c>
      <c r="F24">
        <v>295.39999999999998</v>
      </c>
      <c r="G24">
        <v>224.26666</v>
      </c>
      <c r="H24">
        <v>1.3171820000000001</v>
      </c>
      <c r="I24">
        <v>-0.31718192000000001</v>
      </c>
      <c r="J24">
        <v>0.43155873</v>
      </c>
    </row>
    <row r="25" spans="1:10" x14ac:dyDescent="0.3">
      <c r="A25">
        <v>23</v>
      </c>
      <c r="B25">
        <v>458</v>
      </c>
      <c r="C25" t="b">
        <v>1</v>
      </c>
      <c r="D25">
        <v>8158</v>
      </c>
      <c r="E25">
        <v>8123</v>
      </c>
      <c r="F25">
        <v>296.60000000000002</v>
      </c>
      <c r="G25">
        <v>223.86667</v>
      </c>
      <c r="H25">
        <v>1.3248956999999999</v>
      </c>
      <c r="I25">
        <v>-0.32489580000000001</v>
      </c>
      <c r="J25">
        <v>0.43012682000000002</v>
      </c>
    </row>
    <row r="26" spans="1:10" x14ac:dyDescent="0.3">
      <c r="A26">
        <v>24</v>
      </c>
      <c r="B26">
        <v>490</v>
      </c>
      <c r="C26" t="b">
        <v>1</v>
      </c>
      <c r="D26">
        <v>8117</v>
      </c>
      <c r="E26">
        <v>8111</v>
      </c>
      <c r="F26">
        <v>297.8</v>
      </c>
      <c r="G26">
        <v>223.13333</v>
      </c>
      <c r="H26">
        <v>1.3346279999999999</v>
      </c>
      <c r="I26">
        <v>-0.33462799999999998</v>
      </c>
      <c r="J26">
        <v>0.42833373000000002</v>
      </c>
    </row>
    <row r="27" spans="1:10" x14ac:dyDescent="0.3">
      <c r="A27">
        <v>25</v>
      </c>
      <c r="B27">
        <v>521</v>
      </c>
      <c r="C27" t="b">
        <v>1</v>
      </c>
      <c r="D27">
        <v>8152</v>
      </c>
      <c r="E27">
        <v>8140</v>
      </c>
      <c r="F27">
        <v>298.60000000000002</v>
      </c>
      <c r="G27">
        <v>222.73334</v>
      </c>
      <c r="H27">
        <v>1.3406165999999999</v>
      </c>
      <c r="I27">
        <v>-0.34061658</v>
      </c>
      <c r="J27">
        <v>0.42723783999999998</v>
      </c>
    </row>
    <row r="28" spans="1:10" x14ac:dyDescent="0.3">
      <c r="A28">
        <v>26</v>
      </c>
      <c r="B28">
        <v>553</v>
      </c>
      <c r="C28" t="b">
        <v>1</v>
      </c>
      <c r="D28">
        <v>8169</v>
      </c>
      <c r="E28">
        <v>8146</v>
      </c>
      <c r="F28">
        <v>299.73334</v>
      </c>
      <c r="G28">
        <v>222.33332999999999</v>
      </c>
      <c r="H28">
        <v>1.3481259000000001</v>
      </c>
      <c r="I28">
        <v>-0.34812599999999999</v>
      </c>
      <c r="J28">
        <v>0.42587154999999999</v>
      </c>
    </row>
    <row r="29" spans="1:10" x14ac:dyDescent="0.3">
      <c r="A29">
        <v>27</v>
      </c>
      <c r="B29">
        <v>584</v>
      </c>
      <c r="C29" t="b">
        <v>1</v>
      </c>
      <c r="D29">
        <v>8169</v>
      </c>
      <c r="E29">
        <v>8134</v>
      </c>
      <c r="F29">
        <v>301.26666</v>
      </c>
      <c r="G29">
        <v>221.93333000000001</v>
      </c>
      <c r="H29">
        <v>1.3574647</v>
      </c>
      <c r="I29">
        <v>-0.35746466999999998</v>
      </c>
      <c r="J29">
        <v>0.42418450000000002</v>
      </c>
    </row>
    <row r="30" spans="1:10" x14ac:dyDescent="0.3">
      <c r="A30">
        <v>28</v>
      </c>
      <c r="B30">
        <v>616</v>
      </c>
      <c r="C30" t="b">
        <v>1</v>
      </c>
      <c r="D30">
        <v>8088</v>
      </c>
      <c r="E30">
        <v>8129</v>
      </c>
      <c r="F30">
        <v>304</v>
      </c>
      <c r="G30">
        <v>221.93333000000001</v>
      </c>
      <c r="H30">
        <v>1.3697807</v>
      </c>
      <c r="I30">
        <v>-0.36978072000000001</v>
      </c>
      <c r="J30">
        <v>0.42197995999999999</v>
      </c>
    </row>
    <row r="31" spans="1:10" x14ac:dyDescent="0.3">
      <c r="A31">
        <v>29</v>
      </c>
      <c r="B31">
        <v>648</v>
      </c>
      <c r="C31" t="b">
        <v>1</v>
      </c>
      <c r="D31">
        <v>8106</v>
      </c>
      <c r="E31">
        <v>8129</v>
      </c>
      <c r="F31">
        <v>306.73334</v>
      </c>
      <c r="G31">
        <v>221.93333000000001</v>
      </c>
      <c r="H31">
        <v>1.3820968</v>
      </c>
      <c r="I31">
        <v>-0.38209673999999999</v>
      </c>
      <c r="J31">
        <v>0.41979822999999999</v>
      </c>
    </row>
    <row r="32" spans="1:10" x14ac:dyDescent="0.3">
      <c r="A32">
        <v>30</v>
      </c>
      <c r="B32">
        <v>680</v>
      </c>
      <c r="C32" t="b">
        <v>1</v>
      </c>
      <c r="D32">
        <v>8106</v>
      </c>
      <c r="E32">
        <v>8134</v>
      </c>
      <c r="F32">
        <v>304.8</v>
      </c>
      <c r="G32">
        <v>221.53334000000001</v>
      </c>
      <c r="H32">
        <v>1.3758651</v>
      </c>
      <c r="I32">
        <v>-0.37586507000000002</v>
      </c>
      <c r="J32">
        <v>0.42089933000000002</v>
      </c>
    </row>
    <row r="33" spans="1:10" x14ac:dyDescent="0.3">
      <c r="A33">
        <v>31</v>
      </c>
      <c r="B33">
        <v>696</v>
      </c>
      <c r="C33" t="b">
        <v>1</v>
      </c>
      <c r="D33">
        <v>8123</v>
      </c>
      <c r="E33">
        <v>8129</v>
      </c>
      <c r="F33">
        <v>304.46667000000002</v>
      </c>
      <c r="G33">
        <v>221.2</v>
      </c>
      <c r="H33">
        <v>1.3764316000000001</v>
      </c>
      <c r="I33">
        <v>-0.37643164000000001</v>
      </c>
      <c r="J33">
        <v>0.42079896</v>
      </c>
    </row>
    <row r="34" spans="1:10" x14ac:dyDescent="0.3">
      <c r="A34">
        <v>32</v>
      </c>
      <c r="B34">
        <v>712</v>
      </c>
      <c r="C34" t="b">
        <v>1</v>
      </c>
      <c r="D34">
        <v>8129</v>
      </c>
      <c r="E34">
        <v>8134</v>
      </c>
      <c r="F34">
        <v>302.53332999999998</v>
      </c>
      <c r="G34">
        <v>219.66667000000001</v>
      </c>
      <c r="H34">
        <v>1.3772382000000001</v>
      </c>
      <c r="I34">
        <v>-0.37723817999999998</v>
      </c>
      <c r="J34">
        <v>0.42065619999999998</v>
      </c>
    </row>
    <row r="35" spans="1:10" x14ac:dyDescent="0.3">
      <c r="A35">
        <v>33</v>
      </c>
      <c r="B35">
        <v>727</v>
      </c>
      <c r="C35" t="b">
        <v>1</v>
      </c>
      <c r="D35">
        <v>8117</v>
      </c>
      <c r="E35">
        <v>8134</v>
      </c>
      <c r="F35">
        <v>301.33334000000002</v>
      </c>
      <c r="G35">
        <v>218.46665999999999</v>
      </c>
      <c r="H35">
        <v>1.3793105000000001</v>
      </c>
      <c r="I35">
        <v>-0.37931042999999998</v>
      </c>
      <c r="J35">
        <v>0.42028984000000003</v>
      </c>
    </row>
    <row r="36" spans="1:10" x14ac:dyDescent="0.3">
      <c r="A36">
        <v>34</v>
      </c>
      <c r="B36">
        <v>743</v>
      </c>
      <c r="C36" t="b">
        <v>1</v>
      </c>
      <c r="D36">
        <v>8129</v>
      </c>
      <c r="E36">
        <v>8129</v>
      </c>
      <c r="F36">
        <v>300.53332999999998</v>
      </c>
      <c r="G36">
        <v>218.06666999999999</v>
      </c>
      <c r="H36">
        <v>1.3781718000000001</v>
      </c>
      <c r="I36">
        <v>-0.37817177000000002</v>
      </c>
      <c r="J36">
        <v>0.42049107000000002</v>
      </c>
    </row>
    <row r="37" spans="1:10" x14ac:dyDescent="0.3">
      <c r="A37">
        <v>35</v>
      </c>
      <c r="B37">
        <v>759</v>
      </c>
      <c r="C37" t="b">
        <v>1</v>
      </c>
      <c r="D37">
        <v>8106</v>
      </c>
      <c r="E37">
        <v>8123</v>
      </c>
      <c r="F37">
        <v>298.60000000000002</v>
      </c>
      <c r="G37">
        <v>218.06666999999999</v>
      </c>
      <c r="H37">
        <v>1.3693061</v>
      </c>
      <c r="I37">
        <v>-0.36930605999999999</v>
      </c>
      <c r="J37">
        <v>0.42206448000000002</v>
      </c>
    </row>
    <row r="38" spans="1:10" x14ac:dyDescent="0.3">
      <c r="A38">
        <v>36</v>
      </c>
      <c r="B38">
        <v>775</v>
      </c>
      <c r="C38" t="b">
        <v>1</v>
      </c>
      <c r="D38">
        <v>8071</v>
      </c>
      <c r="E38">
        <v>8134</v>
      </c>
      <c r="F38">
        <v>295.86667</v>
      </c>
      <c r="G38">
        <v>217.66667000000001</v>
      </c>
      <c r="H38">
        <v>1.3592649000000001</v>
      </c>
      <c r="I38">
        <v>-0.3592649</v>
      </c>
      <c r="J38">
        <v>0.42386085000000001</v>
      </c>
    </row>
    <row r="39" spans="1:10" x14ac:dyDescent="0.3">
      <c r="A39">
        <v>37</v>
      </c>
      <c r="B39">
        <v>790</v>
      </c>
      <c r="C39" t="b">
        <v>1</v>
      </c>
      <c r="D39">
        <v>8135</v>
      </c>
      <c r="E39">
        <v>8129</v>
      </c>
      <c r="F39">
        <v>293.13333</v>
      </c>
      <c r="G39">
        <v>217.33332999999999</v>
      </c>
      <c r="H39">
        <v>1.348773</v>
      </c>
      <c r="I39">
        <v>-0.34877302999999998</v>
      </c>
      <c r="J39">
        <v>0.42575420000000003</v>
      </c>
    </row>
    <row r="40" spans="1:10" x14ac:dyDescent="0.3">
      <c r="A40">
        <v>38</v>
      </c>
      <c r="B40">
        <v>806</v>
      </c>
      <c r="C40" t="b">
        <v>1</v>
      </c>
      <c r="D40">
        <v>8129</v>
      </c>
      <c r="E40">
        <v>8123</v>
      </c>
      <c r="F40">
        <v>291.2</v>
      </c>
      <c r="G40">
        <v>217</v>
      </c>
      <c r="H40">
        <v>1.3419354999999999</v>
      </c>
      <c r="I40">
        <v>-0.34193554999999998</v>
      </c>
      <c r="J40">
        <v>0.42699724</v>
      </c>
    </row>
    <row r="41" spans="1:10" x14ac:dyDescent="0.3">
      <c r="A41">
        <v>39</v>
      </c>
      <c r="B41">
        <v>822</v>
      </c>
      <c r="C41" t="b">
        <v>1</v>
      </c>
      <c r="D41">
        <v>8152</v>
      </c>
      <c r="E41">
        <v>8134</v>
      </c>
      <c r="F41">
        <v>289.26666</v>
      </c>
      <c r="G41">
        <v>217</v>
      </c>
      <c r="H41">
        <v>1.333026</v>
      </c>
      <c r="I41">
        <v>-0.33302608</v>
      </c>
      <c r="J41">
        <v>0.42862788000000002</v>
      </c>
    </row>
    <row r="42" spans="1:10" x14ac:dyDescent="0.3">
      <c r="A42">
        <v>40</v>
      </c>
      <c r="B42">
        <v>838</v>
      </c>
      <c r="C42" t="b">
        <v>1</v>
      </c>
      <c r="D42">
        <v>8163</v>
      </c>
      <c r="E42">
        <v>8129</v>
      </c>
      <c r="F42">
        <v>288.13333</v>
      </c>
      <c r="G42">
        <v>216.66667000000001</v>
      </c>
      <c r="H42">
        <v>1.3298460999999999</v>
      </c>
      <c r="I42">
        <v>-0.32984609999999998</v>
      </c>
      <c r="J42">
        <v>0.42921290000000001</v>
      </c>
    </row>
    <row r="43" spans="1:10" x14ac:dyDescent="0.3">
      <c r="A43">
        <v>41</v>
      </c>
      <c r="B43">
        <v>871</v>
      </c>
      <c r="C43" t="b">
        <v>1</v>
      </c>
      <c r="D43">
        <v>8135</v>
      </c>
      <c r="E43">
        <v>8111</v>
      </c>
      <c r="F43">
        <v>287</v>
      </c>
      <c r="G43">
        <v>216.33332999999999</v>
      </c>
      <c r="H43">
        <v>1.3266564999999999</v>
      </c>
      <c r="I43">
        <v>-0.32665643</v>
      </c>
      <c r="J43">
        <v>0.42980133999999998</v>
      </c>
    </row>
    <row r="44" spans="1:10" x14ac:dyDescent="0.3">
      <c r="A44">
        <v>42</v>
      </c>
      <c r="B44">
        <v>901</v>
      </c>
      <c r="C44" t="b">
        <v>1</v>
      </c>
      <c r="D44">
        <v>8135</v>
      </c>
      <c r="E44">
        <v>8134</v>
      </c>
      <c r="F44">
        <v>285.46667000000002</v>
      </c>
      <c r="G44">
        <v>216</v>
      </c>
      <c r="H44">
        <v>1.3216049999999999</v>
      </c>
      <c r="I44">
        <v>-0.32160496999999999</v>
      </c>
      <c r="J44">
        <v>0.43073650000000002</v>
      </c>
    </row>
    <row r="45" spans="1:10" x14ac:dyDescent="0.3">
      <c r="A45">
        <v>43</v>
      </c>
      <c r="B45">
        <v>933</v>
      </c>
      <c r="C45" t="b">
        <v>1</v>
      </c>
      <c r="D45">
        <v>8169</v>
      </c>
      <c r="E45">
        <v>8152</v>
      </c>
      <c r="F45">
        <v>285.46667000000002</v>
      </c>
      <c r="G45">
        <v>216</v>
      </c>
      <c r="H45">
        <v>1.3216049999999999</v>
      </c>
      <c r="I45">
        <v>-0.32160496999999999</v>
      </c>
      <c r="J45">
        <v>0.43073650000000002</v>
      </c>
    </row>
    <row r="46" spans="1:10" x14ac:dyDescent="0.3">
      <c r="A46">
        <v>44</v>
      </c>
      <c r="B46">
        <v>965</v>
      </c>
      <c r="C46" t="b">
        <v>1</v>
      </c>
      <c r="D46">
        <v>8111</v>
      </c>
      <c r="E46">
        <v>8134</v>
      </c>
      <c r="F46">
        <v>284.33334000000002</v>
      </c>
      <c r="G46">
        <v>216</v>
      </c>
      <c r="H46">
        <v>1.3163581</v>
      </c>
      <c r="I46">
        <v>-0.31635806</v>
      </c>
      <c r="J46">
        <v>0.43171218</v>
      </c>
    </row>
    <row r="47" spans="1:10" x14ac:dyDescent="0.3">
      <c r="A47">
        <v>45</v>
      </c>
      <c r="B47">
        <v>997</v>
      </c>
      <c r="C47" t="b">
        <v>1</v>
      </c>
      <c r="D47">
        <v>8140</v>
      </c>
      <c r="E47">
        <v>8152</v>
      </c>
      <c r="F47">
        <v>286.26666</v>
      </c>
      <c r="G47">
        <v>216</v>
      </c>
      <c r="H47">
        <v>1.3253086999999999</v>
      </c>
      <c r="I47">
        <v>-0.32530861999999999</v>
      </c>
      <c r="J47">
        <v>0.43005042999999998</v>
      </c>
    </row>
    <row r="48" spans="1:10" x14ac:dyDescent="0.3">
      <c r="A48">
        <v>46</v>
      </c>
      <c r="B48">
        <v>1029</v>
      </c>
      <c r="C48" t="b">
        <v>1</v>
      </c>
      <c r="D48">
        <v>8106</v>
      </c>
      <c r="E48">
        <v>8134</v>
      </c>
      <c r="F48">
        <v>288.2</v>
      </c>
      <c r="G48">
        <v>216.33332999999999</v>
      </c>
      <c r="H48">
        <v>1.3322035000000001</v>
      </c>
      <c r="I48">
        <v>-0.33220348</v>
      </c>
      <c r="J48">
        <v>0.42877906999999998</v>
      </c>
    </row>
    <row r="49" spans="1:10" x14ac:dyDescent="0.3">
      <c r="A49">
        <v>47</v>
      </c>
      <c r="B49">
        <v>1060</v>
      </c>
      <c r="C49" t="b">
        <v>1</v>
      </c>
      <c r="D49">
        <v>8186</v>
      </c>
      <c r="E49">
        <v>8117</v>
      </c>
      <c r="F49">
        <v>290.46667000000002</v>
      </c>
      <c r="G49">
        <v>216.66667000000001</v>
      </c>
      <c r="H49">
        <v>1.3406153999999999</v>
      </c>
      <c r="I49">
        <v>-0.34061540000000001</v>
      </c>
      <c r="J49">
        <v>0.42723804999999998</v>
      </c>
    </row>
    <row r="50" spans="1:10" x14ac:dyDescent="0.3">
      <c r="A50">
        <v>48</v>
      </c>
      <c r="B50">
        <v>1092</v>
      </c>
      <c r="C50" t="b">
        <v>1</v>
      </c>
      <c r="D50">
        <v>8106</v>
      </c>
      <c r="E50">
        <v>8123</v>
      </c>
      <c r="F50">
        <v>290.06668000000002</v>
      </c>
      <c r="G50">
        <v>216.66667000000001</v>
      </c>
      <c r="H50">
        <v>1.3387693000000001</v>
      </c>
      <c r="I50">
        <v>-0.33876926000000002</v>
      </c>
      <c r="J50">
        <v>0.42757531999999998</v>
      </c>
    </row>
    <row r="51" spans="1:10" x14ac:dyDescent="0.3">
      <c r="A51">
        <v>49</v>
      </c>
      <c r="B51">
        <v>1123</v>
      </c>
      <c r="C51" t="b">
        <v>1</v>
      </c>
      <c r="D51">
        <v>8111</v>
      </c>
      <c r="E51">
        <v>8140</v>
      </c>
      <c r="F51">
        <v>289.26666</v>
      </c>
      <c r="G51">
        <v>216.66667000000001</v>
      </c>
      <c r="H51">
        <v>1.3350769</v>
      </c>
      <c r="I51">
        <v>-0.33507687000000003</v>
      </c>
      <c r="J51">
        <v>0.42825141999999999</v>
      </c>
    </row>
    <row r="52" spans="1:10" x14ac:dyDescent="0.3">
      <c r="A52">
        <v>50</v>
      </c>
      <c r="B52">
        <v>1139</v>
      </c>
      <c r="C52" t="b">
        <v>1</v>
      </c>
      <c r="D52">
        <v>8100</v>
      </c>
      <c r="E52">
        <v>8152</v>
      </c>
      <c r="F52">
        <v>288.13333</v>
      </c>
      <c r="G52">
        <v>217</v>
      </c>
      <c r="H52">
        <v>1.3278034000000001</v>
      </c>
      <c r="I52">
        <v>-0.32780336999999998</v>
      </c>
      <c r="J52">
        <v>0.42958953999999999</v>
      </c>
    </row>
    <row r="53" spans="1:10" x14ac:dyDescent="0.3">
      <c r="A53">
        <v>51</v>
      </c>
      <c r="B53">
        <v>1155</v>
      </c>
      <c r="C53" t="b">
        <v>1</v>
      </c>
      <c r="D53">
        <v>8111</v>
      </c>
      <c r="E53">
        <v>8140</v>
      </c>
      <c r="F53">
        <v>287.73334</v>
      </c>
      <c r="G53">
        <v>217.4</v>
      </c>
      <c r="H53">
        <v>1.3235204</v>
      </c>
      <c r="I53">
        <v>-0.32352045000000001</v>
      </c>
      <c r="J53">
        <v>0.43038142000000001</v>
      </c>
    </row>
    <row r="54" spans="1:10" x14ac:dyDescent="0.3">
      <c r="A54">
        <v>52</v>
      </c>
      <c r="B54">
        <v>1171</v>
      </c>
      <c r="C54" t="b">
        <v>1</v>
      </c>
      <c r="D54">
        <v>8129</v>
      </c>
      <c r="E54">
        <v>8152</v>
      </c>
      <c r="F54">
        <v>287.33334000000002</v>
      </c>
      <c r="G54">
        <v>218.13333</v>
      </c>
      <c r="H54">
        <v>1.3172372999999999</v>
      </c>
      <c r="I54">
        <v>-0.31723722999999998</v>
      </c>
      <c r="J54">
        <v>0.4315484</v>
      </c>
    </row>
    <row r="55" spans="1:10" x14ac:dyDescent="0.3">
      <c r="A55">
        <v>53</v>
      </c>
      <c r="B55">
        <v>1187</v>
      </c>
      <c r="C55" t="b">
        <v>1</v>
      </c>
      <c r="D55">
        <v>8135</v>
      </c>
      <c r="E55">
        <v>8134</v>
      </c>
      <c r="F55">
        <v>286.13333</v>
      </c>
      <c r="G55">
        <v>218.86667</v>
      </c>
      <c r="H55">
        <v>1.3073409</v>
      </c>
      <c r="I55">
        <v>-0.30734083000000001</v>
      </c>
      <c r="J55">
        <v>0.43339935000000002</v>
      </c>
    </row>
    <row r="56" spans="1:10" x14ac:dyDescent="0.3">
      <c r="A56">
        <v>54</v>
      </c>
      <c r="B56">
        <v>1203</v>
      </c>
      <c r="C56" t="b">
        <v>1</v>
      </c>
      <c r="D56">
        <v>8117</v>
      </c>
      <c r="E56">
        <v>8111</v>
      </c>
      <c r="F56">
        <v>285.33334000000002</v>
      </c>
      <c r="G56">
        <v>219.6</v>
      </c>
      <c r="H56">
        <v>1.2993321</v>
      </c>
      <c r="I56">
        <v>-0.29933214000000002</v>
      </c>
      <c r="J56">
        <v>0.43490889999999999</v>
      </c>
    </row>
    <row r="57" spans="1:10" x14ac:dyDescent="0.3">
      <c r="A57">
        <v>55</v>
      </c>
      <c r="B57">
        <v>1219</v>
      </c>
      <c r="C57" t="b">
        <v>1</v>
      </c>
      <c r="D57">
        <v>8152</v>
      </c>
      <c r="E57">
        <v>8140</v>
      </c>
      <c r="F57">
        <v>284.93331999999998</v>
      </c>
      <c r="G57">
        <v>220.33332999999999</v>
      </c>
      <c r="H57">
        <v>1.2931921</v>
      </c>
      <c r="I57">
        <v>-0.29319210000000001</v>
      </c>
      <c r="J57">
        <v>0.43607336000000002</v>
      </c>
    </row>
    <row r="58" spans="1:10" x14ac:dyDescent="0.3">
      <c r="A58">
        <v>56</v>
      </c>
      <c r="B58">
        <v>1251</v>
      </c>
      <c r="C58" t="b">
        <v>1</v>
      </c>
      <c r="D58">
        <v>8135</v>
      </c>
      <c r="E58">
        <v>8140</v>
      </c>
      <c r="F58">
        <v>284.93331999999998</v>
      </c>
      <c r="G58">
        <v>221.06666999999999</v>
      </c>
      <c r="H58">
        <v>1.2889022999999999</v>
      </c>
      <c r="I58">
        <v>-0.28890221999999999</v>
      </c>
      <c r="J58">
        <v>0.43689063</v>
      </c>
    </row>
    <row r="59" spans="1:10" x14ac:dyDescent="0.3">
      <c r="A59">
        <v>57</v>
      </c>
      <c r="B59">
        <v>1282</v>
      </c>
      <c r="C59" t="b">
        <v>1</v>
      </c>
      <c r="D59">
        <v>8106</v>
      </c>
      <c r="E59">
        <v>8134</v>
      </c>
      <c r="F59">
        <v>284.93331999999998</v>
      </c>
      <c r="G59">
        <v>221.4</v>
      </c>
      <c r="H59">
        <v>1.2869617</v>
      </c>
      <c r="I59">
        <v>-0.28696173000000003</v>
      </c>
      <c r="J59">
        <v>0.43726136999999998</v>
      </c>
    </row>
    <row r="60" spans="1:10" x14ac:dyDescent="0.3">
      <c r="A60">
        <v>58</v>
      </c>
      <c r="B60">
        <v>1298</v>
      </c>
      <c r="C60" t="b">
        <v>1</v>
      </c>
      <c r="D60">
        <v>8100</v>
      </c>
      <c r="E60">
        <v>8146</v>
      </c>
      <c r="F60">
        <v>282.60000000000002</v>
      </c>
      <c r="G60">
        <v>221.8</v>
      </c>
      <c r="H60">
        <v>1.2741207999999999</v>
      </c>
      <c r="I60">
        <v>-0.27412083999999998</v>
      </c>
      <c r="J60">
        <v>0.43973034999999999</v>
      </c>
    </row>
    <row r="61" spans="1:10" x14ac:dyDescent="0.3">
      <c r="A61">
        <v>59</v>
      </c>
      <c r="B61">
        <v>1314</v>
      </c>
      <c r="C61" t="b">
        <v>1</v>
      </c>
      <c r="D61">
        <v>8140</v>
      </c>
      <c r="E61">
        <v>8146</v>
      </c>
      <c r="F61">
        <v>282.60000000000002</v>
      </c>
      <c r="G61">
        <v>222.2</v>
      </c>
      <c r="H61">
        <v>1.2718271999999999</v>
      </c>
      <c r="I61">
        <v>-0.27182721999999998</v>
      </c>
      <c r="J61">
        <v>0.44017434</v>
      </c>
    </row>
    <row r="62" spans="1:10" x14ac:dyDescent="0.3">
      <c r="A62">
        <v>60</v>
      </c>
      <c r="B62">
        <v>1330</v>
      </c>
      <c r="C62" t="b">
        <v>1</v>
      </c>
      <c r="D62">
        <v>8135</v>
      </c>
      <c r="E62">
        <v>8152</v>
      </c>
      <c r="F62">
        <v>282.60000000000002</v>
      </c>
      <c r="G62">
        <v>223</v>
      </c>
      <c r="H62">
        <v>1.2672646000000001</v>
      </c>
      <c r="I62">
        <v>-0.26726460000000002</v>
      </c>
      <c r="J62">
        <v>0.44106012999999999</v>
      </c>
    </row>
    <row r="63" spans="1:10" x14ac:dyDescent="0.3">
      <c r="A63">
        <v>61</v>
      </c>
      <c r="B63">
        <v>1345</v>
      </c>
      <c r="C63" t="b">
        <v>1</v>
      </c>
      <c r="D63">
        <v>8158</v>
      </c>
      <c r="E63">
        <v>8134</v>
      </c>
      <c r="F63">
        <v>282.60000000000002</v>
      </c>
      <c r="G63">
        <v>223.8</v>
      </c>
      <c r="H63">
        <v>1.2627347</v>
      </c>
      <c r="I63">
        <v>-0.26273459999999998</v>
      </c>
      <c r="J63">
        <v>0.44194309999999998</v>
      </c>
    </row>
    <row r="64" spans="1:10" x14ac:dyDescent="0.3">
      <c r="A64">
        <v>62</v>
      </c>
      <c r="B64">
        <v>1361</v>
      </c>
      <c r="C64" t="b">
        <v>1</v>
      </c>
      <c r="D64">
        <v>8140</v>
      </c>
      <c r="E64">
        <v>8152</v>
      </c>
      <c r="F64">
        <v>282.60000000000002</v>
      </c>
      <c r="G64">
        <v>224.6</v>
      </c>
      <c r="H64">
        <v>1.2582369</v>
      </c>
      <c r="I64">
        <v>-0.25823686000000001</v>
      </c>
      <c r="J64">
        <v>0.44282335</v>
      </c>
    </row>
    <row r="65" spans="1:10" x14ac:dyDescent="0.3">
      <c r="A65">
        <v>63</v>
      </c>
      <c r="B65">
        <v>1377</v>
      </c>
      <c r="C65" t="b">
        <v>1</v>
      </c>
      <c r="D65">
        <v>8158</v>
      </c>
      <c r="E65">
        <v>8146</v>
      </c>
      <c r="F65">
        <v>284.53332999999998</v>
      </c>
      <c r="G65">
        <v>225.4</v>
      </c>
      <c r="H65">
        <v>1.2623484</v>
      </c>
      <c r="I65">
        <v>-0.26234839999999998</v>
      </c>
      <c r="J65">
        <v>0.44201857</v>
      </c>
    </row>
    <row r="66" spans="1:10" x14ac:dyDescent="0.3">
      <c r="A66">
        <v>64</v>
      </c>
      <c r="B66">
        <v>1392</v>
      </c>
      <c r="C66" t="b">
        <v>1</v>
      </c>
      <c r="D66">
        <v>8140</v>
      </c>
      <c r="E66">
        <v>8129</v>
      </c>
      <c r="F66">
        <v>286.46667000000002</v>
      </c>
      <c r="G66">
        <v>226.2</v>
      </c>
      <c r="H66">
        <v>1.2664310000000001</v>
      </c>
      <c r="I66">
        <v>-0.26643094</v>
      </c>
      <c r="J66">
        <v>0.44122233999999999</v>
      </c>
    </row>
    <row r="67" spans="1:10" x14ac:dyDescent="0.3">
      <c r="A67">
        <v>65</v>
      </c>
      <c r="B67">
        <v>1408</v>
      </c>
      <c r="C67" t="b">
        <v>1</v>
      </c>
      <c r="D67">
        <v>8135</v>
      </c>
      <c r="E67">
        <v>8146</v>
      </c>
      <c r="F67">
        <v>288.73334</v>
      </c>
      <c r="G67">
        <v>227</v>
      </c>
      <c r="H67">
        <v>1.2719529999999999</v>
      </c>
      <c r="I67">
        <v>-0.27195301999999999</v>
      </c>
      <c r="J67">
        <v>0.44014993000000002</v>
      </c>
    </row>
    <row r="68" spans="1:10" x14ac:dyDescent="0.3">
      <c r="A68">
        <v>66</v>
      </c>
      <c r="B68">
        <v>1424</v>
      </c>
      <c r="C68" t="b">
        <v>1</v>
      </c>
      <c r="D68">
        <v>8175</v>
      </c>
      <c r="E68">
        <v>8140</v>
      </c>
      <c r="F68">
        <v>290.66665999999998</v>
      </c>
      <c r="G68">
        <v>227.4</v>
      </c>
      <c r="H68">
        <v>1.2782176000000001</v>
      </c>
      <c r="I68">
        <v>-0.27821752</v>
      </c>
      <c r="J68">
        <v>0.43893966000000001</v>
      </c>
    </row>
    <row r="69" spans="1:10" x14ac:dyDescent="0.3">
      <c r="A69">
        <v>67</v>
      </c>
      <c r="B69">
        <v>1440</v>
      </c>
      <c r="C69" t="b">
        <v>1</v>
      </c>
      <c r="D69">
        <v>8169</v>
      </c>
      <c r="E69">
        <v>8140</v>
      </c>
      <c r="F69">
        <v>293.8</v>
      </c>
      <c r="G69">
        <v>227.4</v>
      </c>
      <c r="H69">
        <v>1.2919965</v>
      </c>
      <c r="I69">
        <v>-0.29199645000000002</v>
      </c>
      <c r="J69">
        <v>0.43630087000000001</v>
      </c>
    </row>
    <row r="70" spans="1:10" x14ac:dyDescent="0.3">
      <c r="A70">
        <v>68</v>
      </c>
      <c r="B70">
        <v>1471</v>
      </c>
      <c r="C70" t="b">
        <v>1</v>
      </c>
      <c r="D70">
        <v>8192</v>
      </c>
      <c r="E70">
        <v>8140</v>
      </c>
      <c r="F70">
        <v>297.66665999999998</v>
      </c>
      <c r="G70">
        <v>227.4</v>
      </c>
      <c r="H70">
        <v>1.3090002999999999</v>
      </c>
      <c r="I70">
        <v>-0.30900028000000002</v>
      </c>
      <c r="J70">
        <v>0.43308785999999999</v>
      </c>
    </row>
    <row r="71" spans="1:10" x14ac:dyDescent="0.3">
      <c r="A71">
        <v>69</v>
      </c>
      <c r="B71">
        <v>1487</v>
      </c>
      <c r="C71" t="b">
        <v>1</v>
      </c>
      <c r="D71">
        <v>8135</v>
      </c>
      <c r="E71">
        <v>8129</v>
      </c>
      <c r="F71">
        <v>301.13333</v>
      </c>
      <c r="G71">
        <v>227.4</v>
      </c>
      <c r="H71">
        <v>1.3242451</v>
      </c>
      <c r="I71">
        <v>-0.32424512999999999</v>
      </c>
      <c r="J71">
        <v>0.43024721999999999</v>
      </c>
    </row>
    <row r="72" spans="1:10" x14ac:dyDescent="0.3">
      <c r="A72">
        <v>70</v>
      </c>
      <c r="B72">
        <v>1519</v>
      </c>
      <c r="C72" t="b">
        <v>1</v>
      </c>
      <c r="D72">
        <v>8123</v>
      </c>
      <c r="E72">
        <v>8152</v>
      </c>
      <c r="F72">
        <v>303.8</v>
      </c>
      <c r="G72">
        <v>227.4</v>
      </c>
      <c r="H72">
        <v>1.3359718</v>
      </c>
      <c r="I72">
        <v>-0.33597183000000003</v>
      </c>
      <c r="J72">
        <v>0.42808738000000002</v>
      </c>
    </row>
    <row r="73" spans="1:10" x14ac:dyDescent="0.3">
      <c r="A73">
        <v>71</v>
      </c>
      <c r="B73">
        <v>1551</v>
      </c>
      <c r="C73" t="b">
        <v>1</v>
      </c>
      <c r="D73">
        <v>8169</v>
      </c>
      <c r="E73">
        <v>8134</v>
      </c>
      <c r="F73">
        <v>306.06668000000002</v>
      </c>
      <c r="G73">
        <v>227.4</v>
      </c>
      <c r="H73">
        <v>1.3459398</v>
      </c>
      <c r="I73">
        <v>-0.34593970000000002</v>
      </c>
      <c r="J73">
        <v>0.42626842999999998</v>
      </c>
    </row>
    <row r="74" spans="1:10" x14ac:dyDescent="0.3">
      <c r="A74">
        <v>72</v>
      </c>
      <c r="B74">
        <v>1582</v>
      </c>
      <c r="C74" t="b">
        <v>1</v>
      </c>
      <c r="D74">
        <v>8117</v>
      </c>
      <c r="E74">
        <v>8152</v>
      </c>
      <c r="F74">
        <v>306.06668000000002</v>
      </c>
      <c r="G74">
        <v>227.8</v>
      </c>
      <c r="H74">
        <v>1.3435763000000001</v>
      </c>
      <c r="I74">
        <v>-0.34357628000000001</v>
      </c>
      <c r="J74">
        <v>0.42669826999999999</v>
      </c>
    </row>
    <row r="75" spans="1:10" x14ac:dyDescent="0.3">
      <c r="A75">
        <v>73</v>
      </c>
      <c r="B75">
        <v>1614</v>
      </c>
      <c r="C75" t="b">
        <v>1</v>
      </c>
      <c r="D75">
        <v>8123</v>
      </c>
      <c r="E75">
        <v>8146</v>
      </c>
      <c r="F75">
        <v>306.46667000000002</v>
      </c>
      <c r="G75">
        <v>228.2</v>
      </c>
      <c r="H75">
        <v>1.3429740999999999</v>
      </c>
      <c r="I75">
        <v>-0.34297407000000002</v>
      </c>
      <c r="J75">
        <v>0.42680796999999998</v>
      </c>
    </row>
    <row r="76" spans="1:10" x14ac:dyDescent="0.3">
      <c r="A76">
        <v>74</v>
      </c>
      <c r="B76">
        <v>1630</v>
      </c>
      <c r="C76" t="b">
        <v>1</v>
      </c>
      <c r="D76">
        <v>8123</v>
      </c>
      <c r="E76">
        <v>8140</v>
      </c>
      <c r="F76">
        <v>305.66665999999998</v>
      </c>
      <c r="G76">
        <v>228.6</v>
      </c>
      <c r="H76">
        <v>1.3371245</v>
      </c>
      <c r="I76">
        <v>-0.33712444000000003</v>
      </c>
      <c r="J76">
        <v>0.42787623000000002</v>
      </c>
    </row>
    <row r="77" spans="1:10" x14ac:dyDescent="0.3">
      <c r="A77">
        <v>75</v>
      </c>
      <c r="B77">
        <v>1646</v>
      </c>
      <c r="C77" t="b">
        <v>1</v>
      </c>
      <c r="D77">
        <v>8135</v>
      </c>
      <c r="E77">
        <v>8134</v>
      </c>
      <c r="F77">
        <v>304.86667</v>
      </c>
      <c r="G77">
        <v>228.2</v>
      </c>
      <c r="H77">
        <v>1.3359627000000001</v>
      </c>
      <c r="I77">
        <v>-0.33596261999999999</v>
      </c>
      <c r="J77">
        <v>0.42808905000000003</v>
      </c>
    </row>
    <row r="78" spans="1:10" x14ac:dyDescent="0.3">
      <c r="A78">
        <v>76</v>
      </c>
      <c r="B78">
        <v>1662</v>
      </c>
      <c r="C78" t="b">
        <v>1</v>
      </c>
      <c r="D78">
        <v>8129</v>
      </c>
      <c r="E78">
        <v>8099</v>
      </c>
      <c r="F78">
        <v>304.06668000000002</v>
      </c>
      <c r="G78">
        <v>227.8</v>
      </c>
      <c r="H78">
        <v>1.3347967000000001</v>
      </c>
      <c r="I78">
        <v>-0.33479663999999998</v>
      </c>
      <c r="J78">
        <v>0.42830281999999997</v>
      </c>
    </row>
    <row r="79" spans="1:10" x14ac:dyDescent="0.3">
      <c r="A79">
        <v>77</v>
      </c>
      <c r="B79">
        <v>1678</v>
      </c>
      <c r="C79" t="b">
        <v>1</v>
      </c>
      <c r="D79">
        <v>8152</v>
      </c>
      <c r="E79">
        <v>8123</v>
      </c>
      <c r="F79">
        <v>303.33334000000002</v>
      </c>
      <c r="G79">
        <v>227</v>
      </c>
      <c r="H79">
        <v>1.3362702</v>
      </c>
      <c r="I79">
        <v>-0.33627024</v>
      </c>
      <c r="J79">
        <v>0.42803264000000002</v>
      </c>
    </row>
    <row r="80" spans="1:10" x14ac:dyDescent="0.3">
      <c r="A80">
        <v>78</v>
      </c>
      <c r="B80">
        <v>1694</v>
      </c>
      <c r="C80" t="b">
        <v>1</v>
      </c>
      <c r="D80">
        <v>8140</v>
      </c>
      <c r="E80">
        <v>8146</v>
      </c>
      <c r="F80">
        <v>303</v>
      </c>
      <c r="G80">
        <v>226.2</v>
      </c>
      <c r="H80">
        <v>1.3395226</v>
      </c>
      <c r="I80">
        <v>-0.33952257000000002</v>
      </c>
      <c r="J80">
        <v>0.42743763000000001</v>
      </c>
    </row>
    <row r="81" spans="1:10" x14ac:dyDescent="0.3">
      <c r="A81">
        <v>79</v>
      </c>
      <c r="B81">
        <v>1709</v>
      </c>
      <c r="C81" t="b">
        <v>1</v>
      </c>
      <c r="D81">
        <v>8140</v>
      </c>
      <c r="E81">
        <v>8123</v>
      </c>
      <c r="F81">
        <v>303</v>
      </c>
      <c r="G81">
        <v>224.66667000000001</v>
      </c>
      <c r="H81">
        <v>1.3486646</v>
      </c>
      <c r="I81">
        <v>-0.34866467000000001</v>
      </c>
      <c r="J81">
        <v>0.42577383000000002</v>
      </c>
    </row>
    <row r="82" spans="1:10" x14ac:dyDescent="0.3">
      <c r="A82">
        <v>80</v>
      </c>
      <c r="B82">
        <v>1725</v>
      </c>
      <c r="C82" t="b">
        <v>1</v>
      </c>
      <c r="D82">
        <v>8100</v>
      </c>
      <c r="E82">
        <v>8099</v>
      </c>
      <c r="F82">
        <v>303</v>
      </c>
      <c r="G82">
        <v>223.13333</v>
      </c>
      <c r="H82">
        <v>1.3579323999999999</v>
      </c>
      <c r="I82">
        <v>-0.35793248</v>
      </c>
      <c r="J82">
        <v>0.42410037</v>
      </c>
    </row>
    <row r="83" spans="1:10" x14ac:dyDescent="0.3">
      <c r="A83">
        <v>81</v>
      </c>
      <c r="B83">
        <v>1741</v>
      </c>
      <c r="C83" t="b">
        <v>1</v>
      </c>
      <c r="D83">
        <v>8100</v>
      </c>
      <c r="E83">
        <v>8123</v>
      </c>
      <c r="F83">
        <v>303</v>
      </c>
      <c r="G83">
        <v>221.6</v>
      </c>
      <c r="H83">
        <v>1.3673284999999999</v>
      </c>
      <c r="I83">
        <v>-0.3673285</v>
      </c>
      <c r="J83">
        <v>0.42241709999999999</v>
      </c>
    </row>
    <row r="84" spans="1:10" x14ac:dyDescent="0.3">
      <c r="A84">
        <v>82</v>
      </c>
      <c r="B84">
        <v>1757</v>
      </c>
      <c r="C84" t="b">
        <v>1</v>
      </c>
      <c r="D84">
        <v>8100</v>
      </c>
      <c r="E84">
        <v>8146</v>
      </c>
      <c r="F84">
        <v>299.13333</v>
      </c>
      <c r="G84">
        <v>220.46665999999999</v>
      </c>
      <c r="H84">
        <v>1.3568188999999999</v>
      </c>
      <c r="I84">
        <v>-0.35681889999999999</v>
      </c>
      <c r="J84">
        <v>0.42430076</v>
      </c>
    </row>
    <row r="85" spans="1:10" x14ac:dyDescent="0.3">
      <c r="A85">
        <v>83</v>
      </c>
      <c r="B85">
        <v>1772</v>
      </c>
      <c r="C85" t="b">
        <v>1</v>
      </c>
      <c r="D85">
        <v>8088</v>
      </c>
      <c r="E85">
        <v>8134</v>
      </c>
      <c r="F85">
        <v>294.53332999999998</v>
      </c>
      <c r="G85">
        <v>219.33332999999999</v>
      </c>
      <c r="H85">
        <v>1.3428571</v>
      </c>
      <c r="I85">
        <v>-0.34285712000000002</v>
      </c>
      <c r="J85">
        <v>0.42682927999999998</v>
      </c>
    </row>
    <row r="86" spans="1:10" x14ac:dyDescent="0.3">
      <c r="A86">
        <v>84</v>
      </c>
      <c r="B86">
        <v>1788</v>
      </c>
      <c r="C86" t="b">
        <v>1</v>
      </c>
      <c r="D86">
        <v>8123</v>
      </c>
      <c r="E86">
        <v>8087</v>
      </c>
      <c r="F86">
        <v>289.93331999999998</v>
      </c>
      <c r="G86">
        <v>218.2</v>
      </c>
      <c r="H86">
        <v>1.3287504000000001</v>
      </c>
      <c r="I86">
        <v>-0.32875033999999997</v>
      </c>
      <c r="J86">
        <v>0.42941487</v>
      </c>
    </row>
    <row r="87" spans="1:10" x14ac:dyDescent="0.3">
      <c r="A87">
        <v>85</v>
      </c>
      <c r="B87">
        <v>1804</v>
      </c>
      <c r="C87" t="b">
        <v>1</v>
      </c>
      <c r="D87">
        <v>8135</v>
      </c>
      <c r="E87">
        <v>8152</v>
      </c>
      <c r="F87">
        <v>285.33334000000002</v>
      </c>
      <c r="G87">
        <v>217.8</v>
      </c>
      <c r="H87">
        <v>1.3100704000000001</v>
      </c>
      <c r="I87">
        <v>-0.31007043000000001</v>
      </c>
      <c r="J87">
        <v>0.43288723000000001</v>
      </c>
    </row>
    <row r="88" spans="1:10" x14ac:dyDescent="0.3">
      <c r="A88">
        <v>86</v>
      </c>
      <c r="B88">
        <v>1820</v>
      </c>
      <c r="C88" t="b">
        <v>1</v>
      </c>
      <c r="D88">
        <v>8169</v>
      </c>
      <c r="E88">
        <v>8140</v>
      </c>
      <c r="F88">
        <v>282.26666</v>
      </c>
      <c r="G88">
        <v>217.8</v>
      </c>
      <c r="H88">
        <v>1.2959901</v>
      </c>
      <c r="I88">
        <v>-0.29599017</v>
      </c>
      <c r="J88">
        <v>0.43554196000000001</v>
      </c>
    </row>
    <row r="89" spans="1:10" x14ac:dyDescent="0.3">
      <c r="A89">
        <v>87</v>
      </c>
      <c r="B89">
        <v>1836</v>
      </c>
      <c r="C89" t="b">
        <v>1</v>
      </c>
      <c r="D89">
        <v>8186</v>
      </c>
      <c r="E89">
        <v>8146</v>
      </c>
      <c r="F89">
        <v>282.26666</v>
      </c>
      <c r="G89">
        <v>217.8</v>
      </c>
      <c r="H89">
        <v>1.2959901</v>
      </c>
      <c r="I89">
        <v>-0.29599017</v>
      </c>
      <c r="J89">
        <v>0.43554196000000001</v>
      </c>
    </row>
    <row r="90" spans="1:10" x14ac:dyDescent="0.3">
      <c r="A90">
        <v>88</v>
      </c>
      <c r="B90">
        <v>1853</v>
      </c>
      <c r="C90" t="b">
        <v>1</v>
      </c>
      <c r="D90">
        <v>8163</v>
      </c>
      <c r="E90">
        <v>8111</v>
      </c>
      <c r="F90">
        <v>284.93331999999998</v>
      </c>
      <c r="G90">
        <v>217.4</v>
      </c>
      <c r="H90">
        <v>1.3106409000000001</v>
      </c>
      <c r="I90">
        <v>-0.31064087000000001</v>
      </c>
      <c r="J90">
        <v>0.43278035999999998</v>
      </c>
    </row>
    <row r="91" spans="1:10" x14ac:dyDescent="0.3">
      <c r="A91">
        <v>89</v>
      </c>
      <c r="B91">
        <v>1884</v>
      </c>
      <c r="C91" t="b">
        <v>1</v>
      </c>
      <c r="D91">
        <v>8123</v>
      </c>
      <c r="E91">
        <v>8140</v>
      </c>
      <c r="F91">
        <v>287.60000000000002</v>
      </c>
      <c r="G91">
        <v>217</v>
      </c>
      <c r="H91">
        <v>1.3253455999999999</v>
      </c>
      <c r="I91">
        <v>-0.32534563999999999</v>
      </c>
      <c r="J91">
        <v>0.43004360000000003</v>
      </c>
    </row>
    <row r="92" spans="1:10" x14ac:dyDescent="0.3">
      <c r="A92">
        <v>90</v>
      </c>
      <c r="B92">
        <v>1915</v>
      </c>
      <c r="C92" t="b">
        <v>1</v>
      </c>
      <c r="D92">
        <v>8117</v>
      </c>
      <c r="E92">
        <v>8129</v>
      </c>
      <c r="F92">
        <v>290.26666</v>
      </c>
      <c r="G92">
        <v>217</v>
      </c>
      <c r="H92">
        <v>1.3376344</v>
      </c>
      <c r="I92">
        <v>-0.33763438000000001</v>
      </c>
      <c r="J92">
        <v>0.42778290000000002</v>
      </c>
    </row>
    <row r="93" spans="1:10" x14ac:dyDescent="0.3">
      <c r="A93">
        <v>91</v>
      </c>
      <c r="B93">
        <v>1946</v>
      </c>
      <c r="C93" t="b">
        <v>1</v>
      </c>
      <c r="D93">
        <v>8129</v>
      </c>
      <c r="E93">
        <v>8140</v>
      </c>
      <c r="F93">
        <v>290.66665999999998</v>
      </c>
      <c r="G93">
        <v>217</v>
      </c>
      <c r="H93">
        <v>1.3394777</v>
      </c>
      <c r="I93">
        <v>-0.33947769999999999</v>
      </c>
      <c r="J93">
        <v>0.42744583000000003</v>
      </c>
    </row>
    <row r="94" spans="1:10" x14ac:dyDescent="0.3">
      <c r="A94">
        <v>92</v>
      </c>
      <c r="B94">
        <v>1962</v>
      </c>
      <c r="C94" t="b">
        <v>1</v>
      </c>
      <c r="D94">
        <v>8135</v>
      </c>
      <c r="E94">
        <v>8134</v>
      </c>
      <c r="F94">
        <v>290.66665999999998</v>
      </c>
      <c r="G94">
        <v>217</v>
      </c>
      <c r="H94">
        <v>1.3394777</v>
      </c>
      <c r="I94">
        <v>-0.33947769999999999</v>
      </c>
      <c r="J94">
        <v>0.42744583000000003</v>
      </c>
    </row>
    <row r="95" spans="1:10" x14ac:dyDescent="0.3">
      <c r="A95">
        <v>93</v>
      </c>
      <c r="B95">
        <v>1994</v>
      </c>
      <c r="C95" t="b">
        <v>1</v>
      </c>
      <c r="D95">
        <v>8123</v>
      </c>
      <c r="E95">
        <v>8129</v>
      </c>
      <c r="F95">
        <v>289.86667</v>
      </c>
      <c r="G95">
        <v>217</v>
      </c>
      <c r="H95">
        <v>1.3357911</v>
      </c>
      <c r="I95">
        <v>-0.33579110000000001</v>
      </c>
      <c r="J95">
        <v>0.42812045999999998</v>
      </c>
    </row>
    <row r="96" spans="1:10" x14ac:dyDescent="0.3">
      <c r="A96">
        <v>94</v>
      </c>
      <c r="B96">
        <v>2010</v>
      </c>
      <c r="C96" t="b">
        <v>1</v>
      </c>
      <c r="D96">
        <v>8111</v>
      </c>
      <c r="E96">
        <v>8129</v>
      </c>
      <c r="F96">
        <v>288.73334</v>
      </c>
      <c r="G96">
        <v>217.4</v>
      </c>
      <c r="H96">
        <v>1.3281202000000001</v>
      </c>
      <c r="I96">
        <v>-0.32812026</v>
      </c>
      <c r="J96">
        <v>0.42953107000000001</v>
      </c>
    </row>
    <row r="97" spans="1:10" x14ac:dyDescent="0.3">
      <c r="A97">
        <v>95</v>
      </c>
      <c r="B97">
        <v>2026</v>
      </c>
      <c r="C97" t="b">
        <v>1</v>
      </c>
      <c r="D97">
        <v>8129</v>
      </c>
      <c r="E97">
        <v>8134</v>
      </c>
      <c r="F97">
        <v>288</v>
      </c>
      <c r="G97">
        <v>218.13333</v>
      </c>
      <c r="H97">
        <v>1.3202934</v>
      </c>
      <c r="I97">
        <v>-0.32029340000000001</v>
      </c>
      <c r="J97">
        <v>0.43097996999999999</v>
      </c>
    </row>
    <row r="98" spans="1:10" x14ac:dyDescent="0.3">
      <c r="A98">
        <v>96</v>
      </c>
      <c r="B98">
        <v>2042</v>
      </c>
      <c r="C98" t="b">
        <v>1</v>
      </c>
      <c r="D98">
        <v>8146</v>
      </c>
      <c r="E98">
        <v>8140</v>
      </c>
      <c r="F98">
        <v>287.26666</v>
      </c>
      <c r="G98">
        <v>218.86667</v>
      </c>
      <c r="H98">
        <v>1.312519</v>
      </c>
      <c r="I98">
        <v>-0.31251899999999999</v>
      </c>
      <c r="J98">
        <v>0.43242887000000002</v>
      </c>
    </row>
    <row r="99" spans="1:10" x14ac:dyDescent="0.3">
      <c r="A99">
        <v>97</v>
      </c>
      <c r="B99">
        <v>2058</v>
      </c>
      <c r="C99" t="b">
        <v>1</v>
      </c>
      <c r="D99">
        <v>8163</v>
      </c>
      <c r="E99">
        <v>8117</v>
      </c>
      <c r="F99">
        <v>289.2</v>
      </c>
      <c r="G99">
        <v>219.26666</v>
      </c>
      <c r="H99">
        <v>1.3189420000000001</v>
      </c>
      <c r="I99">
        <v>-0.318942</v>
      </c>
      <c r="J99">
        <v>0.43123114000000001</v>
      </c>
    </row>
    <row r="100" spans="1:10" x14ac:dyDescent="0.3">
      <c r="A100">
        <v>98</v>
      </c>
      <c r="B100">
        <v>2074</v>
      </c>
      <c r="C100" t="b">
        <v>1</v>
      </c>
      <c r="D100">
        <v>8106</v>
      </c>
      <c r="E100">
        <v>8117</v>
      </c>
      <c r="F100">
        <v>291.13333</v>
      </c>
      <c r="G100">
        <v>219.66667000000001</v>
      </c>
      <c r="H100">
        <v>1.3253413000000001</v>
      </c>
      <c r="I100">
        <v>-0.32534137000000002</v>
      </c>
      <c r="J100">
        <v>0.43004438</v>
      </c>
    </row>
    <row r="101" spans="1:10" x14ac:dyDescent="0.3">
      <c r="A101">
        <v>99</v>
      </c>
      <c r="B101">
        <v>2090</v>
      </c>
      <c r="C101" t="b">
        <v>1</v>
      </c>
      <c r="D101">
        <v>8152</v>
      </c>
      <c r="E101">
        <v>8140</v>
      </c>
      <c r="F101">
        <v>294.2</v>
      </c>
      <c r="G101">
        <v>220.4</v>
      </c>
      <c r="H101">
        <v>1.3348458000000001</v>
      </c>
      <c r="I101">
        <v>-0.33484584000000001</v>
      </c>
      <c r="J101">
        <v>0.42829381999999999</v>
      </c>
    </row>
    <row r="102" spans="1:10" x14ac:dyDescent="0.3">
      <c r="A102">
        <v>100</v>
      </c>
      <c r="B102">
        <v>2106</v>
      </c>
      <c r="C102" t="b">
        <v>1</v>
      </c>
      <c r="D102">
        <v>8111</v>
      </c>
      <c r="E102">
        <v>8152</v>
      </c>
      <c r="F102">
        <v>297.26666</v>
      </c>
      <c r="G102">
        <v>220.8</v>
      </c>
      <c r="H102">
        <v>1.3463163</v>
      </c>
      <c r="I102">
        <v>-0.34631640000000002</v>
      </c>
      <c r="J102">
        <v>0.42620000000000002</v>
      </c>
    </row>
    <row r="103" spans="1:10" x14ac:dyDescent="0.3">
      <c r="A103">
        <v>101</v>
      </c>
      <c r="B103">
        <v>2122</v>
      </c>
      <c r="C103" t="b">
        <v>1</v>
      </c>
      <c r="D103">
        <v>8083</v>
      </c>
      <c r="E103">
        <v>8140</v>
      </c>
      <c r="F103">
        <v>296.46667000000002</v>
      </c>
      <c r="G103">
        <v>220.8</v>
      </c>
      <c r="H103">
        <v>1.3426932</v>
      </c>
      <c r="I103">
        <v>-0.34269326999999999</v>
      </c>
      <c r="J103">
        <v>0.42685914000000003</v>
      </c>
    </row>
    <row r="104" spans="1:10" x14ac:dyDescent="0.3">
      <c r="A104">
        <v>102</v>
      </c>
      <c r="B104">
        <v>2138</v>
      </c>
      <c r="C104" t="b">
        <v>1</v>
      </c>
      <c r="D104">
        <v>8106</v>
      </c>
      <c r="E104">
        <v>8117</v>
      </c>
      <c r="F104">
        <v>294.53332999999998</v>
      </c>
      <c r="G104">
        <v>220.8</v>
      </c>
      <c r="H104">
        <v>1.3339372</v>
      </c>
      <c r="I104">
        <v>-0.33393714000000002</v>
      </c>
      <c r="J104">
        <v>0.42846056999999999</v>
      </c>
    </row>
    <row r="105" spans="1:10" x14ac:dyDescent="0.3">
      <c r="A105">
        <v>103</v>
      </c>
      <c r="B105">
        <v>2154</v>
      </c>
      <c r="C105" t="b">
        <v>1</v>
      </c>
      <c r="D105">
        <v>8146</v>
      </c>
      <c r="E105">
        <v>8111</v>
      </c>
      <c r="F105">
        <v>291.06668000000002</v>
      </c>
      <c r="G105">
        <v>220.8</v>
      </c>
      <c r="H105">
        <v>1.3182366999999999</v>
      </c>
      <c r="I105">
        <v>-0.31823677</v>
      </c>
      <c r="J105">
        <v>0.43136229999999998</v>
      </c>
    </row>
    <row r="106" spans="1:10" x14ac:dyDescent="0.3">
      <c r="A106">
        <v>104</v>
      </c>
      <c r="B106">
        <v>2170</v>
      </c>
      <c r="C106" t="b">
        <v>1</v>
      </c>
      <c r="D106">
        <v>8106</v>
      </c>
      <c r="E106">
        <v>8134</v>
      </c>
      <c r="F106">
        <v>287.26666</v>
      </c>
      <c r="G106">
        <v>220.4</v>
      </c>
      <c r="H106">
        <v>1.3033878000000001</v>
      </c>
      <c r="I106">
        <v>-0.30338779999999999</v>
      </c>
      <c r="J106">
        <v>0.43414312999999999</v>
      </c>
    </row>
    <row r="107" spans="1:10" x14ac:dyDescent="0.3">
      <c r="A107">
        <v>105</v>
      </c>
      <c r="B107">
        <v>2186</v>
      </c>
      <c r="C107" t="b">
        <v>1</v>
      </c>
      <c r="D107">
        <v>8129</v>
      </c>
      <c r="E107">
        <v>8134</v>
      </c>
      <c r="F107">
        <v>283.46667000000002</v>
      </c>
      <c r="G107">
        <v>220</v>
      </c>
      <c r="H107">
        <v>1.2884849</v>
      </c>
      <c r="I107">
        <v>-0.28848487</v>
      </c>
      <c r="J107">
        <v>0.43697032000000002</v>
      </c>
    </row>
    <row r="108" spans="1:10" x14ac:dyDescent="0.3">
      <c r="A108">
        <v>106</v>
      </c>
      <c r="B108">
        <v>2217</v>
      </c>
      <c r="C108" t="b">
        <v>1</v>
      </c>
      <c r="D108">
        <v>8140</v>
      </c>
      <c r="E108">
        <v>8123</v>
      </c>
      <c r="F108">
        <v>283.46667000000002</v>
      </c>
      <c r="G108">
        <v>218.86667</v>
      </c>
      <c r="H108">
        <v>1.2951568</v>
      </c>
      <c r="I108">
        <v>-0.2951569</v>
      </c>
      <c r="J108">
        <v>0.43570006</v>
      </c>
    </row>
    <row r="109" spans="1:10" x14ac:dyDescent="0.3">
      <c r="A109">
        <v>107</v>
      </c>
      <c r="B109">
        <v>2249</v>
      </c>
      <c r="C109" t="b">
        <v>1</v>
      </c>
      <c r="D109">
        <v>8140</v>
      </c>
      <c r="E109">
        <v>8152</v>
      </c>
      <c r="F109">
        <v>284.2</v>
      </c>
      <c r="G109">
        <v>218.86667</v>
      </c>
      <c r="H109">
        <v>1.2985074999999999</v>
      </c>
      <c r="I109">
        <v>-0.29850749999999998</v>
      </c>
      <c r="J109">
        <v>0.43506494000000001</v>
      </c>
    </row>
    <row r="110" spans="1:10" x14ac:dyDescent="0.3">
      <c r="A110">
        <v>108</v>
      </c>
      <c r="B110">
        <v>2281</v>
      </c>
      <c r="C110" t="b">
        <v>1</v>
      </c>
      <c r="D110">
        <v>8158</v>
      </c>
      <c r="E110">
        <v>8152</v>
      </c>
      <c r="F110">
        <v>285.33334000000002</v>
      </c>
      <c r="G110">
        <v>218.86667</v>
      </c>
      <c r="H110">
        <v>1.3036856999999999</v>
      </c>
      <c r="I110">
        <v>-0.3036857</v>
      </c>
      <c r="J110">
        <v>0.434087</v>
      </c>
    </row>
    <row r="111" spans="1:10" x14ac:dyDescent="0.3">
      <c r="A111">
        <v>109</v>
      </c>
      <c r="B111">
        <v>2296</v>
      </c>
      <c r="C111" t="b">
        <v>1</v>
      </c>
      <c r="D111">
        <v>8146</v>
      </c>
      <c r="E111">
        <v>8146</v>
      </c>
      <c r="F111">
        <v>286.46667000000002</v>
      </c>
      <c r="G111">
        <v>220</v>
      </c>
      <c r="H111">
        <v>1.3021213</v>
      </c>
      <c r="I111">
        <v>-0.30212125000000001</v>
      </c>
      <c r="J111">
        <v>0.43438199999999999</v>
      </c>
    </row>
    <row r="112" spans="1:10" x14ac:dyDescent="0.3">
      <c r="A112">
        <v>110</v>
      </c>
      <c r="B112">
        <v>2312</v>
      </c>
      <c r="C112" t="b">
        <v>1</v>
      </c>
      <c r="D112">
        <v>8106</v>
      </c>
      <c r="E112">
        <v>8111</v>
      </c>
      <c r="F112">
        <v>287.2</v>
      </c>
      <c r="G112">
        <v>220.8</v>
      </c>
      <c r="H112">
        <v>1.3007245999999999</v>
      </c>
      <c r="I112">
        <v>-0.30072470000000001</v>
      </c>
      <c r="J112">
        <v>0.43464567999999998</v>
      </c>
    </row>
    <row r="113" spans="1:10" x14ac:dyDescent="0.3">
      <c r="A113">
        <v>111</v>
      </c>
      <c r="B113">
        <v>2328</v>
      </c>
      <c r="C113" t="b">
        <v>1</v>
      </c>
      <c r="D113">
        <v>8106</v>
      </c>
      <c r="E113">
        <v>8158</v>
      </c>
      <c r="F113">
        <v>287.93331999999998</v>
      </c>
      <c r="G113">
        <v>222</v>
      </c>
      <c r="H113">
        <v>1.296997</v>
      </c>
      <c r="I113">
        <v>-0.29699692</v>
      </c>
      <c r="J113">
        <v>0.43535104000000002</v>
      </c>
    </row>
    <row r="114" spans="1:10" x14ac:dyDescent="0.3">
      <c r="A114">
        <v>112</v>
      </c>
      <c r="B114">
        <v>2344</v>
      </c>
      <c r="C114" t="b">
        <v>1</v>
      </c>
      <c r="D114">
        <v>8100</v>
      </c>
      <c r="E114">
        <v>8134</v>
      </c>
      <c r="F114">
        <v>286.39999999999998</v>
      </c>
      <c r="G114">
        <v>223.13333</v>
      </c>
      <c r="H114">
        <v>1.2835375</v>
      </c>
      <c r="I114">
        <v>-0.28353748000000001</v>
      </c>
      <c r="J114">
        <v>0.43791704999999997</v>
      </c>
    </row>
    <row r="115" spans="1:10" x14ac:dyDescent="0.3">
      <c r="A115">
        <v>113</v>
      </c>
      <c r="B115">
        <v>2359</v>
      </c>
      <c r="C115" t="b">
        <v>1</v>
      </c>
      <c r="D115">
        <v>8117</v>
      </c>
      <c r="E115">
        <v>8111</v>
      </c>
      <c r="F115">
        <v>284.86667</v>
      </c>
      <c r="G115">
        <v>223.46665999999999</v>
      </c>
      <c r="H115">
        <v>1.2747614</v>
      </c>
      <c r="I115">
        <v>-0.27476138</v>
      </c>
      <c r="J115">
        <v>0.43960654999999998</v>
      </c>
    </row>
    <row r="116" spans="1:10" x14ac:dyDescent="0.3">
      <c r="A116">
        <v>114</v>
      </c>
      <c r="B116">
        <v>2375</v>
      </c>
      <c r="C116" t="b">
        <v>1</v>
      </c>
      <c r="D116">
        <v>8083</v>
      </c>
      <c r="E116">
        <v>8111</v>
      </c>
      <c r="F116">
        <v>282.2</v>
      </c>
      <c r="G116">
        <v>221.93333000000001</v>
      </c>
      <c r="H116">
        <v>1.2715529999999999</v>
      </c>
      <c r="I116">
        <v>-0.27155307000000001</v>
      </c>
      <c r="J116">
        <v>0.44022741999999998</v>
      </c>
    </row>
    <row r="117" spans="1:10" x14ac:dyDescent="0.3">
      <c r="A117">
        <v>115</v>
      </c>
      <c r="B117">
        <v>2391</v>
      </c>
      <c r="C117" t="b">
        <v>1</v>
      </c>
      <c r="D117">
        <v>8117</v>
      </c>
      <c r="E117">
        <v>8111</v>
      </c>
      <c r="F117">
        <v>279.53332999999998</v>
      </c>
      <c r="G117">
        <v>220</v>
      </c>
      <c r="H117">
        <v>1.2706059999999999</v>
      </c>
      <c r="I117">
        <v>-0.27060600000000001</v>
      </c>
      <c r="J117">
        <v>0.44041106000000002</v>
      </c>
    </row>
    <row r="118" spans="1:10" x14ac:dyDescent="0.3">
      <c r="A118">
        <v>116</v>
      </c>
      <c r="B118">
        <v>2407</v>
      </c>
      <c r="C118" t="b">
        <v>1</v>
      </c>
      <c r="D118">
        <v>8146</v>
      </c>
      <c r="E118">
        <v>8140</v>
      </c>
      <c r="F118">
        <v>279.93331999999998</v>
      </c>
      <c r="G118">
        <v>218.06666999999999</v>
      </c>
      <c r="H118">
        <v>1.2837052</v>
      </c>
      <c r="I118">
        <v>-0.28370522999999997</v>
      </c>
      <c r="J118">
        <v>0.43788486999999998</v>
      </c>
    </row>
    <row r="119" spans="1:10" x14ac:dyDescent="0.3">
      <c r="A119">
        <v>117</v>
      </c>
      <c r="B119">
        <v>2423</v>
      </c>
      <c r="C119" t="b">
        <v>1</v>
      </c>
      <c r="D119">
        <v>8135</v>
      </c>
      <c r="E119">
        <v>8129</v>
      </c>
      <c r="F119">
        <v>280.66665999999998</v>
      </c>
      <c r="G119">
        <v>216.13333</v>
      </c>
      <c r="H119">
        <v>1.2985811</v>
      </c>
      <c r="I119">
        <v>-0.29858109999999999</v>
      </c>
      <c r="J119">
        <v>0.43505100000000002</v>
      </c>
    </row>
    <row r="120" spans="1:10" x14ac:dyDescent="0.3">
      <c r="A120">
        <v>118</v>
      </c>
      <c r="B120">
        <v>2438</v>
      </c>
      <c r="C120" t="b">
        <v>1</v>
      </c>
      <c r="D120">
        <v>8158</v>
      </c>
      <c r="E120">
        <v>8146</v>
      </c>
      <c r="F120">
        <v>282.26666</v>
      </c>
      <c r="G120">
        <v>215.4</v>
      </c>
      <c r="H120">
        <v>1.3104302000000001</v>
      </c>
      <c r="I120">
        <v>-0.31043022999999997</v>
      </c>
      <c r="J120">
        <v>0.43281979999999998</v>
      </c>
    </row>
    <row r="121" spans="1:10" x14ac:dyDescent="0.3">
      <c r="A121">
        <v>119</v>
      </c>
      <c r="B121">
        <v>2454</v>
      </c>
      <c r="C121" t="b">
        <v>1</v>
      </c>
      <c r="D121">
        <v>8100</v>
      </c>
      <c r="E121">
        <v>8123</v>
      </c>
      <c r="F121">
        <v>284.2</v>
      </c>
      <c r="G121">
        <v>215.06666999999999</v>
      </c>
      <c r="H121">
        <v>1.3214508</v>
      </c>
      <c r="I121">
        <v>-0.32145077</v>
      </c>
      <c r="J121">
        <v>0.43076512</v>
      </c>
    </row>
    <row r="122" spans="1:10" x14ac:dyDescent="0.3">
      <c r="A122">
        <v>120</v>
      </c>
      <c r="B122">
        <v>2485</v>
      </c>
      <c r="C122" t="b">
        <v>1</v>
      </c>
      <c r="D122">
        <v>8117</v>
      </c>
      <c r="E122">
        <v>8146</v>
      </c>
      <c r="F122">
        <v>286.13333</v>
      </c>
      <c r="G122">
        <v>215.46665999999999</v>
      </c>
      <c r="H122">
        <v>1.3279704000000001</v>
      </c>
      <c r="I122">
        <v>-0.32797032999999998</v>
      </c>
      <c r="J122">
        <v>0.42955874999999999</v>
      </c>
    </row>
    <row r="123" spans="1:10" x14ac:dyDescent="0.3">
      <c r="A123">
        <v>121</v>
      </c>
      <c r="B123">
        <v>2517</v>
      </c>
      <c r="C123" t="b">
        <v>1</v>
      </c>
      <c r="D123">
        <v>8065</v>
      </c>
      <c r="E123">
        <v>8123</v>
      </c>
      <c r="F123">
        <v>285.33334000000002</v>
      </c>
      <c r="G123">
        <v>215.86667</v>
      </c>
      <c r="H123">
        <v>1.3218036</v>
      </c>
      <c r="I123">
        <v>-0.32180363000000001</v>
      </c>
      <c r="J123">
        <v>0.43069964999999999</v>
      </c>
    </row>
    <row r="124" spans="1:10" x14ac:dyDescent="0.3">
      <c r="A124">
        <v>122</v>
      </c>
      <c r="B124">
        <v>2549</v>
      </c>
      <c r="C124" t="b">
        <v>1</v>
      </c>
      <c r="D124">
        <v>8106</v>
      </c>
      <c r="E124">
        <v>8129</v>
      </c>
      <c r="F124">
        <v>283.06668000000002</v>
      </c>
      <c r="G124">
        <v>215.53334000000001</v>
      </c>
      <c r="H124">
        <v>1.3133311999999999</v>
      </c>
      <c r="I124">
        <v>-0.31333129999999998</v>
      </c>
      <c r="J124">
        <v>0.43227702000000001</v>
      </c>
    </row>
    <row r="125" spans="1:10" x14ac:dyDescent="0.3">
      <c r="A125">
        <v>123</v>
      </c>
      <c r="B125">
        <v>2580</v>
      </c>
      <c r="C125" t="b">
        <v>1</v>
      </c>
      <c r="D125">
        <v>8083</v>
      </c>
      <c r="E125">
        <v>8123</v>
      </c>
      <c r="F125">
        <v>280.39999999999998</v>
      </c>
      <c r="G125">
        <v>214.8</v>
      </c>
      <c r="H125">
        <v>1.3054003999999999</v>
      </c>
      <c r="I125">
        <v>-0.30540030000000001</v>
      </c>
      <c r="J125">
        <v>0.43376413000000003</v>
      </c>
    </row>
    <row r="126" spans="1:10" x14ac:dyDescent="0.3">
      <c r="A126">
        <v>124</v>
      </c>
      <c r="B126">
        <v>2596</v>
      </c>
      <c r="C126" t="b">
        <v>1</v>
      </c>
      <c r="D126">
        <v>8065</v>
      </c>
      <c r="E126">
        <v>8123</v>
      </c>
      <c r="F126">
        <v>276.60000000000002</v>
      </c>
      <c r="G126">
        <v>213.26666</v>
      </c>
      <c r="H126">
        <v>1.2969679000000001</v>
      </c>
      <c r="I126">
        <v>-0.29696785999999997</v>
      </c>
      <c r="J126">
        <v>0.43535656</v>
      </c>
    </row>
    <row r="127" spans="1:10" x14ac:dyDescent="0.3">
      <c r="A127">
        <v>125</v>
      </c>
      <c r="B127">
        <v>2612</v>
      </c>
      <c r="C127" t="b">
        <v>1</v>
      </c>
      <c r="D127">
        <v>8152</v>
      </c>
      <c r="E127">
        <v>8111</v>
      </c>
      <c r="F127">
        <v>272.8</v>
      </c>
      <c r="G127">
        <v>211.73334</v>
      </c>
      <c r="H127">
        <v>1.288413</v>
      </c>
      <c r="I127">
        <v>-0.28841302000000002</v>
      </c>
      <c r="J127">
        <v>0.43698406000000001</v>
      </c>
    </row>
    <row r="128" spans="1:10" x14ac:dyDescent="0.3">
      <c r="A128">
        <v>126</v>
      </c>
      <c r="B128">
        <v>2628</v>
      </c>
      <c r="C128" t="b">
        <v>1</v>
      </c>
      <c r="D128">
        <v>8169</v>
      </c>
      <c r="E128">
        <v>8140</v>
      </c>
      <c r="F128">
        <v>270.53332999999998</v>
      </c>
      <c r="G128">
        <v>209.8</v>
      </c>
      <c r="H128">
        <v>1.289482</v>
      </c>
      <c r="I128">
        <v>-0.28948200000000002</v>
      </c>
      <c r="J128">
        <v>0.43678003999999998</v>
      </c>
    </row>
    <row r="129" spans="1:10" x14ac:dyDescent="0.3">
      <c r="A129">
        <v>127</v>
      </c>
      <c r="B129">
        <v>2644</v>
      </c>
      <c r="C129" t="b">
        <v>1</v>
      </c>
      <c r="D129">
        <v>8152</v>
      </c>
      <c r="E129">
        <v>8129</v>
      </c>
      <c r="F129">
        <v>273.60000000000002</v>
      </c>
      <c r="G129">
        <v>208.26666</v>
      </c>
      <c r="H129">
        <v>1.3137004000000001</v>
      </c>
      <c r="I129">
        <v>-0.31370044000000002</v>
      </c>
      <c r="J129">
        <v>0.43220806000000001</v>
      </c>
    </row>
    <row r="130" spans="1:10" x14ac:dyDescent="0.3">
      <c r="A130">
        <v>128</v>
      </c>
      <c r="B130">
        <v>2660</v>
      </c>
      <c r="C130" t="b">
        <v>1</v>
      </c>
      <c r="D130">
        <v>8117</v>
      </c>
      <c r="E130">
        <v>8117</v>
      </c>
      <c r="F130">
        <v>276.66665999999998</v>
      </c>
      <c r="G130">
        <v>207.53334000000001</v>
      </c>
      <c r="H130">
        <v>1.3331189999999999</v>
      </c>
      <c r="I130">
        <v>-0.3331191</v>
      </c>
      <c r="J130">
        <v>0.42861076999999997</v>
      </c>
    </row>
    <row r="131" spans="1:10" x14ac:dyDescent="0.3">
      <c r="A131">
        <v>129</v>
      </c>
      <c r="B131">
        <v>2692</v>
      </c>
      <c r="C131" t="b">
        <v>1</v>
      </c>
      <c r="D131">
        <v>8117</v>
      </c>
      <c r="E131">
        <v>8129</v>
      </c>
      <c r="F131">
        <v>279.73334</v>
      </c>
      <c r="G131">
        <v>208.73334</v>
      </c>
      <c r="H131">
        <v>1.3401468999999999</v>
      </c>
      <c r="I131">
        <v>-0.34014689999999997</v>
      </c>
      <c r="J131">
        <v>0.42732360000000003</v>
      </c>
    </row>
    <row r="132" spans="1:10" x14ac:dyDescent="0.3">
      <c r="A132">
        <v>130</v>
      </c>
      <c r="B132">
        <v>2723</v>
      </c>
      <c r="C132" t="b">
        <v>1</v>
      </c>
      <c r="D132">
        <v>8175</v>
      </c>
      <c r="E132">
        <v>8129</v>
      </c>
      <c r="F132">
        <v>282.8</v>
      </c>
      <c r="G132">
        <v>209.93333000000001</v>
      </c>
      <c r="H132">
        <v>1.3470943</v>
      </c>
      <c r="I132">
        <v>-0.34709424</v>
      </c>
      <c r="J132">
        <v>0.42605870000000001</v>
      </c>
    </row>
    <row r="133" spans="1:10" x14ac:dyDescent="0.3">
      <c r="A133">
        <v>131</v>
      </c>
      <c r="B133">
        <v>2755</v>
      </c>
      <c r="C133" t="b">
        <v>1</v>
      </c>
      <c r="D133">
        <v>8146</v>
      </c>
      <c r="E133">
        <v>8111</v>
      </c>
      <c r="F133">
        <v>284.73334</v>
      </c>
      <c r="G133">
        <v>211.13333</v>
      </c>
      <c r="H133">
        <v>1.3485948999999999</v>
      </c>
      <c r="I133">
        <v>-0.34859489999999999</v>
      </c>
      <c r="J133">
        <v>0.42578650000000001</v>
      </c>
    </row>
    <row r="134" spans="1:10" x14ac:dyDescent="0.3">
      <c r="A134">
        <v>132</v>
      </c>
      <c r="B134">
        <v>2787</v>
      </c>
      <c r="C134" t="b">
        <v>1</v>
      </c>
      <c r="D134">
        <v>8077</v>
      </c>
      <c r="E134">
        <v>8134</v>
      </c>
      <c r="F134">
        <v>284.73334</v>
      </c>
      <c r="G134">
        <v>212.33332999999999</v>
      </c>
      <c r="H134">
        <v>1.3409734</v>
      </c>
      <c r="I134">
        <v>-0.34097337999999999</v>
      </c>
      <c r="J134">
        <v>0.42717274999999999</v>
      </c>
    </row>
    <row r="135" spans="1:10" x14ac:dyDescent="0.3">
      <c r="A135">
        <v>133</v>
      </c>
      <c r="B135">
        <v>2819</v>
      </c>
      <c r="C135" t="b">
        <v>1</v>
      </c>
      <c r="D135">
        <v>8100</v>
      </c>
      <c r="E135">
        <v>8111</v>
      </c>
      <c r="F135">
        <v>283.53332999999998</v>
      </c>
      <c r="G135">
        <v>212.33332999999999</v>
      </c>
      <c r="H135">
        <v>1.3353218</v>
      </c>
      <c r="I135">
        <v>-0.3353218</v>
      </c>
      <c r="J135">
        <v>0.42820652999999997</v>
      </c>
    </row>
    <row r="136" spans="1:10" x14ac:dyDescent="0.3">
      <c r="A136">
        <v>134</v>
      </c>
      <c r="B136">
        <v>2850</v>
      </c>
      <c r="C136" t="b">
        <v>1</v>
      </c>
      <c r="D136">
        <v>8100</v>
      </c>
      <c r="E136">
        <v>8105</v>
      </c>
      <c r="F136">
        <v>281.2</v>
      </c>
      <c r="G136">
        <v>211.13333</v>
      </c>
      <c r="H136">
        <v>1.3318597999999999</v>
      </c>
      <c r="I136">
        <v>-0.33185989999999999</v>
      </c>
      <c r="J136">
        <v>0.42884224999999998</v>
      </c>
    </row>
    <row r="137" spans="1:10" x14ac:dyDescent="0.3">
      <c r="A137">
        <v>135</v>
      </c>
      <c r="B137">
        <v>2883</v>
      </c>
      <c r="C137" t="b">
        <v>1</v>
      </c>
      <c r="D137">
        <v>8065</v>
      </c>
      <c r="E137">
        <v>8134</v>
      </c>
      <c r="F137">
        <v>278.86667</v>
      </c>
      <c r="G137">
        <v>209.2</v>
      </c>
      <c r="H137">
        <v>1.3330147000000001</v>
      </c>
      <c r="I137">
        <v>-0.3330147</v>
      </c>
      <c r="J137">
        <v>0.42862995999999998</v>
      </c>
    </row>
    <row r="138" spans="1:10" x14ac:dyDescent="0.3">
      <c r="A138">
        <v>136</v>
      </c>
      <c r="B138">
        <v>2914</v>
      </c>
      <c r="C138" t="b">
        <v>1</v>
      </c>
      <c r="D138">
        <v>8158</v>
      </c>
      <c r="E138">
        <v>8146</v>
      </c>
      <c r="F138">
        <v>277.73334</v>
      </c>
      <c r="G138">
        <v>209.53334000000001</v>
      </c>
      <c r="H138">
        <v>1.3254851999999999</v>
      </c>
      <c r="I138">
        <v>-0.32548516999999999</v>
      </c>
      <c r="J138">
        <v>0.43001780000000001</v>
      </c>
    </row>
    <row r="139" spans="1:10" x14ac:dyDescent="0.3">
      <c r="A139">
        <v>137</v>
      </c>
      <c r="B139">
        <v>2930</v>
      </c>
      <c r="C139" t="b">
        <v>1</v>
      </c>
      <c r="D139">
        <v>8163</v>
      </c>
      <c r="E139">
        <v>8099</v>
      </c>
      <c r="F139">
        <v>277.33334000000002</v>
      </c>
      <c r="G139">
        <v>208.33332999999999</v>
      </c>
      <c r="H139">
        <v>1.3312001</v>
      </c>
      <c r="I139">
        <v>-0.3312001</v>
      </c>
      <c r="J139">
        <v>0.4289636</v>
      </c>
    </row>
    <row r="140" spans="1:10" x14ac:dyDescent="0.3">
      <c r="A140">
        <v>138</v>
      </c>
      <c r="B140">
        <v>2946</v>
      </c>
      <c r="C140" t="b">
        <v>1</v>
      </c>
      <c r="D140">
        <v>8111</v>
      </c>
      <c r="E140">
        <v>8123</v>
      </c>
      <c r="F140">
        <v>278.06668000000002</v>
      </c>
      <c r="G140">
        <v>208.33332999999999</v>
      </c>
      <c r="H140">
        <v>1.3347201</v>
      </c>
      <c r="I140">
        <v>-0.33472010000000002</v>
      </c>
      <c r="J140">
        <v>0.42831686000000002</v>
      </c>
    </row>
    <row r="141" spans="1:10" x14ac:dyDescent="0.3">
      <c r="A141">
        <v>139</v>
      </c>
      <c r="B141">
        <v>2962</v>
      </c>
      <c r="C141" t="b">
        <v>1</v>
      </c>
      <c r="D141">
        <v>8106</v>
      </c>
      <c r="E141">
        <v>8146</v>
      </c>
      <c r="F141">
        <v>279.93331999999998</v>
      </c>
      <c r="G141">
        <v>209.06666999999999</v>
      </c>
      <c r="H141">
        <v>1.3389667000000001</v>
      </c>
      <c r="I141">
        <v>-0.33896680000000001</v>
      </c>
      <c r="J141">
        <v>0.42753920000000001</v>
      </c>
    </row>
    <row r="142" spans="1:10" x14ac:dyDescent="0.3">
      <c r="A142">
        <v>140</v>
      </c>
      <c r="B142">
        <v>2977</v>
      </c>
      <c r="C142" t="b">
        <v>1</v>
      </c>
      <c r="D142">
        <v>8146</v>
      </c>
      <c r="E142">
        <v>8129</v>
      </c>
      <c r="F142">
        <v>284.13333</v>
      </c>
      <c r="G142">
        <v>209.46665999999999</v>
      </c>
      <c r="H142">
        <v>1.3564609000000001</v>
      </c>
      <c r="I142">
        <v>-0.35646090000000002</v>
      </c>
      <c r="J142">
        <v>0.42436521999999999</v>
      </c>
    </row>
    <row r="143" spans="1:10" x14ac:dyDescent="0.3">
      <c r="A143">
        <v>141</v>
      </c>
      <c r="B143">
        <v>3009</v>
      </c>
      <c r="C143" t="b">
        <v>1</v>
      </c>
      <c r="D143">
        <v>8175</v>
      </c>
      <c r="E143">
        <v>8129</v>
      </c>
      <c r="F143">
        <v>286.8</v>
      </c>
      <c r="G143">
        <v>209.86667</v>
      </c>
      <c r="H143">
        <v>1.3665818999999999</v>
      </c>
      <c r="I143">
        <v>-0.36658190000000002</v>
      </c>
      <c r="J143">
        <v>0.42255035000000002</v>
      </c>
    </row>
    <row r="144" spans="1:10" x14ac:dyDescent="0.3">
      <c r="A144">
        <v>142</v>
      </c>
      <c r="B144">
        <v>3040</v>
      </c>
      <c r="C144" t="b">
        <v>1</v>
      </c>
      <c r="D144">
        <v>8111</v>
      </c>
      <c r="E144">
        <v>8134</v>
      </c>
      <c r="F144">
        <v>284.06668000000002</v>
      </c>
      <c r="G144">
        <v>210.26666</v>
      </c>
      <c r="H144">
        <v>1.350983</v>
      </c>
      <c r="I144">
        <v>-0.35098296000000001</v>
      </c>
      <c r="J144">
        <v>0.42535400000000001</v>
      </c>
    </row>
    <row r="145" spans="1:10" x14ac:dyDescent="0.3">
      <c r="A145">
        <v>143</v>
      </c>
      <c r="B145">
        <v>3072</v>
      </c>
      <c r="C145" t="b">
        <v>1</v>
      </c>
      <c r="D145">
        <v>8146</v>
      </c>
      <c r="E145">
        <v>8140</v>
      </c>
      <c r="F145">
        <v>283.66665999999998</v>
      </c>
      <c r="G145">
        <v>211</v>
      </c>
      <c r="H145">
        <v>1.3443917000000001</v>
      </c>
      <c r="I145">
        <v>-0.34439173000000001</v>
      </c>
      <c r="J145">
        <v>0.42654987999999999</v>
      </c>
    </row>
    <row r="146" spans="1:10" x14ac:dyDescent="0.3">
      <c r="A146">
        <v>144</v>
      </c>
      <c r="B146">
        <v>3088</v>
      </c>
      <c r="C146" t="b">
        <v>1</v>
      </c>
      <c r="D146">
        <v>8083</v>
      </c>
      <c r="E146">
        <v>8105</v>
      </c>
      <c r="F146">
        <v>283.26666</v>
      </c>
      <c r="G146">
        <v>211</v>
      </c>
      <c r="H146">
        <v>1.3424959999999999</v>
      </c>
      <c r="I146">
        <v>-0.34249604</v>
      </c>
      <c r="J146">
        <v>0.42689505</v>
      </c>
    </row>
    <row r="147" spans="1:10" x14ac:dyDescent="0.3">
      <c r="A147">
        <v>145</v>
      </c>
      <c r="B147">
        <v>3119</v>
      </c>
      <c r="C147" t="b">
        <v>1</v>
      </c>
      <c r="D147">
        <v>8106</v>
      </c>
      <c r="E147">
        <v>8129</v>
      </c>
      <c r="F147">
        <v>280.53332999999998</v>
      </c>
      <c r="G147">
        <v>211</v>
      </c>
      <c r="H147">
        <v>1.3295418000000001</v>
      </c>
      <c r="I147">
        <v>-0.32954182999999998</v>
      </c>
      <c r="J147">
        <v>0.42926895999999998</v>
      </c>
    </row>
    <row r="148" spans="1:10" x14ac:dyDescent="0.3">
      <c r="A148">
        <v>146</v>
      </c>
      <c r="B148">
        <v>3151</v>
      </c>
      <c r="C148" t="b">
        <v>1</v>
      </c>
      <c r="D148">
        <v>8094</v>
      </c>
      <c r="E148">
        <v>8129</v>
      </c>
      <c r="F148">
        <v>277.86667</v>
      </c>
      <c r="G148">
        <v>211</v>
      </c>
      <c r="H148">
        <v>1.3169036000000001</v>
      </c>
      <c r="I148">
        <v>-0.31690364999999998</v>
      </c>
      <c r="J148">
        <v>0.43161052</v>
      </c>
    </row>
    <row r="149" spans="1:10" x14ac:dyDescent="0.3">
      <c r="A149">
        <v>147</v>
      </c>
      <c r="B149">
        <v>3183</v>
      </c>
      <c r="C149" t="b">
        <v>1</v>
      </c>
      <c r="D149">
        <v>8186</v>
      </c>
      <c r="E149">
        <v>8140</v>
      </c>
      <c r="F149">
        <v>277.13333</v>
      </c>
      <c r="G149">
        <v>211</v>
      </c>
      <c r="H149">
        <v>1.3134281999999999</v>
      </c>
      <c r="I149">
        <v>-0.31342809999999999</v>
      </c>
      <c r="J149">
        <v>0.43225892999999999</v>
      </c>
    </row>
    <row r="150" spans="1:10" x14ac:dyDescent="0.3">
      <c r="A150">
        <v>148</v>
      </c>
      <c r="B150">
        <v>3198</v>
      </c>
      <c r="C150" t="b">
        <v>1</v>
      </c>
      <c r="D150">
        <v>8111</v>
      </c>
      <c r="E150">
        <v>8111</v>
      </c>
      <c r="F150">
        <v>276.39999999999998</v>
      </c>
      <c r="G150">
        <v>211</v>
      </c>
      <c r="H150">
        <v>1.3099525999999999</v>
      </c>
      <c r="I150">
        <v>-0.30995260000000002</v>
      </c>
      <c r="J150">
        <v>0.4329093</v>
      </c>
    </row>
    <row r="151" spans="1:10" x14ac:dyDescent="0.3">
      <c r="A151">
        <v>149</v>
      </c>
      <c r="B151">
        <v>3214</v>
      </c>
      <c r="C151" t="b">
        <v>1</v>
      </c>
      <c r="D151">
        <v>8071</v>
      </c>
      <c r="E151">
        <v>8134</v>
      </c>
      <c r="F151">
        <v>276.8</v>
      </c>
      <c r="G151">
        <v>212.2</v>
      </c>
      <c r="H151">
        <v>1.3044298000000001</v>
      </c>
      <c r="I151">
        <v>-0.30442974</v>
      </c>
      <c r="J151">
        <v>0.43394682000000001</v>
      </c>
    </row>
    <row r="152" spans="1:10" x14ac:dyDescent="0.3">
      <c r="A152">
        <v>150</v>
      </c>
      <c r="B152">
        <v>3230</v>
      </c>
      <c r="C152" t="b">
        <v>1</v>
      </c>
      <c r="D152">
        <v>8123</v>
      </c>
      <c r="E152">
        <v>8123</v>
      </c>
      <c r="F152">
        <v>277.53332999999998</v>
      </c>
      <c r="G152">
        <v>213.4</v>
      </c>
      <c r="H152">
        <v>1.3005310000000001</v>
      </c>
      <c r="I152">
        <v>-0.3005311</v>
      </c>
      <c r="J152">
        <v>0.43468224999999999</v>
      </c>
    </row>
    <row r="153" spans="1:10" x14ac:dyDescent="0.3">
      <c r="A153">
        <v>151</v>
      </c>
      <c r="B153">
        <v>3245</v>
      </c>
      <c r="C153" t="b">
        <v>1</v>
      </c>
      <c r="D153">
        <v>8129</v>
      </c>
      <c r="E153">
        <v>8105</v>
      </c>
      <c r="F153">
        <v>279.06668000000002</v>
      </c>
      <c r="G153">
        <v>212.66667000000001</v>
      </c>
      <c r="H153">
        <v>1.3122256999999999</v>
      </c>
      <c r="I153">
        <v>-0.31222572999999998</v>
      </c>
      <c r="J153">
        <v>0.43248373000000001</v>
      </c>
    </row>
    <row r="154" spans="1:10" x14ac:dyDescent="0.3">
      <c r="A154">
        <v>152</v>
      </c>
      <c r="B154">
        <v>3261</v>
      </c>
      <c r="C154" t="b">
        <v>1</v>
      </c>
      <c r="D154">
        <v>8146</v>
      </c>
      <c r="E154">
        <v>8123</v>
      </c>
      <c r="F154">
        <v>280.60000000000002</v>
      </c>
      <c r="G154">
        <v>213.46665999999999</v>
      </c>
      <c r="H154">
        <v>1.3144910000000001</v>
      </c>
      <c r="I154">
        <v>-0.31449100000000002</v>
      </c>
      <c r="J154">
        <v>0.43206044999999998</v>
      </c>
    </row>
    <row r="155" spans="1:10" x14ac:dyDescent="0.3">
      <c r="A155">
        <v>153</v>
      </c>
      <c r="B155">
        <v>3277</v>
      </c>
      <c r="C155" t="b">
        <v>1</v>
      </c>
      <c r="D155">
        <v>8083</v>
      </c>
      <c r="E155">
        <v>8134</v>
      </c>
      <c r="F155">
        <v>281.39999999999998</v>
      </c>
      <c r="G155">
        <v>213.46665999999999</v>
      </c>
      <c r="H155">
        <v>1.3182385999999999</v>
      </c>
      <c r="I155">
        <v>-0.31823862000000003</v>
      </c>
      <c r="J155">
        <v>0.43136200000000002</v>
      </c>
    </row>
    <row r="156" spans="1:10" x14ac:dyDescent="0.3">
      <c r="A156">
        <v>154</v>
      </c>
      <c r="B156">
        <v>3292</v>
      </c>
      <c r="C156" t="b">
        <v>1</v>
      </c>
      <c r="D156">
        <v>8083</v>
      </c>
      <c r="E156">
        <v>8105</v>
      </c>
      <c r="F156">
        <v>282.2</v>
      </c>
      <c r="G156">
        <v>212.73334</v>
      </c>
      <c r="H156">
        <v>1.3265435000000001</v>
      </c>
      <c r="I156">
        <v>-0.32654341999999997</v>
      </c>
      <c r="J156">
        <v>0.42982219999999999</v>
      </c>
    </row>
    <row r="157" spans="1:10" x14ac:dyDescent="0.3">
      <c r="A157">
        <v>155</v>
      </c>
      <c r="B157">
        <v>3308</v>
      </c>
      <c r="C157" t="b">
        <v>1</v>
      </c>
      <c r="D157">
        <v>8135</v>
      </c>
      <c r="E157">
        <v>8117</v>
      </c>
      <c r="F157">
        <v>281.06668000000002</v>
      </c>
      <c r="G157">
        <v>211.93333000000001</v>
      </c>
      <c r="H157">
        <v>1.3262031999999999</v>
      </c>
      <c r="I157">
        <v>-0.32620325999999999</v>
      </c>
      <c r="J157">
        <v>0.42988505999999999</v>
      </c>
    </row>
    <row r="158" spans="1:10" x14ac:dyDescent="0.3">
      <c r="A158">
        <v>156</v>
      </c>
      <c r="B158">
        <v>3324</v>
      </c>
      <c r="C158" t="b">
        <v>1</v>
      </c>
      <c r="D158">
        <v>8077</v>
      </c>
      <c r="E158">
        <v>8099</v>
      </c>
      <c r="F158">
        <v>276.86667</v>
      </c>
      <c r="G158">
        <v>211.13333</v>
      </c>
      <c r="H158">
        <v>1.3113357000000001</v>
      </c>
      <c r="I158">
        <v>-0.31133568</v>
      </c>
      <c r="J158">
        <v>0.43265027</v>
      </c>
    </row>
    <row r="159" spans="1:10" x14ac:dyDescent="0.3">
      <c r="A159">
        <v>157</v>
      </c>
      <c r="B159">
        <v>3340</v>
      </c>
      <c r="C159" t="b">
        <v>1</v>
      </c>
      <c r="D159">
        <v>8111</v>
      </c>
      <c r="E159">
        <v>8123</v>
      </c>
      <c r="F159">
        <v>275</v>
      </c>
      <c r="G159">
        <v>210.33332999999999</v>
      </c>
      <c r="H159">
        <v>1.3074485</v>
      </c>
      <c r="I159">
        <v>-0.30744853999999999</v>
      </c>
      <c r="J159">
        <v>0.43337910000000002</v>
      </c>
    </row>
    <row r="160" spans="1:10" x14ac:dyDescent="0.3">
      <c r="A160">
        <v>158</v>
      </c>
      <c r="B160">
        <v>3356</v>
      </c>
      <c r="C160" t="b">
        <v>1</v>
      </c>
      <c r="D160">
        <v>8111</v>
      </c>
      <c r="E160">
        <v>8158</v>
      </c>
      <c r="F160">
        <v>272.66665999999998</v>
      </c>
      <c r="G160">
        <v>209.2</v>
      </c>
      <c r="H160">
        <v>1.3033779000000001</v>
      </c>
      <c r="I160">
        <v>-0.30337793000000002</v>
      </c>
      <c r="J160">
        <v>0.434145</v>
      </c>
    </row>
    <row r="161" spans="1:10" x14ac:dyDescent="0.3">
      <c r="A161">
        <v>159</v>
      </c>
      <c r="B161">
        <v>3372</v>
      </c>
      <c r="C161" t="b">
        <v>1</v>
      </c>
      <c r="D161">
        <v>8158</v>
      </c>
      <c r="E161">
        <v>8117</v>
      </c>
      <c r="F161">
        <v>270.33334000000002</v>
      </c>
      <c r="G161">
        <v>208.4</v>
      </c>
      <c r="H161">
        <v>1.297185</v>
      </c>
      <c r="I161">
        <v>-0.29718496999999999</v>
      </c>
      <c r="J161">
        <v>0.43531540000000002</v>
      </c>
    </row>
    <row r="162" spans="1:10" x14ac:dyDescent="0.3">
      <c r="A162">
        <v>160</v>
      </c>
      <c r="B162">
        <v>3387</v>
      </c>
      <c r="C162" t="b">
        <v>1</v>
      </c>
      <c r="D162">
        <v>8140</v>
      </c>
      <c r="E162">
        <v>8140</v>
      </c>
      <c r="F162">
        <v>270.33334000000002</v>
      </c>
      <c r="G162">
        <v>208</v>
      </c>
      <c r="H162">
        <v>1.2996795000000001</v>
      </c>
      <c r="I162">
        <v>-0.29967955000000002</v>
      </c>
      <c r="J162">
        <v>0.43484318</v>
      </c>
    </row>
    <row r="163" spans="1:10" x14ac:dyDescent="0.3">
      <c r="A163">
        <v>161</v>
      </c>
      <c r="B163">
        <v>3403</v>
      </c>
      <c r="C163" t="b">
        <v>1</v>
      </c>
      <c r="D163">
        <v>8111</v>
      </c>
      <c r="E163">
        <v>8129</v>
      </c>
      <c r="F163">
        <v>270.66665999999998</v>
      </c>
      <c r="G163">
        <v>208</v>
      </c>
      <c r="H163">
        <v>1.301282</v>
      </c>
      <c r="I163">
        <v>-0.30128199999999999</v>
      </c>
      <c r="J163">
        <v>0.43454039999999999</v>
      </c>
    </row>
    <row r="164" spans="1:10" x14ac:dyDescent="0.3">
      <c r="A164">
        <v>162</v>
      </c>
      <c r="B164">
        <v>3434</v>
      </c>
      <c r="C164" t="b">
        <v>1</v>
      </c>
      <c r="D164">
        <v>8117</v>
      </c>
      <c r="E164">
        <v>8111</v>
      </c>
      <c r="F164">
        <v>271.39999999999998</v>
      </c>
      <c r="G164">
        <v>208</v>
      </c>
      <c r="H164">
        <v>1.3048077</v>
      </c>
      <c r="I164">
        <v>-0.30480765999999998</v>
      </c>
      <c r="J164">
        <v>0.43387567999999999</v>
      </c>
    </row>
    <row r="165" spans="1:10" x14ac:dyDescent="0.3">
      <c r="A165">
        <v>163</v>
      </c>
      <c r="B165">
        <v>3450</v>
      </c>
      <c r="C165" t="b">
        <v>1</v>
      </c>
      <c r="D165">
        <v>8146</v>
      </c>
      <c r="E165">
        <v>8140</v>
      </c>
      <c r="F165">
        <v>273.66665999999998</v>
      </c>
      <c r="G165">
        <v>208</v>
      </c>
      <c r="H165">
        <v>1.3157051</v>
      </c>
      <c r="I165">
        <v>-0.31570510000000002</v>
      </c>
      <c r="J165">
        <v>0.43183391999999998</v>
      </c>
    </row>
    <row r="166" spans="1:10" x14ac:dyDescent="0.3">
      <c r="A166">
        <v>164</v>
      </c>
      <c r="B166">
        <v>3466</v>
      </c>
      <c r="C166" t="b">
        <v>1</v>
      </c>
      <c r="D166">
        <v>8117</v>
      </c>
      <c r="E166">
        <v>8140</v>
      </c>
      <c r="F166">
        <v>274.39999999999998</v>
      </c>
      <c r="G166">
        <v>208.73334</v>
      </c>
      <c r="H166">
        <v>1.3145959</v>
      </c>
      <c r="I166">
        <v>-0.31459589999999998</v>
      </c>
      <c r="J166">
        <v>0.43204083999999998</v>
      </c>
    </row>
    <row r="167" spans="1:10" x14ac:dyDescent="0.3">
      <c r="A167">
        <v>165</v>
      </c>
      <c r="B167">
        <v>3481</v>
      </c>
      <c r="C167" t="b">
        <v>1</v>
      </c>
      <c r="D167">
        <v>8123</v>
      </c>
      <c r="E167">
        <v>8146</v>
      </c>
      <c r="F167">
        <v>274.8</v>
      </c>
      <c r="G167">
        <v>209.46665999999999</v>
      </c>
      <c r="H167">
        <v>1.3119031999999999</v>
      </c>
      <c r="I167">
        <v>-0.31190324000000003</v>
      </c>
      <c r="J167">
        <v>0.43254405000000001</v>
      </c>
    </row>
    <row r="168" spans="1:10" x14ac:dyDescent="0.3">
      <c r="A168">
        <v>166</v>
      </c>
      <c r="B168">
        <v>3497</v>
      </c>
      <c r="C168" t="b">
        <v>1</v>
      </c>
      <c r="D168">
        <v>8163</v>
      </c>
      <c r="E168">
        <v>8123</v>
      </c>
      <c r="F168">
        <v>274.8</v>
      </c>
      <c r="G168">
        <v>210.6</v>
      </c>
      <c r="H168">
        <v>1.3048432000000001</v>
      </c>
      <c r="I168">
        <v>-0.30484322000000003</v>
      </c>
      <c r="J168">
        <v>0.433869</v>
      </c>
    </row>
    <row r="169" spans="1:10" x14ac:dyDescent="0.3">
      <c r="A169">
        <v>167</v>
      </c>
      <c r="B169">
        <v>3513</v>
      </c>
      <c r="C169" t="b">
        <v>1</v>
      </c>
      <c r="D169">
        <v>8106</v>
      </c>
      <c r="E169">
        <v>8152</v>
      </c>
      <c r="F169">
        <v>274.8</v>
      </c>
      <c r="G169">
        <v>211.73334</v>
      </c>
      <c r="H169">
        <v>1.2978588</v>
      </c>
      <c r="I169">
        <v>-0.29785886</v>
      </c>
      <c r="J169">
        <v>0.43518772999999999</v>
      </c>
    </row>
    <row r="170" spans="1:10" x14ac:dyDescent="0.3">
      <c r="A170">
        <v>168</v>
      </c>
      <c r="B170">
        <v>3529</v>
      </c>
      <c r="C170" t="b">
        <v>1</v>
      </c>
      <c r="D170">
        <v>8083</v>
      </c>
      <c r="E170">
        <v>8146</v>
      </c>
      <c r="F170">
        <v>274.39999999999998</v>
      </c>
      <c r="G170">
        <v>213.26666</v>
      </c>
      <c r="H170">
        <v>1.2866521</v>
      </c>
      <c r="I170">
        <v>-0.28665210000000002</v>
      </c>
      <c r="J170">
        <v>0.43732056000000002</v>
      </c>
    </row>
    <row r="171" spans="1:10" x14ac:dyDescent="0.3">
      <c r="A171">
        <v>169</v>
      </c>
      <c r="B171">
        <v>3560</v>
      </c>
      <c r="C171" t="b">
        <v>1</v>
      </c>
      <c r="D171">
        <v>8146</v>
      </c>
      <c r="E171">
        <v>8111</v>
      </c>
      <c r="F171">
        <v>274.39999999999998</v>
      </c>
      <c r="G171">
        <v>214.8</v>
      </c>
      <c r="H171">
        <v>1.2774673999999999</v>
      </c>
      <c r="I171">
        <v>-0.27746736999999999</v>
      </c>
      <c r="J171">
        <v>0.43908419999999998</v>
      </c>
    </row>
    <row r="172" spans="1:10" x14ac:dyDescent="0.3">
      <c r="A172">
        <v>170</v>
      </c>
      <c r="B172">
        <v>3576</v>
      </c>
      <c r="C172" t="b">
        <v>1</v>
      </c>
      <c r="D172">
        <v>8146</v>
      </c>
      <c r="E172">
        <v>8129</v>
      </c>
      <c r="F172">
        <v>275.53332999999998</v>
      </c>
      <c r="G172">
        <v>215.6</v>
      </c>
      <c r="H172">
        <v>1.2779839</v>
      </c>
      <c r="I172">
        <v>-0.27798383999999998</v>
      </c>
      <c r="J172">
        <v>0.43898466000000003</v>
      </c>
    </row>
    <row r="173" spans="1:10" x14ac:dyDescent="0.3">
      <c r="A173">
        <v>171</v>
      </c>
      <c r="B173">
        <v>3592</v>
      </c>
      <c r="C173" t="b">
        <v>1</v>
      </c>
      <c r="D173">
        <v>8071</v>
      </c>
      <c r="E173">
        <v>8123</v>
      </c>
      <c r="F173">
        <v>277.06668000000002</v>
      </c>
      <c r="G173">
        <v>216.4</v>
      </c>
      <c r="H173">
        <v>1.2803452</v>
      </c>
      <c r="I173">
        <v>-0.28034513999999999</v>
      </c>
      <c r="J173">
        <v>0.43853012000000002</v>
      </c>
    </row>
    <row r="174" spans="1:10" x14ac:dyDescent="0.3">
      <c r="A174">
        <v>172</v>
      </c>
      <c r="B174">
        <v>3607</v>
      </c>
      <c r="C174" t="b">
        <v>1</v>
      </c>
      <c r="D174">
        <v>8077</v>
      </c>
      <c r="E174">
        <v>8129</v>
      </c>
      <c r="F174">
        <v>277.06668000000002</v>
      </c>
      <c r="G174">
        <v>217.2</v>
      </c>
      <c r="H174">
        <v>1.2756293000000001</v>
      </c>
      <c r="I174">
        <v>-0.27562930000000002</v>
      </c>
      <c r="J174">
        <v>0.43943890000000002</v>
      </c>
    </row>
    <row r="175" spans="1:10" x14ac:dyDescent="0.3">
      <c r="A175">
        <v>173</v>
      </c>
      <c r="B175">
        <v>3623</v>
      </c>
      <c r="C175" t="b">
        <v>1</v>
      </c>
      <c r="D175">
        <v>8129</v>
      </c>
      <c r="E175">
        <v>8123</v>
      </c>
      <c r="F175">
        <v>278.26666</v>
      </c>
      <c r="G175">
        <v>217.6</v>
      </c>
      <c r="H175">
        <v>1.2787989</v>
      </c>
      <c r="I175">
        <v>-0.27879896999999998</v>
      </c>
      <c r="J175">
        <v>0.43882766000000001</v>
      </c>
    </row>
    <row r="176" spans="1:10" x14ac:dyDescent="0.3">
      <c r="A176">
        <v>174</v>
      </c>
      <c r="B176">
        <v>3639</v>
      </c>
      <c r="C176" t="b">
        <v>1</v>
      </c>
      <c r="D176">
        <v>8083</v>
      </c>
      <c r="E176">
        <v>8146</v>
      </c>
      <c r="F176">
        <v>276.39999999999998</v>
      </c>
      <c r="G176">
        <v>218.4</v>
      </c>
      <c r="H176">
        <v>1.2655677999999999</v>
      </c>
      <c r="I176">
        <v>-0.26556777999999998</v>
      </c>
      <c r="J176">
        <v>0.44139044999999999</v>
      </c>
    </row>
    <row r="177" spans="1:10" x14ac:dyDescent="0.3">
      <c r="A177">
        <v>175</v>
      </c>
      <c r="B177">
        <v>3655</v>
      </c>
      <c r="C177" t="b">
        <v>1</v>
      </c>
      <c r="D177">
        <v>8100</v>
      </c>
      <c r="E177">
        <v>8111</v>
      </c>
      <c r="F177">
        <v>274.53332999999998</v>
      </c>
      <c r="G177">
        <v>218.4</v>
      </c>
      <c r="H177">
        <v>1.2570207</v>
      </c>
      <c r="I177">
        <v>-0.25702074000000003</v>
      </c>
      <c r="J177">
        <v>0.44306194999999998</v>
      </c>
    </row>
    <row r="178" spans="1:10" x14ac:dyDescent="0.3">
      <c r="A178">
        <v>176</v>
      </c>
      <c r="B178">
        <v>3671</v>
      </c>
      <c r="C178" t="b">
        <v>1</v>
      </c>
      <c r="D178">
        <v>8117</v>
      </c>
      <c r="E178">
        <v>8140</v>
      </c>
      <c r="F178">
        <v>273.8</v>
      </c>
      <c r="G178">
        <v>218.4</v>
      </c>
      <c r="H178">
        <v>1.253663</v>
      </c>
      <c r="I178">
        <v>-0.25366296999999999</v>
      </c>
      <c r="J178">
        <v>0.44372207000000002</v>
      </c>
    </row>
    <row r="179" spans="1:10" x14ac:dyDescent="0.3">
      <c r="A179">
        <v>177</v>
      </c>
      <c r="B179">
        <v>3687</v>
      </c>
      <c r="C179" t="b">
        <v>1</v>
      </c>
      <c r="D179">
        <v>8065</v>
      </c>
      <c r="E179">
        <v>8117</v>
      </c>
      <c r="F179">
        <v>272.66665999999998</v>
      </c>
      <c r="G179">
        <v>218</v>
      </c>
      <c r="H179">
        <v>1.2507645000000001</v>
      </c>
      <c r="I179">
        <v>-0.2507645</v>
      </c>
      <c r="J179">
        <v>0.44429350000000001</v>
      </c>
    </row>
    <row r="180" spans="1:10" x14ac:dyDescent="0.3">
      <c r="A180">
        <v>178</v>
      </c>
      <c r="B180">
        <v>3703</v>
      </c>
      <c r="C180" t="b">
        <v>1</v>
      </c>
      <c r="D180">
        <v>8111</v>
      </c>
      <c r="E180">
        <v>8111</v>
      </c>
      <c r="F180">
        <v>270</v>
      </c>
      <c r="G180">
        <v>217.2</v>
      </c>
      <c r="H180">
        <v>1.2430939999999999</v>
      </c>
      <c r="I180">
        <v>-0.24309394000000001</v>
      </c>
      <c r="J180">
        <v>0.44581280000000001</v>
      </c>
    </row>
    <row r="181" spans="1:10" x14ac:dyDescent="0.3">
      <c r="A181">
        <v>179</v>
      </c>
      <c r="B181">
        <v>3719</v>
      </c>
      <c r="C181" t="b">
        <v>1</v>
      </c>
      <c r="D181">
        <v>8135</v>
      </c>
      <c r="E181">
        <v>8146</v>
      </c>
      <c r="F181">
        <v>269.60000000000002</v>
      </c>
      <c r="G181">
        <v>215.66667000000001</v>
      </c>
      <c r="H181">
        <v>1.2500772</v>
      </c>
      <c r="I181">
        <v>-0.25007728000000001</v>
      </c>
      <c r="J181">
        <v>0.44442920000000002</v>
      </c>
    </row>
    <row r="182" spans="1:10" x14ac:dyDescent="0.3">
      <c r="A182">
        <v>180</v>
      </c>
      <c r="B182">
        <v>3735</v>
      </c>
      <c r="C182" t="b">
        <v>1</v>
      </c>
      <c r="D182">
        <v>8140</v>
      </c>
      <c r="E182">
        <v>8117</v>
      </c>
      <c r="F182">
        <v>269.60000000000002</v>
      </c>
      <c r="G182">
        <v>214.13333</v>
      </c>
      <c r="H182">
        <v>1.2590287</v>
      </c>
      <c r="I182">
        <v>-0.25902867000000002</v>
      </c>
      <c r="J182">
        <v>0.44266813999999999</v>
      </c>
    </row>
    <row r="183" spans="1:10" x14ac:dyDescent="0.3">
      <c r="A183">
        <v>181</v>
      </c>
      <c r="B183">
        <v>3767</v>
      </c>
      <c r="C183" t="b">
        <v>1</v>
      </c>
      <c r="D183">
        <v>8123</v>
      </c>
      <c r="E183">
        <v>8140</v>
      </c>
      <c r="F183">
        <v>269.60000000000002</v>
      </c>
      <c r="G183">
        <v>212.6</v>
      </c>
      <c r="H183">
        <v>1.2681091</v>
      </c>
      <c r="I183">
        <v>-0.26810909999999999</v>
      </c>
      <c r="J183">
        <v>0.44089590000000001</v>
      </c>
    </row>
    <row r="184" spans="1:10" x14ac:dyDescent="0.3">
      <c r="A184">
        <v>182</v>
      </c>
      <c r="B184">
        <v>3783</v>
      </c>
      <c r="C184" t="b">
        <v>1</v>
      </c>
      <c r="D184">
        <v>8140</v>
      </c>
      <c r="E184">
        <v>8134</v>
      </c>
      <c r="F184">
        <v>270.39999999999998</v>
      </c>
      <c r="G184">
        <v>212.2</v>
      </c>
      <c r="H184">
        <v>1.2742696</v>
      </c>
      <c r="I184">
        <v>-0.27426954999999997</v>
      </c>
      <c r="J184">
        <v>0.43970165</v>
      </c>
    </row>
    <row r="185" spans="1:10" x14ac:dyDescent="0.3">
      <c r="A185">
        <v>183</v>
      </c>
      <c r="B185">
        <v>3799</v>
      </c>
      <c r="C185" t="b">
        <v>1</v>
      </c>
      <c r="D185">
        <v>8117</v>
      </c>
      <c r="E185">
        <v>8134</v>
      </c>
      <c r="F185">
        <v>271.60000000000002</v>
      </c>
      <c r="G185">
        <v>211.4</v>
      </c>
      <c r="H185">
        <v>1.2847682</v>
      </c>
      <c r="I185">
        <v>-0.28476827999999998</v>
      </c>
      <c r="J185">
        <v>0.43768114000000002</v>
      </c>
    </row>
    <row r="186" spans="1:10" x14ac:dyDescent="0.3">
      <c r="A186">
        <v>184</v>
      </c>
      <c r="B186">
        <v>3830</v>
      </c>
      <c r="C186" t="b">
        <v>1</v>
      </c>
      <c r="D186">
        <v>8094</v>
      </c>
      <c r="E186">
        <v>8123</v>
      </c>
      <c r="F186">
        <v>271.60000000000002</v>
      </c>
      <c r="G186">
        <v>210.6</v>
      </c>
      <c r="H186">
        <v>1.2896487000000001</v>
      </c>
      <c r="I186">
        <v>-0.28964862000000002</v>
      </c>
      <c r="J186">
        <v>0.43674824000000001</v>
      </c>
    </row>
    <row r="187" spans="1:10" x14ac:dyDescent="0.3">
      <c r="A187">
        <v>185</v>
      </c>
      <c r="B187">
        <v>3862</v>
      </c>
      <c r="C187" t="b">
        <v>1</v>
      </c>
      <c r="D187">
        <v>8117</v>
      </c>
      <c r="E187">
        <v>8134</v>
      </c>
      <c r="F187">
        <v>269.66665999999998</v>
      </c>
      <c r="G187">
        <v>210.93333000000001</v>
      </c>
      <c r="H187">
        <v>1.2784450000000001</v>
      </c>
      <c r="I187">
        <v>-0.27844495000000002</v>
      </c>
      <c r="J187">
        <v>0.43889584999999998</v>
      </c>
    </row>
    <row r="188" spans="1:10" x14ac:dyDescent="0.3">
      <c r="A188">
        <v>186</v>
      </c>
      <c r="B188">
        <v>3894</v>
      </c>
      <c r="C188" t="b">
        <v>1</v>
      </c>
      <c r="D188">
        <v>8106</v>
      </c>
      <c r="E188">
        <v>8134</v>
      </c>
      <c r="F188">
        <v>270.39999999999998</v>
      </c>
      <c r="G188">
        <v>211.26666</v>
      </c>
      <c r="H188">
        <v>1.2798989999999999</v>
      </c>
      <c r="I188">
        <v>-0.27989902999999999</v>
      </c>
      <c r="J188">
        <v>0.43861591999999999</v>
      </c>
    </row>
    <row r="189" spans="1:10" x14ac:dyDescent="0.3">
      <c r="A189">
        <v>187</v>
      </c>
      <c r="B189">
        <v>3926</v>
      </c>
      <c r="C189" t="b">
        <v>1</v>
      </c>
      <c r="D189">
        <v>8111</v>
      </c>
      <c r="E189">
        <v>8140</v>
      </c>
      <c r="F189">
        <v>272.26666</v>
      </c>
      <c r="G189">
        <v>211.6</v>
      </c>
      <c r="H189">
        <v>1.2867044000000001</v>
      </c>
      <c r="I189">
        <v>-0.28670442000000002</v>
      </c>
      <c r="J189">
        <v>0.43731058</v>
      </c>
    </row>
    <row r="190" spans="1:10" x14ac:dyDescent="0.3">
      <c r="A190">
        <v>188</v>
      </c>
      <c r="B190">
        <v>3958</v>
      </c>
      <c r="C190" t="b">
        <v>1</v>
      </c>
      <c r="D190">
        <v>8071</v>
      </c>
      <c r="E190">
        <v>8129</v>
      </c>
      <c r="F190">
        <v>270.73334</v>
      </c>
      <c r="G190">
        <v>212.33332999999999</v>
      </c>
      <c r="H190">
        <v>1.2750393</v>
      </c>
      <c r="I190">
        <v>-0.27503929999999999</v>
      </c>
      <c r="J190">
        <v>0.43955286999999998</v>
      </c>
    </row>
    <row r="191" spans="1:10" x14ac:dyDescent="0.3">
      <c r="A191">
        <v>189</v>
      </c>
      <c r="B191">
        <v>3989</v>
      </c>
      <c r="C191" t="b">
        <v>1</v>
      </c>
      <c r="D191">
        <v>8100</v>
      </c>
      <c r="E191">
        <v>8140</v>
      </c>
      <c r="F191">
        <v>272.26666</v>
      </c>
      <c r="G191">
        <v>212.66667000000001</v>
      </c>
      <c r="H191">
        <v>1.2802507999999999</v>
      </c>
      <c r="I191">
        <v>-0.28025073</v>
      </c>
      <c r="J191">
        <v>0.43854823999999998</v>
      </c>
    </row>
    <row r="192" spans="1:10" x14ac:dyDescent="0.3">
      <c r="A192">
        <v>190</v>
      </c>
      <c r="B192">
        <v>4005</v>
      </c>
      <c r="C192" t="b">
        <v>1</v>
      </c>
      <c r="D192">
        <v>8123</v>
      </c>
      <c r="E192">
        <v>8117</v>
      </c>
      <c r="F192">
        <v>273.8</v>
      </c>
      <c r="G192">
        <v>213.4</v>
      </c>
      <c r="H192">
        <v>1.2830366</v>
      </c>
      <c r="I192">
        <v>-0.28303653000000001</v>
      </c>
      <c r="J192">
        <v>0.43801314000000002</v>
      </c>
    </row>
    <row r="193" spans="1:10" x14ac:dyDescent="0.3">
      <c r="A193">
        <v>191</v>
      </c>
      <c r="B193">
        <v>4037</v>
      </c>
      <c r="C193" t="b">
        <v>1</v>
      </c>
      <c r="D193">
        <v>8106</v>
      </c>
      <c r="E193">
        <v>8129</v>
      </c>
      <c r="F193">
        <v>274.2</v>
      </c>
      <c r="G193">
        <v>213.4</v>
      </c>
      <c r="H193">
        <v>1.2849109999999999</v>
      </c>
      <c r="I193">
        <v>-0.28491106999999999</v>
      </c>
      <c r="J193">
        <v>0.43765379999999998</v>
      </c>
    </row>
    <row r="194" spans="1:10" x14ac:dyDescent="0.3">
      <c r="A194">
        <v>192</v>
      </c>
      <c r="B194">
        <v>4069</v>
      </c>
      <c r="C194" t="b">
        <v>1</v>
      </c>
      <c r="D194">
        <v>8123</v>
      </c>
      <c r="E194">
        <v>8111</v>
      </c>
      <c r="F194">
        <v>274.60000000000002</v>
      </c>
      <c r="G194">
        <v>213.8</v>
      </c>
      <c r="H194">
        <v>1.2843779</v>
      </c>
      <c r="I194">
        <v>-0.28437793</v>
      </c>
      <c r="J194">
        <v>0.43775589999999998</v>
      </c>
    </row>
    <row r="195" spans="1:10" x14ac:dyDescent="0.3">
      <c r="A195">
        <v>193</v>
      </c>
      <c r="B195">
        <v>4085</v>
      </c>
      <c r="C195" t="b">
        <v>1</v>
      </c>
      <c r="D195">
        <v>8123</v>
      </c>
      <c r="E195">
        <v>8123</v>
      </c>
      <c r="F195">
        <v>276.13333</v>
      </c>
      <c r="G195">
        <v>214.2</v>
      </c>
      <c r="H195">
        <v>1.2891378</v>
      </c>
      <c r="I195">
        <v>-0.2891379</v>
      </c>
      <c r="J195">
        <v>0.4368457</v>
      </c>
    </row>
    <row r="196" spans="1:10" x14ac:dyDescent="0.3">
      <c r="A196">
        <v>194</v>
      </c>
      <c r="B196">
        <v>4117</v>
      </c>
      <c r="C196" t="b">
        <v>1</v>
      </c>
      <c r="D196">
        <v>8135</v>
      </c>
      <c r="E196">
        <v>8152</v>
      </c>
      <c r="F196">
        <v>276.93331999999998</v>
      </c>
      <c r="G196">
        <v>214.6</v>
      </c>
      <c r="H196">
        <v>1.2904627</v>
      </c>
      <c r="I196">
        <v>-0.29046275999999999</v>
      </c>
      <c r="J196">
        <v>0.43659300000000001</v>
      </c>
    </row>
    <row r="197" spans="1:10" x14ac:dyDescent="0.3">
      <c r="A197">
        <v>195</v>
      </c>
      <c r="B197">
        <v>4133</v>
      </c>
      <c r="C197" t="b">
        <v>1</v>
      </c>
      <c r="D197">
        <v>8123</v>
      </c>
      <c r="E197">
        <v>8117</v>
      </c>
      <c r="F197">
        <v>277.33334000000002</v>
      </c>
      <c r="G197">
        <v>215</v>
      </c>
      <c r="H197">
        <v>1.2899225000000001</v>
      </c>
      <c r="I197">
        <v>-0.28992254000000001</v>
      </c>
      <c r="J197">
        <v>0.43669599999999997</v>
      </c>
    </row>
    <row r="198" spans="1:10" x14ac:dyDescent="0.3">
      <c r="A198">
        <v>196</v>
      </c>
      <c r="B198">
        <v>4149</v>
      </c>
      <c r="C198" t="b">
        <v>1</v>
      </c>
      <c r="D198">
        <v>8117</v>
      </c>
      <c r="E198">
        <v>8111</v>
      </c>
      <c r="F198">
        <v>277.33334000000002</v>
      </c>
      <c r="G198">
        <v>215</v>
      </c>
      <c r="H198">
        <v>1.2899225000000001</v>
      </c>
      <c r="I198">
        <v>-0.28992254000000001</v>
      </c>
      <c r="J198">
        <v>0.43669599999999997</v>
      </c>
    </row>
    <row r="199" spans="1:10" x14ac:dyDescent="0.3">
      <c r="A199">
        <v>197</v>
      </c>
      <c r="B199">
        <v>4182</v>
      </c>
      <c r="C199" t="b">
        <v>1</v>
      </c>
      <c r="D199">
        <v>8123</v>
      </c>
      <c r="E199">
        <v>8134</v>
      </c>
      <c r="F199">
        <v>276.53332999999998</v>
      </c>
      <c r="G199">
        <v>214.26666</v>
      </c>
      <c r="H199">
        <v>1.2906036000000001</v>
      </c>
      <c r="I199">
        <v>-0.29060360000000002</v>
      </c>
      <c r="J199">
        <v>0.43656613999999999</v>
      </c>
    </row>
    <row r="200" spans="1:10" x14ac:dyDescent="0.3">
      <c r="A200">
        <v>198</v>
      </c>
      <c r="B200">
        <v>4213</v>
      </c>
      <c r="C200" t="b">
        <v>1</v>
      </c>
      <c r="D200">
        <v>8106</v>
      </c>
      <c r="E200">
        <v>8164</v>
      </c>
      <c r="F200">
        <v>275.73334</v>
      </c>
      <c r="G200">
        <v>214.26666</v>
      </c>
      <c r="H200">
        <v>1.28687</v>
      </c>
      <c r="I200">
        <v>-0.28686996999999997</v>
      </c>
      <c r="J200">
        <v>0.43727890000000003</v>
      </c>
    </row>
    <row r="201" spans="1:10" x14ac:dyDescent="0.3">
      <c r="A201">
        <v>199</v>
      </c>
      <c r="B201">
        <v>4229</v>
      </c>
      <c r="C201" t="b">
        <v>1</v>
      </c>
      <c r="D201">
        <v>8100</v>
      </c>
      <c r="E201">
        <v>8146</v>
      </c>
      <c r="F201">
        <v>275.33334000000002</v>
      </c>
      <c r="G201">
        <v>214.26666</v>
      </c>
      <c r="H201">
        <v>1.2850032</v>
      </c>
      <c r="I201">
        <v>-0.28500320000000001</v>
      </c>
      <c r="J201">
        <v>0.43763614000000001</v>
      </c>
    </row>
    <row r="202" spans="1:10" x14ac:dyDescent="0.3">
      <c r="A202">
        <v>200</v>
      </c>
      <c r="B202">
        <v>4245</v>
      </c>
      <c r="C202" t="b">
        <v>1</v>
      </c>
      <c r="D202">
        <v>8100</v>
      </c>
      <c r="E202">
        <v>8146</v>
      </c>
      <c r="F202">
        <v>274.60000000000002</v>
      </c>
      <c r="G202">
        <v>215.06666999999999</v>
      </c>
      <c r="H202">
        <v>1.2768134</v>
      </c>
      <c r="I202">
        <v>-0.27681341999999998</v>
      </c>
      <c r="J202">
        <v>0.43921032999999998</v>
      </c>
    </row>
    <row r="203" spans="1:10" x14ac:dyDescent="0.3">
      <c r="A203">
        <v>201</v>
      </c>
      <c r="B203">
        <v>4277</v>
      </c>
      <c r="C203" t="b">
        <v>1</v>
      </c>
      <c r="D203">
        <v>8158</v>
      </c>
      <c r="E203">
        <v>8152</v>
      </c>
      <c r="F203">
        <v>273.86667</v>
      </c>
      <c r="G203">
        <v>215.86667</v>
      </c>
      <c r="H203">
        <v>1.2686843999999999</v>
      </c>
      <c r="I203">
        <v>-0.26868436000000001</v>
      </c>
      <c r="J203">
        <v>0.44078410000000001</v>
      </c>
    </row>
    <row r="204" spans="1:10" x14ac:dyDescent="0.3">
      <c r="A204">
        <v>202</v>
      </c>
      <c r="B204">
        <v>4293</v>
      </c>
      <c r="C204" t="b">
        <v>1</v>
      </c>
      <c r="D204">
        <v>8111</v>
      </c>
      <c r="E204">
        <v>8134</v>
      </c>
      <c r="F204">
        <v>273.53332999999998</v>
      </c>
      <c r="G204">
        <v>216.66667000000001</v>
      </c>
      <c r="H204">
        <v>1.2624614000000001</v>
      </c>
      <c r="I204">
        <v>-0.26246148000000002</v>
      </c>
      <c r="J204">
        <v>0.44199645999999998</v>
      </c>
    </row>
    <row r="205" spans="1:10" x14ac:dyDescent="0.3">
      <c r="A205">
        <v>203</v>
      </c>
      <c r="B205">
        <v>4324</v>
      </c>
      <c r="C205" t="b">
        <v>1</v>
      </c>
      <c r="D205">
        <v>8140</v>
      </c>
      <c r="E205">
        <v>8129</v>
      </c>
      <c r="F205">
        <v>273.86667</v>
      </c>
      <c r="G205">
        <v>217.46665999999999</v>
      </c>
      <c r="H205">
        <v>1.2593502000000001</v>
      </c>
      <c r="I205">
        <v>-0.25935015</v>
      </c>
      <c r="J205">
        <v>0.44260516999999999</v>
      </c>
    </row>
    <row r="206" spans="1:10" x14ac:dyDescent="0.3">
      <c r="A206">
        <v>204</v>
      </c>
      <c r="B206">
        <v>4340</v>
      </c>
      <c r="C206" t="b">
        <v>1</v>
      </c>
      <c r="D206">
        <v>8146</v>
      </c>
      <c r="E206">
        <v>8111</v>
      </c>
      <c r="F206">
        <v>276.13333</v>
      </c>
      <c r="G206">
        <v>217.46665999999999</v>
      </c>
      <c r="H206">
        <v>1.2697731000000001</v>
      </c>
      <c r="I206">
        <v>-0.26977319999999999</v>
      </c>
      <c r="J206">
        <v>0.44057267999999999</v>
      </c>
    </row>
    <row r="207" spans="1:10" x14ac:dyDescent="0.3">
      <c r="A207">
        <v>205</v>
      </c>
      <c r="B207">
        <v>4356</v>
      </c>
      <c r="C207" t="b">
        <v>1</v>
      </c>
      <c r="D207">
        <v>8123</v>
      </c>
      <c r="E207">
        <v>8146</v>
      </c>
      <c r="F207">
        <v>278.39999999999998</v>
      </c>
      <c r="G207">
        <v>217.46665999999999</v>
      </c>
      <c r="H207">
        <v>1.2801962</v>
      </c>
      <c r="I207">
        <v>-0.28019622</v>
      </c>
      <c r="J207">
        <v>0.43855875999999999</v>
      </c>
    </row>
    <row r="208" spans="1:10" x14ac:dyDescent="0.3">
      <c r="A208">
        <v>206</v>
      </c>
      <c r="B208">
        <v>4371</v>
      </c>
      <c r="C208" t="b">
        <v>1</v>
      </c>
      <c r="D208">
        <v>8123</v>
      </c>
      <c r="E208">
        <v>8129</v>
      </c>
      <c r="F208">
        <v>279.53332999999998</v>
      </c>
      <c r="G208">
        <v>217.46665999999999</v>
      </c>
      <c r="H208">
        <v>1.2854078</v>
      </c>
      <c r="I208">
        <v>-0.28540771999999998</v>
      </c>
      <c r="J208">
        <v>0.43755867999999998</v>
      </c>
    </row>
    <row r="209" spans="1:10" x14ac:dyDescent="0.3">
      <c r="A209">
        <v>207</v>
      </c>
      <c r="B209">
        <v>4387</v>
      </c>
      <c r="C209" t="b">
        <v>1</v>
      </c>
      <c r="D209">
        <v>8088</v>
      </c>
      <c r="E209">
        <v>8123</v>
      </c>
      <c r="F209">
        <v>280.66665999999998</v>
      </c>
      <c r="G209">
        <v>217.46665999999999</v>
      </c>
      <c r="H209">
        <v>1.2906192999999999</v>
      </c>
      <c r="I209">
        <v>-0.29061925</v>
      </c>
      <c r="J209">
        <v>0.43656319999999998</v>
      </c>
    </row>
    <row r="210" spans="1:10" x14ac:dyDescent="0.3">
      <c r="A210">
        <v>208</v>
      </c>
      <c r="B210">
        <v>4419</v>
      </c>
      <c r="C210" t="b">
        <v>1</v>
      </c>
      <c r="D210">
        <v>8152</v>
      </c>
      <c r="E210">
        <v>8099</v>
      </c>
      <c r="F210">
        <v>280.66665999999998</v>
      </c>
      <c r="G210">
        <v>217.46665999999999</v>
      </c>
      <c r="H210">
        <v>1.2906192999999999</v>
      </c>
      <c r="I210">
        <v>-0.29061925</v>
      </c>
      <c r="J210">
        <v>0.43656319999999998</v>
      </c>
    </row>
    <row r="211" spans="1:10" x14ac:dyDescent="0.3">
      <c r="A211">
        <v>209</v>
      </c>
      <c r="B211">
        <v>4435</v>
      </c>
      <c r="C211" t="b">
        <v>1</v>
      </c>
      <c r="D211">
        <v>8077</v>
      </c>
      <c r="E211">
        <v>8134</v>
      </c>
      <c r="F211">
        <v>280.66665999999998</v>
      </c>
      <c r="G211">
        <v>217.86667</v>
      </c>
      <c r="H211">
        <v>1.2882496000000001</v>
      </c>
      <c r="I211">
        <v>-0.28824963999999997</v>
      </c>
      <c r="J211">
        <v>0.43701527000000001</v>
      </c>
    </row>
    <row r="212" spans="1:10" x14ac:dyDescent="0.3">
      <c r="A212">
        <v>210</v>
      </c>
      <c r="B212">
        <v>4451</v>
      </c>
      <c r="C212" t="b">
        <v>1</v>
      </c>
      <c r="D212">
        <v>8111</v>
      </c>
      <c r="E212">
        <v>8129</v>
      </c>
      <c r="F212">
        <v>279.86667</v>
      </c>
      <c r="G212">
        <v>218.26666</v>
      </c>
      <c r="H212">
        <v>1.2822236</v>
      </c>
      <c r="I212">
        <v>-0.28222360000000002</v>
      </c>
      <c r="J212">
        <v>0.43816915000000001</v>
      </c>
    </row>
    <row r="213" spans="1:10" x14ac:dyDescent="0.3">
      <c r="A213">
        <v>211</v>
      </c>
      <c r="B213">
        <v>4483</v>
      </c>
      <c r="C213" t="b">
        <v>1</v>
      </c>
      <c r="D213">
        <v>8083</v>
      </c>
      <c r="E213">
        <v>8129</v>
      </c>
      <c r="F213">
        <v>277.53332999999998</v>
      </c>
      <c r="G213">
        <v>219.06666999999999</v>
      </c>
      <c r="H213">
        <v>1.2668898</v>
      </c>
      <c r="I213">
        <v>-0.26688980000000001</v>
      </c>
      <c r="J213">
        <v>0.44113305000000003</v>
      </c>
    </row>
    <row r="214" spans="1:10" x14ac:dyDescent="0.3">
      <c r="A214">
        <v>212</v>
      </c>
      <c r="B214">
        <v>4515</v>
      </c>
      <c r="C214" t="b">
        <v>1</v>
      </c>
      <c r="D214">
        <v>8163</v>
      </c>
      <c r="E214">
        <v>8134</v>
      </c>
      <c r="F214">
        <v>276.73334</v>
      </c>
      <c r="G214">
        <v>219.46665999999999</v>
      </c>
      <c r="H214">
        <v>1.2609357000000001</v>
      </c>
      <c r="I214">
        <v>-0.26093566000000001</v>
      </c>
      <c r="J214">
        <v>0.44229475000000001</v>
      </c>
    </row>
    <row r="215" spans="1:10" x14ac:dyDescent="0.3">
      <c r="A215">
        <v>213</v>
      </c>
      <c r="B215">
        <v>4547</v>
      </c>
      <c r="C215" t="b">
        <v>1</v>
      </c>
      <c r="D215">
        <v>8100</v>
      </c>
      <c r="E215">
        <v>8129</v>
      </c>
      <c r="F215">
        <v>275.2</v>
      </c>
      <c r="G215">
        <v>219.13333</v>
      </c>
      <c r="H215">
        <v>1.2558564999999999</v>
      </c>
      <c r="I215">
        <v>-0.25585648</v>
      </c>
      <c r="J215">
        <v>0.44329062000000002</v>
      </c>
    </row>
    <row r="216" spans="1:10" x14ac:dyDescent="0.3">
      <c r="A216">
        <v>214</v>
      </c>
      <c r="B216">
        <v>4562</v>
      </c>
      <c r="C216" t="b">
        <v>1</v>
      </c>
      <c r="D216">
        <v>8094</v>
      </c>
      <c r="E216">
        <v>8158</v>
      </c>
      <c r="F216">
        <v>274.06668000000002</v>
      </c>
      <c r="G216">
        <v>218.8</v>
      </c>
      <c r="H216">
        <v>1.2525900000000001</v>
      </c>
      <c r="I216">
        <v>-0.25258994000000001</v>
      </c>
      <c r="J216">
        <v>0.44393343000000002</v>
      </c>
    </row>
    <row r="217" spans="1:10" x14ac:dyDescent="0.3">
      <c r="A217">
        <v>215</v>
      </c>
      <c r="B217">
        <v>4578</v>
      </c>
      <c r="C217" t="b">
        <v>1</v>
      </c>
      <c r="D217">
        <v>8117</v>
      </c>
      <c r="E217">
        <v>8140</v>
      </c>
      <c r="F217">
        <v>273.66665999999998</v>
      </c>
      <c r="G217">
        <v>218</v>
      </c>
      <c r="H217">
        <v>1.2553517000000001</v>
      </c>
      <c r="I217">
        <v>-0.25535163</v>
      </c>
      <c r="J217">
        <v>0.44338982999999998</v>
      </c>
    </row>
    <row r="218" spans="1:10" x14ac:dyDescent="0.3">
      <c r="A218">
        <v>216</v>
      </c>
      <c r="B218">
        <v>4594</v>
      </c>
      <c r="C218" t="b">
        <v>1</v>
      </c>
      <c r="D218">
        <v>8146</v>
      </c>
      <c r="E218">
        <v>8158</v>
      </c>
      <c r="F218">
        <v>274.39999999999998</v>
      </c>
      <c r="G218">
        <v>217.6</v>
      </c>
      <c r="H218">
        <v>1.2610294</v>
      </c>
      <c r="I218">
        <v>-0.26102935999999999</v>
      </c>
      <c r="J218">
        <v>0.44227644999999999</v>
      </c>
    </row>
    <row r="219" spans="1:10" x14ac:dyDescent="0.3">
      <c r="A219">
        <v>217</v>
      </c>
      <c r="B219">
        <v>4625</v>
      </c>
      <c r="C219" t="b">
        <v>1</v>
      </c>
      <c r="D219">
        <v>8135</v>
      </c>
      <c r="E219">
        <v>8146</v>
      </c>
      <c r="F219">
        <v>275.13333</v>
      </c>
      <c r="G219">
        <v>217.6</v>
      </c>
      <c r="H219">
        <v>1.2643994000000001</v>
      </c>
      <c r="I219">
        <v>-0.26439947000000003</v>
      </c>
      <c r="J219">
        <v>0.44161820000000002</v>
      </c>
    </row>
    <row r="220" spans="1:10" x14ac:dyDescent="0.3">
      <c r="A220">
        <v>218</v>
      </c>
      <c r="B220">
        <v>4641</v>
      </c>
      <c r="C220" t="b">
        <v>1</v>
      </c>
      <c r="D220">
        <v>8146</v>
      </c>
      <c r="E220">
        <v>8123</v>
      </c>
      <c r="F220">
        <v>276.73334</v>
      </c>
      <c r="G220">
        <v>217.6</v>
      </c>
      <c r="H220">
        <v>1.2717525000000001</v>
      </c>
      <c r="I220">
        <v>-0.27175244999999998</v>
      </c>
      <c r="J220">
        <v>0.44018879999999999</v>
      </c>
    </row>
    <row r="221" spans="1:10" x14ac:dyDescent="0.3">
      <c r="A221">
        <v>219</v>
      </c>
      <c r="B221">
        <v>4657</v>
      </c>
      <c r="C221" t="b">
        <v>1</v>
      </c>
      <c r="D221">
        <v>8100</v>
      </c>
      <c r="E221">
        <v>8123</v>
      </c>
      <c r="F221">
        <v>276.39999999999998</v>
      </c>
      <c r="G221">
        <v>218</v>
      </c>
      <c r="H221">
        <v>1.2678898999999999</v>
      </c>
      <c r="I221">
        <v>-0.26788990000000001</v>
      </c>
      <c r="J221">
        <v>0.44093850000000001</v>
      </c>
    </row>
    <row r="222" spans="1:10" x14ac:dyDescent="0.3">
      <c r="A222">
        <v>220</v>
      </c>
      <c r="B222">
        <v>4673</v>
      </c>
      <c r="C222" t="b">
        <v>1</v>
      </c>
      <c r="D222">
        <v>8106</v>
      </c>
      <c r="E222">
        <v>8111</v>
      </c>
      <c r="F222">
        <v>276.06668000000002</v>
      </c>
      <c r="G222">
        <v>217.26666</v>
      </c>
      <c r="H222">
        <v>1.2706352000000001</v>
      </c>
      <c r="I222">
        <v>-0.27063524999999999</v>
      </c>
      <c r="J222">
        <v>0.4404054</v>
      </c>
    </row>
    <row r="223" spans="1:10" x14ac:dyDescent="0.3">
      <c r="A223">
        <v>221</v>
      </c>
      <c r="B223">
        <v>4689</v>
      </c>
      <c r="C223" t="b">
        <v>1</v>
      </c>
      <c r="D223">
        <v>8152</v>
      </c>
      <c r="E223">
        <v>8140</v>
      </c>
      <c r="F223">
        <v>276.86667</v>
      </c>
      <c r="G223">
        <v>216.86667</v>
      </c>
      <c r="H223">
        <v>1.2766677</v>
      </c>
      <c r="I223">
        <v>-0.27666768000000003</v>
      </c>
      <c r="J223">
        <v>0.43923846</v>
      </c>
    </row>
    <row r="224" spans="1:10" x14ac:dyDescent="0.3">
      <c r="A224">
        <v>222</v>
      </c>
      <c r="B224">
        <v>4704</v>
      </c>
      <c r="C224" t="b">
        <v>1</v>
      </c>
      <c r="D224">
        <v>8111</v>
      </c>
      <c r="E224">
        <v>8129</v>
      </c>
      <c r="F224">
        <v>276.06668000000002</v>
      </c>
      <c r="G224">
        <v>216.46665999999999</v>
      </c>
      <c r="H224">
        <v>1.2753311000000001</v>
      </c>
      <c r="I224">
        <v>-0.27533117000000001</v>
      </c>
      <c r="J224">
        <v>0.43949650000000001</v>
      </c>
    </row>
    <row r="225" spans="1:10" x14ac:dyDescent="0.3">
      <c r="A225">
        <v>223</v>
      </c>
      <c r="B225">
        <v>4720</v>
      </c>
      <c r="C225" t="b">
        <v>1</v>
      </c>
      <c r="D225">
        <v>8088</v>
      </c>
      <c r="E225">
        <v>8111</v>
      </c>
      <c r="F225">
        <v>274.93331999999998</v>
      </c>
      <c r="G225">
        <v>216.46665999999999</v>
      </c>
      <c r="H225">
        <v>1.2700955</v>
      </c>
      <c r="I225">
        <v>-0.27009544000000002</v>
      </c>
      <c r="J225">
        <v>0.44051012000000001</v>
      </c>
    </row>
    <row r="226" spans="1:10" x14ac:dyDescent="0.3">
      <c r="A226">
        <v>224</v>
      </c>
      <c r="B226">
        <v>4736</v>
      </c>
      <c r="C226" t="b">
        <v>1</v>
      </c>
      <c r="D226">
        <v>8083</v>
      </c>
      <c r="E226">
        <v>8123</v>
      </c>
      <c r="F226">
        <v>273.8</v>
      </c>
      <c r="G226">
        <v>216.06666999999999</v>
      </c>
      <c r="H226">
        <v>1.2672014</v>
      </c>
      <c r="I226">
        <v>-0.26720142000000002</v>
      </c>
      <c r="J226">
        <v>0.44107243000000002</v>
      </c>
    </row>
    <row r="227" spans="1:10" x14ac:dyDescent="0.3">
      <c r="A227">
        <v>225</v>
      </c>
      <c r="B227">
        <v>4768</v>
      </c>
      <c r="C227" t="b">
        <v>1</v>
      </c>
      <c r="D227">
        <v>8094</v>
      </c>
      <c r="E227">
        <v>8152</v>
      </c>
      <c r="F227">
        <v>272.66665999999998</v>
      </c>
      <c r="G227">
        <v>216.06666999999999</v>
      </c>
      <c r="H227">
        <v>1.2619560999999999</v>
      </c>
      <c r="I227">
        <v>-0.26195615999999999</v>
      </c>
      <c r="J227">
        <v>0.44209522000000001</v>
      </c>
    </row>
    <row r="228" spans="1:10" x14ac:dyDescent="0.3">
      <c r="A228">
        <v>226</v>
      </c>
      <c r="B228">
        <v>4799</v>
      </c>
      <c r="C228" t="b">
        <v>1</v>
      </c>
      <c r="D228">
        <v>8163</v>
      </c>
      <c r="E228">
        <v>8123</v>
      </c>
      <c r="F228">
        <v>273.06668000000002</v>
      </c>
      <c r="G228">
        <v>215.66667000000001</v>
      </c>
      <c r="H228">
        <v>1.2661515000000001</v>
      </c>
      <c r="I228">
        <v>-0.26615151999999997</v>
      </c>
      <c r="J228">
        <v>0.44127680000000002</v>
      </c>
    </row>
    <row r="229" spans="1:10" x14ac:dyDescent="0.3">
      <c r="A229">
        <v>227</v>
      </c>
      <c r="B229">
        <v>4831</v>
      </c>
      <c r="C229" t="b">
        <v>1</v>
      </c>
      <c r="D229">
        <v>8117</v>
      </c>
      <c r="E229">
        <v>8129</v>
      </c>
      <c r="F229">
        <v>271.93331999999998</v>
      </c>
      <c r="G229">
        <v>215.26666</v>
      </c>
      <c r="H229">
        <v>1.2632394</v>
      </c>
      <c r="I229">
        <v>-0.26323934999999998</v>
      </c>
      <c r="J229">
        <v>0.44184455</v>
      </c>
    </row>
    <row r="230" spans="1:10" x14ac:dyDescent="0.3">
      <c r="A230">
        <v>228</v>
      </c>
      <c r="B230">
        <v>4863</v>
      </c>
      <c r="C230" t="b">
        <v>1</v>
      </c>
      <c r="D230">
        <v>8123</v>
      </c>
      <c r="E230">
        <v>8093</v>
      </c>
      <c r="F230">
        <v>273.06668000000002</v>
      </c>
      <c r="G230">
        <v>214.86667</v>
      </c>
      <c r="H230">
        <v>1.2708657000000001</v>
      </c>
      <c r="I230">
        <v>-0.27086569999999999</v>
      </c>
      <c r="J230">
        <v>0.44036069999999999</v>
      </c>
    </row>
    <row r="231" spans="1:10" x14ac:dyDescent="0.3">
      <c r="A231">
        <v>229</v>
      </c>
      <c r="B231">
        <v>4879</v>
      </c>
      <c r="C231" t="b">
        <v>1</v>
      </c>
      <c r="D231">
        <v>8117</v>
      </c>
      <c r="E231">
        <v>8152</v>
      </c>
      <c r="F231">
        <v>274.2</v>
      </c>
      <c r="G231">
        <v>214.86667</v>
      </c>
      <c r="H231">
        <v>1.2761403</v>
      </c>
      <c r="I231">
        <v>-0.27614027000000002</v>
      </c>
      <c r="J231">
        <v>0.43934023</v>
      </c>
    </row>
    <row r="232" spans="1:10" x14ac:dyDescent="0.3">
      <c r="A232">
        <v>230</v>
      </c>
      <c r="B232">
        <v>4895</v>
      </c>
      <c r="C232" t="b">
        <v>1</v>
      </c>
      <c r="D232">
        <v>8129</v>
      </c>
      <c r="E232">
        <v>8129</v>
      </c>
      <c r="F232">
        <v>275.73334</v>
      </c>
      <c r="G232">
        <v>214.53334000000001</v>
      </c>
      <c r="H232">
        <v>1.2852703000000001</v>
      </c>
      <c r="I232">
        <v>-0.28527033000000002</v>
      </c>
      <c r="J232">
        <v>0.437585</v>
      </c>
    </row>
    <row r="233" spans="1:10" x14ac:dyDescent="0.3">
      <c r="A233">
        <v>231</v>
      </c>
      <c r="B233">
        <v>4926</v>
      </c>
      <c r="C233" t="b">
        <v>1</v>
      </c>
      <c r="D233">
        <v>8152</v>
      </c>
      <c r="E233">
        <v>8111</v>
      </c>
      <c r="F233">
        <v>276.13333</v>
      </c>
      <c r="G233">
        <v>213.8</v>
      </c>
      <c r="H233">
        <v>1.2915497</v>
      </c>
      <c r="I233">
        <v>-0.29154970000000002</v>
      </c>
      <c r="J233">
        <v>0.43638589999999999</v>
      </c>
    </row>
    <row r="234" spans="1:10" x14ac:dyDescent="0.3">
      <c r="A234">
        <v>232</v>
      </c>
      <c r="B234">
        <v>4942</v>
      </c>
      <c r="C234" t="b">
        <v>1</v>
      </c>
      <c r="D234">
        <v>8123</v>
      </c>
      <c r="E234">
        <v>8111</v>
      </c>
      <c r="F234">
        <v>276.53332999999998</v>
      </c>
      <c r="G234">
        <v>211.46665999999999</v>
      </c>
      <c r="H234">
        <v>1.3076923</v>
      </c>
      <c r="I234">
        <v>-0.30769232000000002</v>
      </c>
      <c r="J234">
        <v>0.43333329999999998</v>
      </c>
    </row>
    <row r="235" spans="1:10" x14ac:dyDescent="0.3">
      <c r="A235">
        <v>233</v>
      </c>
      <c r="B235">
        <v>4958</v>
      </c>
      <c r="C235" t="b">
        <v>1</v>
      </c>
      <c r="D235">
        <v>8152</v>
      </c>
      <c r="E235">
        <v>8123</v>
      </c>
      <c r="F235">
        <v>276.13333</v>
      </c>
      <c r="G235">
        <v>209.93333000000001</v>
      </c>
      <c r="H235">
        <v>1.3153381</v>
      </c>
      <c r="I235">
        <v>-0.31533820000000001</v>
      </c>
      <c r="J235">
        <v>0.43190234999999999</v>
      </c>
    </row>
    <row r="236" spans="1:10" x14ac:dyDescent="0.3">
      <c r="A236">
        <v>234</v>
      </c>
      <c r="B236">
        <v>4974</v>
      </c>
      <c r="C236" t="b">
        <v>1</v>
      </c>
      <c r="D236">
        <v>8111</v>
      </c>
      <c r="E236">
        <v>8117</v>
      </c>
      <c r="F236">
        <v>275.73334</v>
      </c>
      <c r="G236">
        <v>208.4</v>
      </c>
      <c r="H236">
        <v>1.3230966</v>
      </c>
      <c r="I236">
        <v>-0.32309665999999998</v>
      </c>
      <c r="J236">
        <v>0.43045992</v>
      </c>
    </row>
    <row r="237" spans="1:10" x14ac:dyDescent="0.3">
      <c r="A237">
        <v>235</v>
      </c>
      <c r="B237">
        <v>4990</v>
      </c>
      <c r="C237" t="b">
        <v>1</v>
      </c>
      <c r="D237">
        <v>8083</v>
      </c>
      <c r="E237">
        <v>8164</v>
      </c>
      <c r="F237">
        <v>274.93331999999998</v>
      </c>
      <c r="G237">
        <v>208</v>
      </c>
      <c r="H237">
        <v>1.3217947000000001</v>
      </c>
      <c r="I237">
        <v>-0.32179479999999999</v>
      </c>
      <c r="J237">
        <v>0.43070130000000001</v>
      </c>
    </row>
    <row r="238" spans="1:10" x14ac:dyDescent="0.3">
      <c r="A238">
        <v>236</v>
      </c>
      <c r="B238">
        <v>5022</v>
      </c>
      <c r="C238" t="b">
        <v>1</v>
      </c>
      <c r="D238">
        <v>8135</v>
      </c>
      <c r="E238">
        <v>8152</v>
      </c>
      <c r="F238">
        <v>274.13333</v>
      </c>
      <c r="G238">
        <v>208</v>
      </c>
      <c r="H238">
        <v>1.3179487000000001</v>
      </c>
      <c r="I238">
        <v>-0.31794869999999997</v>
      </c>
      <c r="J238">
        <v>0.43141594999999999</v>
      </c>
    </row>
    <row r="239" spans="1:10" x14ac:dyDescent="0.3">
      <c r="A239">
        <v>237</v>
      </c>
      <c r="B239">
        <v>5053</v>
      </c>
      <c r="C239" t="b">
        <v>1</v>
      </c>
      <c r="D239">
        <v>8077</v>
      </c>
      <c r="E239">
        <v>8129</v>
      </c>
      <c r="F239">
        <v>274.13333</v>
      </c>
      <c r="G239">
        <v>208.4</v>
      </c>
      <c r="H239">
        <v>1.3154191</v>
      </c>
      <c r="I239">
        <v>-0.31541910000000001</v>
      </c>
      <c r="J239">
        <v>0.43188726999999999</v>
      </c>
    </row>
    <row r="240" spans="1:10" x14ac:dyDescent="0.3">
      <c r="A240">
        <v>238</v>
      </c>
      <c r="B240">
        <v>5069</v>
      </c>
      <c r="C240" t="b">
        <v>1</v>
      </c>
      <c r="D240">
        <v>8106</v>
      </c>
      <c r="E240">
        <v>8146</v>
      </c>
      <c r="F240">
        <v>274.13333</v>
      </c>
      <c r="G240">
        <v>209.93333000000001</v>
      </c>
      <c r="H240">
        <v>1.3058114000000001</v>
      </c>
      <c r="I240">
        <v>-0.30581134999999998</v>
      </c>
      <c r="J240">
        <v>0.43368681999999997</v>
      </c>
    </row>
    <row r="241" spans="1:10" x14ac:dyDescent="0.3">
      <c r="A241">
        <v>239</v>
      </c>
      <c r="B241">
        <v>5085</v>
      </c>
      <c r="C241" t="b">
        <v>1</v>
      </c>
      <c r="D241">
        <v>8158</v>
      </c>
      <c r="E241">
        <v>8129</v>
      </c>
      <c r="F241">
        <v>274.13333</v>
      </c>
      <c r="G241">
        <v>211.46665999999999</v>
      </c>
      <c r="H241">
        <v>1.2963431000000001</v>
      </c>
      <c r="I241">
        <v>-0.29634303000000001</v>
      </c>
      <c r="J241">
        <v>0.43547501999999999</v>
      </c>
    </row>
    <row r="242" spans="1:10" x14ac:dyDescent="0.3">
      <c r="A242">
        <v>240</v>
      </c>
      <c r="B242">
        <v>5117</v>
      </c>
      <c r="C242" t="b">
        <v>1</v>
      </c>
      <c r="D242">
        <v>8140</v>
      </c>
      <c r="E242">
        <v>8129</v>
      </c>
      <c r="F242">
        <v>276.86667</v>
      </c>
      <c r="G242">
        <v>211.46665999999999</v>
      </c>
      <c r="H242">
        <v>1.3092687000000001</v>
      </c>
      <c r="I242">
        <v>-0.30926864999999998</v>
      </c>
      <c r="J242">
        <v>0.43303754999999999</v>
      </c>
    </row>
    <row r="243" spans="1:10" x14ac:dyDescent="0.3">
      <c r="A243">
        <v>241</v>
      </c>
      <c r="B243">
        <v>5149</v>
      </c>
      <c r="C243" t="b">
        <v>1</v>
      </c>
      <c r="D243">
        <v>8117</v>
      </c>
      <c r="E243">
        <v>8140</v>
      </c>
      <c r="F243">
        <v>278.39999999999998</v>
      </c>
      <c r="G243">
        <v>211.86667</v>
      </c>
      <c r="H243">
        <v>1.3140339999999999</v>
      </c>
      <c r="I243">
        <v>-0.31403396</v>
      </c>
      <c r="J243">
        <v>0.43214576999999998</v>
      </c>
    </row>
    <row r="244" spans="1:10" x14ac:dyDescent="0.3">
      <c r="A244">
        <v>242</v>
      </c>
      <c r="B244">
        <v>5165</v>
      </c>
      <c r="C244" t="b">
        <v>1</v>
      </c>
      <c r="D244">
        <v>8123</v>
      </c>
      <c r="E244">
        <v>8134</v>
      </c>
      <c r="F244">
        <v>280.33334000000002</v>
      </c>
      <c r="G244">
        <v>212.6</v>
      </c>
      <c r="H244">
        <v>1.3185952000000001</v>
      </c>
      <c r="I244">
        <v>-0.31859516999999998</v>
      </c>
      <c r="J244">
        <v>0.43129562999999999</v>
      </c>
    </row>
    <row r="245" spans="1:10" x14ac:dyDescent="0.3">
      <c r="A245">
        <v>243</v>
      </c>
      <c r="B245">
        <v>5181</v>
      </c>
      <c r="C245" t="b">
        <v>1</v>
      </c>
      <c r="D245">
        <v>8169</v>
      </c>
      <c r="E245">
        <v>8140</v>
      </c>
      <c r="F245">
        <v>281.86667</v>
      </c>
      <c r="G245">
        <v>213.33332999999999</v>
      </c>
      <c r="H245">
        <v>1.3212501000000001</v>
      </c>
      <c r="I245">
        <v>-0.32125005000000001</v>
      </c>
      <c r="J245">
        <v>0.43080235</v>
      </c>
    </row>
    <row r="246" spans="1:10" x14ac:dyDescent="0.3">
      <c r="A246">
        <v>244</v>
      </c>
      <c r="B246">
        <v>5197</v>
      </c>
      <c r="C246" t="b">
        <v>1</v>
      </c>
      <c r="D246">
        <v>8135</v>
      </c>
      <c r="E246">
        <v>8123</v>
      </c>
      <c r="F246">
        <v>283.06668000000002</v>
      </c>
      <c r="G246">
        <v>213.66667000000001</v>
      </c>
      <c r="H246">
        <v>1.324805</v>
      </c>
      <c r="I246">
        <v>-0.32480502</v>
      </c>
      <c r="J246">
        <v>0.43014362</v>
      </c>
    </row>
    <row r="247" spans="1:10" x14ac:dyDescent="0.3">
      <c r="A247">
        <v>245</v>
      </c>
      <c r="B247">
        <v>5212</v>
      </c>
      <c r="C247" t="b">
        <v>1</v>
      </c>
      <c r="D247">
        <v>8111</v>
      </c>
      <c r="E247">
        <v>8140</v>
      </c>
      <c r="F247">
        <v>283.06668000000002</v>
      </c>
      <c r="G247">
        <v>214.4</v>
      </c>
      <c r="H247">
        <v>1.3202738000000001</v>
      </c>
      <c r="I247">
        <v>-0.32027372999999998</v>
      </c>
      <c r="J247">
        <v>0.43098363000000001</v>
      </c>
    </row>
    <row r="248" spans="1:10" x14ac:dyDescent="0.3">
      <c r="A248">
        <v>246</v>
      </c>
      <c r="B248">
        <v>5229</v>
      </c>
      <c r="C248" t="b">
        <v>1</v>
      </c>
      <c r="D248">
        <v>8083</v>
      </c>
      <c r="E248">
        <v>8140</v>
      </c>
      <c r="F248">
        <v>283.06668000000002</v>
      </c>
      <c r="G248">
        <v>215.13333</v>
      </c>
      <c r="H248">
        <v>1.3157732</v>
      </c>
      <c r="I248">
        <v>-0.31577325000000001</v>
      </c>
      <c r="J248">
        <v>0.43182120000000002</v>
      </c>
    </row>
    <row r="249" spans="1:10" x14ac:dyDescent="0.3">
      <c r="A249">
        <v>247</v>
      </c>
      <c r="B249">
        <v>5245</v>
      </c>
      <c r="C249" t="b">
        <v>1</v>
      </c>
      <c r="D249">
        <v>8106</v>
      </c>
      <c r="E249">
        <v>8105</v>
      </c>
      <c r="F249">
        <v>282.26666</v>
      </c>
      <c r="G249">
        <v>217.06666999999999</v>
      </c>
      <c r="H249">
        <v>1.3003685</v>
      </c>
      <c r="I249">
        <v>-0.30036855000000001</v>
      </c>
      <c r="J249">
        <v>0.43471298000000003</v>
      </c>
    </row>
    <row r="250" spans="1:10" x14ac:dyDescent="0.3">
      <c r="A250">
        <v>248</v>
      </c>
      <c r="B250">
        <v>5260</v>
      </c>
      <c r="C250" t="b">
        <v>1</v>
      </c>
      <c r="D250">
        <v>8094</v>
      </c>
      <c r="E250">
        <v>8129</v>
      </c>
      <c r="F250">
        <v>280.73334</v>
      </c>
      <c r="G250">
        <v>217.46665999999999</v>
      </c>
      <c r="H250">
        <v>1.2909259</v>
      </c>
      <c r="I250">
        <v>-0.29092585999999998</v>
      </c>
      <c r="J250">
        <v>0.43650472000000001</v>
      </c>
    </row>
    <row r="251" spans="1:10" x14ac:dyDescent="0.3">
      <c r="A251">
        <v>249</v>
      </c>
      <c r="B251">
        <v>5276</v>
      </c>
      <c r="C251" t="b">
        <v>1</v>
      </c>
      <c r="D251">
        <v>8117</v>
      </c>
      <c r="E251">
        <v>8140</v>
      </c>
      <c r="F251">
        <v>279.2</v>
      </c>
      <c r="G251">
        <v>219</v>
      </c>
      <c r="H251">
        <v>1.2748858999999999</v>
      </c>
      <c r="I251">
        <v>-0.27488590000000002</v>
      </c>
      <c r="J251">
        <v>0.43958249999999999</v>
      </c>
    </row>
    <row r="252" spans="1:10" x14ac:dyDescent="0.3">
      <c r="A252">
        <v>250</v>
      </c>
      <c r="B252">
        <v>5292</v>
      </c>
      <c r="C252" t="b">
        <v>1</v>
      </c>
      <c r="D252">
        <v>8140</v>
      </c>
      <c r="E252">
        <v>8129</v>
      </c>
      <c r="F252">
        <v>278.06668000000002</v>
      </c>
      <c r="G252">
        <v>219.8</v>
      </c>
      <c r="H252">
        <v>1.2650895</v>
      </c>
      <c r="I252">
        <v>-0.26508949999999998</v>
      </c>
      <c r="J252">
        <v>0.44148365000000001</v>
      </c>
    </row>
    <row r="253" spans="1:10" x14ac:dyDescent="0.3">
      <c r="A253">
        <v>251</v>
      </c>
      <c r="B253">
        <v>5308</v>
      </c>
      <c r="C253" t="b">
        <v>1</v>
      </c>
      <c r="D253">
        <v>8158</v>
      </c>
      <c r="E253">
        <v>8140</v>
      </c>
      <c r="F253">
        <v>277.66665999999998</v>
      </c>
      <c r="G253">
        <v>220.2</v>
      </c>
      <c r="H253">
        <v>1.2609748999999999</v>
      </c>
      <c r="I253">
        <v>-0.26097484999999998</v>
      </c>
      <c r="J253">
        <v>0.44228711999999998</v>
      </c>
    </row>
    <row r="254" spans="1:10" x14ac:dyDescent="0.3">
      <c r="A254">
        <v>252</v>
      </c>
      <c r="B254">
        <v>5324</v>
      </c>
      <c r="C254" t="b">
        <v>1</v>
      </c>
      <c r="D254">
        <v>8163</v>
      </c>
      <c r="E254">
        <v>8140</v>
      </c>
      <c r="F254">
        <v>279.60000000000002</v>
      </c>
      <c r="G254">
        <v>220.93333000000001</v>
      </c>
      <c r="H254">
        <v>1.2655400999999999</v>
      </c>
      <c r="I254">
        <v>-0.26554014999999997</v>
      </c>
      <c r="J254">
        <v>0.44139584999999998</v>
      </c>
    </row>
    <row r="255" spans="1:10" x14ac:dyDescent="0.3">
      <c r="A255">
        <v>253</v>
      </c>
      <c r="B255">
        <v>5340</v>
      </c>
      <c r="C255" t="b">
        <v>1</v>
      </c>
      <c r="D255">
        <v>8123</v>
      </c>
      <c r="E255">
        <v>8134</v>
      </c>
      <c r="F255">
        <v>281.86667</v>
      </c>
      <c r="G255">
        <v>220.53334000000001</v>
      </c>
      <c r="H255">
        <v>1.2781136</v>
      </c>
      <c r="I255">
        <v>-0.27811363</v>
      </c>
      <c r="J255">
        <v>0.43895965999999997</v>
      </c>
    </row>
    <row r="256" spans="1:10" x14ac:dyDescent="0.3">
      <c r="A256">
        <v>254</v>
      </c>
      <c r="B256">
        <v>5356</v>
      </c>
      <c r="C256" t="b">
        <v>1</v>
      </c>
      <c r="D256">
        <v>8094</v>
      </c>
      <c r="E256">
        <v>8140</v>
      </c>
      <c r="F256">
        <v>284.13333</v>
      </c>
      <c r="G256">
        <v>220.13333</v>
      </c>
      <c r="H256">
        <v>1.2907329000000001</v>
      </c>
      <c r="I256">
        <v>-0.29073290000000002</v>
      </c>
      <c r="J256">
        <v>0.43654150000000003</v>
      </c>
    </row>
    <row r="257" spans="1:10" x14ac:dyDescent="0.3">
      <c r="A257">
        <v>255</v>
      </c>
      <c r="B257">
        <v>5372</v>
      </c>
      <c r="C257" t="b">
        <v>1</v>
      </c>
      <c r="D257">
        <v>8123</v>
      </c>
      <c r="E257">
        <v>8164</v>
      </c>
      <c r="F257">
        <v>283.33334000000002</v>
      </c>
      <c r="G257">
        <v>220.86667</v>
      </c>
      <c r="H257">
        <v>1.2828252</v>
      </c>
      <c r="I257">
        <v>-0.28282526000000002</v>
      </c>
      <c r="J257">
        <v>0.43805367000000001</v>
      </c>
    </row>
    <row r="258" spans="1:10" x14ac:dyDescent="0.3">
      <c r="A258">
        <v>256</v>
      </c>
      <c r="B258">
        <v>5403</v>
      </c>
      <c r="C258" t="b">
        <v>1</v>
      </c>
      <c r="D258">
        <v>8100</v>
      </c>
      <c r="E258">
        <v>8111</v>
      </c>
      <c r="F258">
        <v>283.73334</v>
      </c>
      <c r="G258">
        <v>221.6</v>
      </c>
      <c r="H258">
        <v>1.2803850000000001</v>
      </c>
      <c r="I258">
        <v>-0.28038505000000002</v>
      </c>
      <c r="J258">
        <v>0.43852243000000002</v>
      </c>
    </row>
    <row r="259" spans="1:10" x14ac:dyDescent="0.3">
      <c r="A259">
        <v>257</v>
      </c>
      <c r="B259">
        <v>5435</v>
      </c>
      <c r="C259" t="b">
        <v>1</v>
      </c>
      <c r="D259">
        <v>8106</v>
      </c>
      <c r="E259">
        <v>8123</v>
      </c>
      <c r="F259">
        <v>282.60000000000002</v>
      </c>
      <c r="G259">
        <v>221.6</v>
      </c>
      <c r="H259">
        <v>1.2752707000000001</v>
      </c>
      <c r="I259">
        <v>-0.27527076</v>
      </c>
      <c r="J259">
        <v>0.43950813999999999</v>
      </c>
    </row>
    <row r="260" spans="1:10" x14ac:dyDescent="0.3">
      <c r="A260">
        <v>258</v>
      </c>
      <c r="B260">
        <v>5451</v>
      </c>
      <c r="C260" t="b">
        <v>1</v>
      </c>
      <c r="D260">
        <v>8123</v>
      </c>
      <c r="E260">
        <v>8123</v>
      </c>
      <c r="F260">
        <v>280.33334000000002</v>
      </c>
      <c r="G260">
        <v>220.86667</v>
      </c>
      <c r="H260">
        <v>1.2692424</v>
      </c>
      <c r="I260">
        <v>-0.26924239999999999</v>
      </c>
      <c r="J260">
        <v>0.4406757</v>
      </c>
    </row>
    <row r="261" spans="1:10" x14ac:dyDescent="0.3">
      <c r="A261">
        <v>259</v>
      </c>
      <c r="B261">
        <v>5483</v>
      </c>
      <c r="C261" t="b">
        <v>1</v>
      </c>
      <c r="D261">
        <v>8152</v>
      </c>
      <c r="E261">
        <v>8123</v>
      </c>
      <c r="F261">
        <v>279.53332999999998</v>
      </c>
      <c r="G261">
        <v>220.13333</v>
      </c>
      <c r="H261">
        <v>1.2698364</v>
      </c>
      <c r="I261">
        <v>-0.26983643000000002</v>
      </c>
      <c r="J261">
        <v>0.44056036999999998</v>
      </c>
    </row>
    <row r="262" spans="1:10" x14ac:dyDescent="0.3">
      <c r="A262">
        <v>260</v>
      </c>
      <c r="B262">
        <v>5515</v>
      </c>
      <c r="C262" t="b">
        <v>1</v>
      </c>
      <c r="D262">
        <v>8106</v>
      </c>
      <c r="E262">
        <v>8111</v>
      </c>
      <c r="F262">
        <v>278.39999999999998</v>
      </c>
      <c r="G262">
        <v>219</v>
      </c>
      <c r="H262">
        <v>1.2712327999999999</v>
      </c>
      <c r="I262">
        <v>-0.27123283999999998</v>
      </c>
      <c r="J262">
        <v>0.4402895</v>
      </c>
    </row>
    <row r="263" spans="1:10" x14ac:dyDescent="0.3">
      <c r="A263">
        <v>261</v>
      </c>
      <c r="B263">
        <v>5546</v>
      </c>
      <c r="C263" t="b">
        <v>1</v>
      </c>
      <c r="D263">
        <v>8111</v>
      </c>
      <c r="E263">
        <v>8146</v>
      </c>
      <c r="F263">
        <v>277.60000000000002</v>
      </c>
      <c r="G263">
        <v>217.86667</v>
      </c>
      <c r="H263">
        <v>1.2741739000000001</v>
      </c>
      <c r="I263">
        <v>-0.27417383000000001</v>
      </c>
      <c r="J263">
        <v>0.43972011999999999</v>
      </c>
    </row>
    <row r="264" spans="1:10" x14ac:dyDescent="0.3">
      <c r="A264">
        <v>262</v>
      </c>
      <c r="B264">
        <v>5562</v>
      </c>
      <c r="C264" t="b">
        <v>1</v>
      </c>
      <c r="D264">
        <v>8111</v>
      </c>
      <c r="E264">
        <v>8111</v>
      </c>
      <c r="F264">
        <v>277.60000000000002</v>
      </c>
      <c r="G264">
        <v>216.73334</v>
      </c>
      <c r="H264">
        <v>1.2808367000000001</v>
      </c>
      <c r="I264">
        <v>-0.28083667000000001</v>
      </c>
      <c r="J264">
        <v>0.43843559999999998</v>
      </c>
    </row>
    <row r="265" spans="1:10" x14ac:dyDescent="0.3">
      <c r="A265">
        <v>263</v>
      </c>
      <c r="B265">
        <v>5578</v>
      </c>
      <c r="C265" t="b">
        <v>1</v>
      </c>
      <c r="D265">
        <v>8094</v>
      </c>
      <c r="E265">
        <v>8146</v>
      </c>
      <c r="F265">
        <v>277.93331999999998</v>
      </c>
      <c r="G265">
        <v>216.33332999999999</v>
      </c>
      <c r="H265">
        <v>1.2847457</v>
      </c>
      <c r="I265">
        <v>-0.28474571999999998</v>
      </c>
      <c r="J265">
        <v>0.43768546000000003</v>
      </c>
    </row>
    <row r="266" spans="1:10" x14ac:dyDescent="0.3">
      <c r="A266">
        <v>264</v>
      </c>
      <c r="B266">
        <v>5594</v>
      </c>
      <c r="C266" t="b">
        <v>1</v>
      </c>
      <c r="D266">
        <v>8111</v>
      </c>
      <c r="E266">
        <v>8146</v>
      </c>
      <c r="F266">
        <v>278.26666</v>
      </c>
      <c r="G266">
        <v>216.73334</v>
      </c>
      <c r="H266">
        <v>1.2839126999999999</v>
      </c>
      <c r="I266">
        <v>-0.28391260000000001</v>
      </c>
      <c r="J266">
        <v>0.43784514000000002</v>
      </c>
    </row>
    <row r="267" spans="1:10" x14ac:dyDescent="0.3">
      <c r="A267">
        <v>265</v>
      </c>
      <c r="B267">
        <v>5610</v>
      </c>
      <c r="C267" t="b">
        <v>1</v>
      </c>
      <c r="D267">
        <v>8140</v>
      </c>
      <c r="E267">
        <v>8146</v>
      </c>
      <c r="F267">
        <v>278.60000000000002</v>
      </c>
      <c r="G267">
        <v>217.86667</v>
      </c>
      <c r="H267">
        <v>1.2787637999999999</v>
      </c>
      <c r="I267">
        <v>-0.27876380000000001</v>
      </c>
      <c r="J267">
        <v>0.43883443</v>
      </c>
    </row>
    <row r="268" spans="1:10" x14ac:dyDescent="0.3">
      <c r="A268">
        <v>266</v>
      </c>
      <c r="B268">
        <v>5626</v>
      </c>
      <c r="C268" t="b">
        <v>1</v>
      </c>
      <c r="D268">
        <v>8169</v>
      </c>
      <c r="E268">
        <v>8134</v>
      </c>
      <c r="F268">
        <v>278.2</v>
      </c>
      <c r="G268">
        <v>219</v>
      </c>
      <c r="H268">
        <v>1.2703196999999999</v>
      </c>
      <c r="I268">
        <v>-0.2703197</v>
      </c>
      <c r="J268">
        <v>0.44046659999999999</v>
      </c>
    </row>
    <row r="269" spans="1:10" x14ac:dyDescent="0.3">
      <c r="A269">
        <v>267</v>
      </c>
      <c r="B269">
        <v>5642</v>
      </c>
      <c r="C269" t="b">
        <v>1</v>
      </c>
      <c r="D269">
        <v>8135</v>
      </c>
      <c r="E269">
        <v>8117</v>
      </c>
      <c r="F269">
        <v>277.86667</v>
      </c>
      <c r="G269">
        <v>219.4</v>
      </c>
      <c r="H269">
        <v>1.2664844</v>
      </c>
      <c r="I269">
        <v>-0.26648440000000001</v>
      </c>
      <c r="J269">
        <v>0.44121194000000002</v>
      </c>
    </row>
    <row r="270" spans="1:10" x14ac:dyDescent="0.3">
      <c r="A270">
        <v>268</v>
      </c>
      <c r="B270">
        <v>5657</v>
      </c>
      <c r="C270" t="b">
        <v>1</v>
      </c>
      <c r="D270">
        <v>8129</v>
      </c>
      <c r="E270">
        <v>8140</v>
      </c>
      <c r="F270">
        <v>277.53332999999998</v>
      </c>
      <c r="G270">
        <v>219.4</v>
      </c>
      <c r="H270">
        <v>1.2649649999999999</v>
      </c>
      <c r="I270">
        <v>-0.26496505999999997</v>
      </c>
      <c r="J270">
        <v>0.44150790000000001</v>
      </c>
    </row>
    <row r="271" spans="1:10" x14ac:dyDescent="0.3">
      <c r="A271">
        <v>269</v>
      </c>
      <c r="B271">
        <v>5673</v>
      </c>
      <c r="C271" t="b">
        <v>1</v>
      </c>
      <c r="D271">
        <v>8135</v>
      </c>
      <c r="E271">
        <v>8129</v>
      </c>
      <c r="F271">
        <v>277.2</v>
      </c>
      <c r="G271">
        <v>219</v>
      </c>
      <c r="H271">
        <v>1.2657535</v>
      </c>
      <c r="I271">
        <v>-0.26575347999999999</v>
      </c>
      <c r="J271">
        <v>0.44135426999999999</v>
      </c>
    </row>
    <row r="272" spans="1:10" x14ac:dyDescent="0.3">
      <c r="A272">
        <v>270</v>
      </c>
      <c r="B272">
        <v>5689</v>
      </c>
      <c r="C272" t="b">
        <v>1</v>
      </c>
      <c r="D272">
        <v>8129</v>
      </c>
      <c r="E272">
        <v>8123</v>
      </c>
      <c r="F272">
        <v>278</v>
      </c>
      <c r="G272">
        <v>218.26666</v>
      </c>
      <c r="H272">
        <v>1.2736714</v>
      </c>
      <c r="I272">
        <v>-0.27367140000000001</v>
      </c>
      <c r="J272">
        <v>0.43981730000000002</v>
      </c>
    </row>
    <row r="273" spans="1:10" x14ac:dyDescent="0.3">
      <c r="A273">
        <v>271</v>
      </c>
      <c r="B273">
        <v>5705</v>
      </c>
      <c r="C273" t="b">
        <v>1</v>
      </c>
      <c r="D273">
        <v>8158</v>
      </c>
      <c r="E273">
        <v>8105</v>
      </c>
      <c r="F273">
        <v>278.8</v>
      </c>
      <c r="G273">
        <v>217.13333</v>
      </c>
      <c r="H273">
        <v>1.2840035999999999</v>
      </c>
      <c r="I273">
        <v>-0.28400365</v>
      </c>
      <c r="J273">
        <v>0.43782768</v>
      </c>
    </row>
    <row r="274" spans="1:10" x14ac:dyDescent="0.3">
      <c r="A274">
        <v>272</v>
      </c>
      <c r="B274">
        <v>5720</v>
      </c>
      <c r="C274" t="b">
        <v>1</v>
      </c>
      <c r="D274">
        <v>8077</v>
      </c>
      <c r="E274">
        <v>8117</v>
      </c>
      <c r="F274">
        <v>280.33334000000002</v>
      </c>
      <c r="G274">
        <v>216.4</v>
      </c>
      <c r="H274">
        <v>1.2954406999999999</v>
      </c>
      <c r="I274">
        <v>-0.2954406</v>
      </c>
      <c r="J274">
        <v>0.43564619999999998</v>
      </c>
    </row>
    <row r="275" spans="1:10" x14ac:dyDescent="0.3">
      <c r="A275">
        <v>273</v>
      </c>
      <c r="B275">
        <v>5736</v>
      </c>
      <c r="C275" t="b">
        <v>1</v>
      </c>
      <c r="D275">
        <v>8083</v>
      </c>
      <c r="E275">
        <v>8123</v>
      </c>
      <c r="F275">
        <v>281.86667</v>
      </c>
      <c r="G275">
        <v>216.4</v>
      </c>
      <c r="H275">
        <v>1.3025262</v>
      </c>
      <c r="I275">
        <v>-0.30252624</v>
      </c>
      <c r="J275">
        <v>0.43430558000000002</v>
      </c>
    </row>
    <row r="276" spans="1:10" x14ac:dyDescent="0.3">
      <c r="A276">
        <v>274</v>
      </c>
      <c r="B276">
        <v>5768</v>
      </c>
      <c r="C276" t="b">
        <v>1</v>
      </c>
      <c r="D276">
        <v>8140</v>
      </c>
      <c r="E276">
        <v>8123</v>
      </c>
      <c r="F276">
        <v>282.26666</v>
      </c>
      <c r="G276">
        <v>216.4</v>
      </c>
      <c r="H276">
        <v>1.3043746000000001</v>
      </c>
      <c r="I276">
        <v>-0.30437463999999997</v>
      </c>
      <c r="J276">
        <v>0.43395721999999998</v>
      </c>
    </row>
    <row r="277" spans="1:10" x14ac:dyDescent="0.3">
      <c r="A277">
        <v>275</v>
      </c>
      <c r="B277">
        <v>5784</v>
      </c>
      <c r="C277" t="b">
        <v>1</v>
      </c>
      <c r="D277">
        <v>8140</v>
      </c>
      <c r="E277">
        <v>8123</v>
      </c>
      <c r="F277">
        <v>284.53332999999998</v>
      </c>
      <c r="G277">
        <v>216.4</v>
      </c>
      <c r="H277">
        <v>1.3148489999999999</v>
      </c>
      <c r="I277">
        <v>-0.31484905000000002</v>
      </c>
      <c r="J277">
        <v>0.43199359999999998</v>
      </c>
    </row>
    <row r="278" spans="1:10" x14ac:dyDescent="0.3">
      <c r="A278">
        <v>276</v>
      </c>
      <c r="B278">
        <v>5815</v>
      </c>
      <c r="C278" t="b">
        <v>1</v>
      </c>
      <c r="D278">
        <v>8123</v>
      </c>
      <c r="E278">
        <v>8146</v>
      </c>
      <c r="F278">
        <v>285.33334000000002</v>
      </c>
      <c r="G278">
        <v>216.4</v>
      </c>
      <c r="H278">
        <v>1.3185458999999999</v>
      </c>
      <c r="I278">
        <v>-0.318546</v>
      </c>
      <c r="J278">
        <v>0.43130478</v>
      </c>
    </row>
    <row r="279" spans="1:10" x14ac:dyDescent="0.3">
      <c r="A279">
        <v>277</v>
      </c>
      <c r="B279">
        <v>5831</v>
      </c>
      <c r="C279" t="b">
        <v>1</v>
      </c>
      <c r="D279">
        <v>8054</v>
      </c>
      <c r="E279">
        <v>8111</v>
      </c>
      <c r="F279">
        <v>286.13333</v>
      </c>
      <c r="G279">
        <v>216.4</v>
      </c>
      <c r="H279">
        <v>1.3222427000000001</v>
      </c>
      <c r="I279">
        <v>-0.3222428</v>
      </c>
      <c r="J279">
        <v>0.43061820000000001</v>
      </c>
    </row>
    <row r="280" spans="1:10" x14ac:dyDescent="0.3">
      <c r="A280">
        <v>278</v>
      </c>
      <c r="B280">
        <v>5863</v>
      </c>
      <c r="C280" t="b">
        <v>1</v>
      </c>
      <c r="D280">
        <v>8100</v>
      </c>
      <c r="E280">
        <v>8111</v>
      </c>
      <c r="F280">
        <v>286.93331999999998</v>
      </c>
      <c r="G280">
        <v>216.4</v>
      </c>
      <c r="H280">
        <v>1.3259395</v>
      </c>
      <c r="I280">
        <v>-0.3259396</v>
      </c>
      <c r="J280">
        <v>0.42993379999999998</v>
      </c>
    </row>
    <row r="281" spans="1:10" x14ac:dyDescent="0.3">
      <c r="A281">
        <v>279</v>
      </c>
      <c r="B281">
        <v>5878</v>
      </c>
      <c r="C281" t="b">
        <v>1</v>
      </c>
      <c r="D281">
        <v>8083</v>
      </c>
      <c r="E281">
        <v>8123</v>
      </c>
      <c r="F281">
        <v>286.2</v>
      </c>
      <c r="G281">
        <v>214.86667</v>
      </c>
      <c r="H281">
        <v>1.3319889</v>
      </c>
      <c r="I281">
        <v>-0.33198886999999999</v>
      </c>
      <c r="J281">
        <v>0.42881851999999998</v>
      </c>
    </row>
    <row r="282" spans="1:10" x14ac:dyDescent="0.3">
      <c r="A282">
        <v>280</v>
      </c>
      <c r="B282">
        <v>5894</v>
      </c>
      <c r="C282" t="b">
        <v>1</v>
      </c>
      <c r="D282">
        <v>8094</v>
      </c>
      <c r="E282">
        <v>8123</v>
      </c>
      <c r="F282">
        <v>285.06668000000002</v>
      </c>
      <c r="G282">
        <v>213.33332999999999</v>
      </c>
      <c r="H282">
        <v>1.3362501</v>
      </c>
      <c r="I282">
        <v>-0.3362501</v>
      </c>
      <c r="J282">
        <v>0.42803636</v>
      </c>
    </row>
    <row r="283" spans="1:10" x14ac:dyDescent="0.3">
      <c r="A283">
        <v>281</v>
      </c>
      <c r="B283">
        <v>5910</v>
      </c>
      <c r="C283" t="b">
        <v>1</v>
      </c>
      <c r="D283">
        <v>8140</v>
      </c>
      <c r="E283">
        <v>8123</v>
      </c>
      <c r="F283">
        <v>283.93331999999998</v>
      </c>
      <c r="G283">
        <v>211.8</v>
      </c>
      <c r="H283">
        <v>1.3405727999999999</v>
      </c>
      <c r="I283">
        <v>-0.34057277000000002</v>
      </c>
      <c r="J283">
        <v>0.42724582999999999</v>
      </c>
    </row>
    <row r="284" spans="1:10" x14ac:dyDescent="0.3">
      <c r="A284">
        <v>282</v>
      </c>
      <c r="B284">
        <v>5941</v>
      </c>
      <c r="C284" t="b">
        <v>1</v>
      </c>
      <c r="D284">
        <v>8094</v>
      </c>
      <c r="E284">
        <v>8134</v>
      </c>
      <c r="F284">
        <v>281.2</v>
      </c>
      <c r="G284">
        <v>210.26666</v>
      </c>
      <c r="H284">
        <v>1.3373495</v>
      </c>
      <c r="I284">
        <v>-0.33734946999999998</v>
      </c>
      <c r="J284">
        <v>0.42783504999999999</v>
      </c>
    </row>
    <row r="285" spans="1:10" x14ac:dyDescent="0.3">
      <c r="A285">
        <v>283</v>
      </c>
      <c r="B285">
        <v>5957</v>
      </c>
      <c r="C285" t="b">
        <v>1</v>
      </c>
      <c r="D285">
        <v>8111</v>
      </c>
      <c r="E285">
        <v>8129</v>
      </c>
      <c r="F285">
        <v>278.46667000000002</v>
      </c>
      <c r="G285">
        <v>209.13333</v>
      </c>
      <c r="H285">
        <v>1.3315269999999999</v>
      </c>
      <c r="I285">
        <v>-0.33152700000000002</v>
      </c>
      <c r="J285">
        <v>0.42890346000000001</v>
      </c>
    </row>
    <row r="286" spans="1:10" x14ac:dyDescent="0.3">
      <c r="A286">
        <v>284</v>
      </c>
      <c r="B286">
        <v>5973</v>
      </c>
      <c r="C286" t="b">
        <v>1</v>
      </c>
      <c r="D286">
        <v>8100</v>
      </c>
      <c r="E286">
        <v>8129</v>
      </c>
      <c r="F286">
        <v>276.13333</v>
      </c>
      <c r="G286">
        <v>208.8</v>
      </c>
      <c r="H286">
        <v>1.3224776</v>
      </c>
      <c r="I286">
        <v>-0.32247759999999998</v>
      </c>
      <c r="J286">
        <v>0.43057466</v>
      </c>
    </row>
    <row r="287" spans="1:10" x14ac:dyDescent="0.3">
      <c r="A287">
        <v>285</v>
      </c>
      <c r="B287">
        <v>6005</v>
      </c>
      <c r="C287" t="b">
        <v>1</v>
      </c>
      <c r="D287">
        <v>8135</v>
      </c>
      <c r="E287">
        <v>8140</v>
      </c>
      <c r="F287">
        <v>274.53332999999998</v>
      </c>
      <c r="G287">
        <v>208.8</v>
      </c>
      <c r="H287">
        <v>1.3148148</v>
      </c>
      <c r="I287">
        <v>-0.31481474999999998</v>
      </c>
      <c r="J287">
        <v>0.432</v>
      </c>
    </row>
    <row r="288" spans="1:10" x14ac:dyDescent="0.3">
      <c r="A288">
        <v>286</v>
      </c>
      <c r="B288">
        <v>6037</v>
      </c>
      <c r="C288" t="b">
        <v>1</v>
      </c>
      <c r="D288">
        <v>8083</v>
      </c>
      <c r="E288">
        <v>8111</v>
      </c>
      <c r="F288">
        <v>272.2</v>
      </c>
      <c r="G288">
        <v>209.2</v>
      </c>
      <c r="H288">
        <v>1.3011473</v>
      </c>
      <c r="I288">
        <v>-0.30114730000000001</v>
      </c>
      <c r="J288">
        <v>0.4345658</v>
      </c>
    </row>
    <row r="289" spans="1:10" x14ac:dyDescent="0.3">
      <c r="A289">
        <v>287</v>
      </c>
      <c r="B289">
        <v>6069</v>
      </c>
      <c r="C289" t="b">
        <v>1</v>
      </c>
      <c r="D289">
        <v>8146</v>
      </c>
      <c r="E289">
        <v>8123</v>
      </c>
      <c r="F289">
        <v>271</v>
      </c>
      <c r="G289">
        <v>209.6</v>
      </c>
      <c r="H289">
        <v>1.2929390000000001</v>
      </c>
      <c r="I289">
        <v>-0.2929389</v>
      </c>
      <c r="J289">
        <v>0.43612151999999998</v>
      </c>
    </row>
    <row r="290" spans="1:10" x14ac:dyDescent="0.3">
      <c r="A290">
        <v>288</v>
      </c>
      <c r="B290">
        <v>6100</v>
      </c>
      <c r="C290" t="b">
        <v>1</v>
      </c>
      <c r="D290">
        <v>8117</v>
      </c>
      <c r="E290">
        <v>8134</v>
      </c>
      <c r="F290">
        <v>270.2</v>
      </c>
      <c r="G290">
        <v>210</v>
      </c>
      <c r="H290">
        <v>1.2866668000000001</v>
      </c>
      <c r="I290">
        <v>-0.28666671999999999</v>
      </c>
      <c r="J290">
        <v>0.43731776</v>
      </c>
    </row>
    <row r="291" spans="1:10" x14ac:dyDescent="0.3">
      <c r="A291">
        <v>289</v>
      </c>
      <c r="B291">
        <v>6115</v>
      </c>
      <c r="C291" t="b">
        <v>1</v>
      </c>
      <c r="D291">
        <v>8152</v>
      </c>
      <c r="E291">
        <v>8134</v>
      </c>
      <c r="F291">
        <v>270.60000000000002</v>
      </c>
      <c r="G291">
        <v>210.73334</v>
      </c>
      <c r="H291">
        <v>1.2840872999999999</v>
      </c>
      <c r="I291">
        <v>-0.28408733000000003</v>
      </c>
      <c r="J291">
        <v>0.43781164</v>
      </c>
    </row>
    <row r="292" spans="1:10" x14ac:dyDescent="0.3">
      <c r="A292">
        <v>290</v>
      </c>
      <c r="B292">
        <v>6131</v>
      </c>
      <c r="C292" t="b">
        <v>1</v>
      </c>
      <c r="D292">
        <v>8129</v>
      </c>
      <c r="E292">
        <v>8146</v>
      </c>
      <c r="F292">
        <v>269.86667</v>
      </c>
      <c r="G292">
        <v>211.46665999999999</v>
      </c>
      <c r="H292">
        <v>1.2761666</v>
      </c>
      <c r="I292">
        <v>-0.27616649999999998</v>
      </c>
      <c r="J292">
        <v>0.43933519999999998</v>
      </c>
    </row>
    <row r="293" spans="1:10" x14ac:dyDescent="0.3">
      <c r="A293">
        <v>291</v>
      </c>
      <c r="B293">
        <v>6147</v>
      </c>
      <c r="C293" t="b">
        <v>1</v>
      </c>
      <c r="D293">
        <v>8077</v>
      </c>
      <c r="E293">
        <v>8123</v>
      </c>
      <c r="F293">
        <v>270.26666</v>
      </c>
      <c r="G293">
        <v>212.2</v>
      </c>
      <c r="H293">
        <v>1.2736411999999999</v>
      </c>
      <c r="I293">
        <v>-0.27364123000000001</v>
      </c>
      <c r="J293">
        <v>0.43982312000000001</v>
      </c>
    </row>
    <row r="294" spans="1:10" x14ac:dyDescent="0.3">
      <c r="A294">
        <v>292</v>
      </c>
      <c r="B294">
        <v>6163</v>
      </c>
      <c r="C294" t="b">
        <v>1</v>
      </c>
      <c r="D294">
        <v>8135</v>
      </c>
      <c r="E294">
        <v>8134</v>
      </c>
      <c r="F294">
        <v>270.66665999999998</v>
      </c>
      <c r="G294">
        <v>212.93333000000001</v>
      </c>
      <c r="H294">
        <v>1.2711333</v>
      </c>
      <c r="I294">
        <v>-0.27113333000000001</v>
      </c>
      <c r="J294">
        <v>0.4403088</v>
      </c>
    </row>
    <row r="295" spans="1:10" x14ac:dyDescent="0.3">
      <c r="A295">
        <v>293</v>
      </c>
      <c r="B295">
        <v>6179</v>
      </c>
      <c r="C295" t="b">
        <v>1</v>
      </c>
      <c r="D295">
        <v>8117</v>
      </c>
      <c r="E295">
        <v>8087</v>
      </c>
      <c r="F295">
        <v>271.06668000000002</v>
      </c>
      <c r="G295">
        <v>213.66667000000001</v>
      </c>
      <c r="H295">
        <v>1.2686428000000001</v>
      </c>
      <c r="I295">
        <v>-0.26864278000000003</v>
      </c>
      <c r="J295">
        <v>0.44079220000000002</v>
      </c>
    </row>
    <row r="296" spans="1:10" x14ac:dyDescent="0.3">
      <c r="A296">
        <v>294</v>
      </c>
      <c r="B296">
        <v>6195</v>
      </c>
      <c r="C296" t="b">
        <v>1</v>
      </c>
      <c r="D296">
        <v>8111</v>
      </c>
      <c r="E296">
        <v>8134</v>
      </c>
      <c r="F296">
        <v>272.2</v>
      </c>
      <c r="G296">
        <v>214.4</v>
      </c>
      <c r="H296">
        <v>1.2695897</v>
      </c>
      <c r="I296">
        <v>-0.26958963000000002</v>
      </c>
      <c r="J296">
        <v>0.44060830000000001</v>
      </c>
    </row>
    <row r="297" spans="1:10" x14ac:dyDescent="0.3">
      <c r="A297">
        <v>295</v>
      </c>
      <c r="B297">
        <v>6210</v>
      </c>
      <c r="C297" t="b">
        <v>1</v>
      </c>
      <c r="D297">
        <v>8146</v>
      </c>
      <c r="E297">
        <v>8134</v>
      </c>
      <c r="F297">
        <v>273.73334</v>
      </c>
      <c r="G297">
        <v>215.13333</v>
      </c>
      <c r="H297">
        <v>1.2723892999999999</v>
      </c>
      <c r="I297">
        <v>-0.27238922999999998</v>
      </c>
      <c r="J297">
        <v>0.44006543999999997</v>
      </c>
    </row>
    <row r="298" spans="1:10" x14ac:dyDescent="0.3">
      <c r="A298">
        <v>296</v>
      </c>
      <c r="B298">
        <v>6242</v>
      </c>
      <c r="C298" t="b">
        <v>1</v>
      </c>
      <c r="D298">
        <v>8123</v>
      </c>
      <c r="E298">
        <v>8129</v>
      </c>
      <c r="F298">
        <v>275.66665999999998</v>
      </c>
      <c r="G298">
        <v>215.86667</v>
      </c>
      <c r="H298">
        <v>1.2770227999999999</v>
      </c>
      <c r="I298">
        <v>-0.27702280000000001</v>
      </c>
      <c r="J298">
        <v>0.43916993999999998</v>
      </c>
    </row>
    <row r="299" spans="1:10" x14ac:dyDescent="0.3">
      <c r="A299">
        <v>297</v>
      </c>
      <c r="B299">
        <v>6258</v>
      </c>
      <c r="C299" t="b">
        <v>1</v>
      </c>
      <c r="D299">
        <v>8117</v>
      </c>
      <c r="E299">
        <v>8129</v>
      </c>
      <c r="F299">
        <v>277.2</v>
      </c>
      <c r="G299">
        <v>216.26666</v>
      </c>
      <c r="H299">
        <v>1.2817510000000001</v>
      </c>
      <c r="I299">
        <v>-0.28175099999999997</v>
      </c>
      <c r="J299">
        <v>0.43825989999999998</v>
      </c>
    </row>
    <row r="300" spans="1:10" x14ac:dyDescent="0.3">
      <c r="A300">
        <v>298</v>
      </c>
      <c r="B300">
        <v>6274</v>
      </c>
      <c r="C300" t="b">
        <v>1</v>
      </c>
      <c r="D300">
        <v>8135</v>
      </c>
      <c r="E300">
        <v>8129</v>
      </c>
      <c r="F300">
        <v>279.13333</v>
      </c>
      <c r="G300">
        <v>216.66667000000001</v>
      </c>
      <c r="H300">
        <v>1.2883077000000001</v>
      </c>
      <c r="I300">
        <v>-0.28830767000000002</v>
      </c>
      <c r="J300">
        <v>0.43700418000000002</v>
      </c>
    </row>
    <row r="301" spans="1:10" x14ac:dyDescent="0.3">
      <c r="A301">
        <v>299</v>
      </c>
      <c r="B301">
        <v>6290</v>
      </c>
      <c r="C301" t="b">
        <v>1</v>
      </c>
      <c r="D301">
        <v>8152</v>
      </c>
      <c r="E301">
        <v>8170</v>
      </c>
      <c r="F301">
        <v>281.46667000000002</v>
      </c>
      <c r="G301">
        <v>216.66667000000001</v>
      </c>
      <c r="H301">
        <v>1.2990769</v>
      </c>
      <c r="I301">
        <v>-0.29907694000000001</v>
      </c>
      <c r="J301">
        <v>0.43495715000000001</v>
      </c>
    </row>
    <row r="302" spans="1:10" x14ac:dyDescent="0.3">
      <c r="A302">
        <v>300</v>
      </c>
      <c r="B302">
        <v>6306</v>
      </c>
      <c r="C302" t="b">
        <v>1</v>
      </c>
      <c r="D302">
        <v>8175</v>
      </c>
      <c r="E302">
        <v>8140</v>
      </c>
      <c r="F302">
        <v>283.06668000000002</v>
      </c>
      <c r="G302">
        <v>216.66667000000001</v>
      </c>
      <c r="H302">
        <v>1.3064616</v>
      </c>
      <c r="I302">
        <v>-0.30646157000000002</v>
      </c>
      <c r="J302">
        <v>0.43356456999999998</v>
      </c>
    </row>
    <row r="303" spans="1:10" x14ac:dyDescent="0.3">
      <c r="A303">
        <v>301</v>
      </c>
      <c r="B303">
        <v>6322</v>
      </c>
      <c r="C303" t="b">
        <v>1</v>
      </c>
      <c r="D303">
        <v>8129</v>
      </c>
      <c r="E303">
        <v>8129</v>
      </c>
      <c r="F303">
        <v>285.39999999999998</v>
      </c>
      <c r="G303">
        <v>216.66667000000001</v>
      </c>
      <c r="H303">
        <v>1.3172307000000001</v>
      </c>
      <c r="I303">
        <v>-0.31723069999999998</v>
      </c>
      <c r="J303">
        <v>0.43154959999999998</v>
      </c>
    </row>
    <row r="304" spans="1:10" x14ac:dyDescent="0.3">
      <c r="A304">
        <v>302</v>
      </c>
      <c r="B304">
        <v>6338</v>
      </c>
      <c r="C304" t="b">
        <v>1</v>
      </c>
      <c r="D304">
        <v>8152</v>
      </c>
      <c r="E304">
        <v>8117</v>
      </c>
      <c r="F304">
        <v>288.13333</v>
      </c>
      <c r="G304">
        <v>216.66667000000001</v>
      </c>
      <c r="H304">
        <v>1.3298460999999999</v>
      </c>
      <c r="I304">
        <v>-0.32984609999999998</v>
      </c>
      <c r="J304">
        <v>0.42921290000000001</v>
      </c>
    </row>
    <row r="305" spans="1:10" x14ac:dyDescent="0.3">
      <c r="A305">
        <v>303</v>
      </c>
      <c r="B305">
        <v>6354</v>
      </c>
      <c r="C305" t="b">
        <v>1</v>
      </c>
      <c r="D305">
        <v>8163</v>
      </c>
      <c r="E305">
        <v>8146</v>
      </c>
      <c r="F305">
        <v>290.46667000000002</v>
      </c>
      <c r="G305">
        <v>217.4</v>
      </c>
      <c r="H305">
        <v>1.3360932999999999</v>
      </c>
      <c r="I305">
        <v>-0.33609329999999998</v>
      </c>
      <c r="J305">
        <v>0.42806509999999998</v>
      </c>
    </row>
    <row r="306" spans="1:10" x14ac:dyDescent="0.3">
      <c r="A306">
        <v>304</v>
      </c>
      <c r="B306">
        <v>6369</v>
      </c>
      <c r="C306" t="b">
        <v>1</v>
      </c>
      <c r="D306">
        <v>8100</v>
      </c>
      <c r="E306">
        <v>8146</v>
      </c>
      <c r="F306">
        <v>291.60000000000002</v>
      </c>
      <c r="G306">
        <v>217.8</v>
      </c>
      <c r="H306">
        <v>1.338843</v>
      </c>
      <c r="I306">
        <v>-0.33884300000000001</v>
      </c>
      <c r="J306">
        <v>0.42756181999999998</v>
      </c>
    </row>
    <row r="307" spans="1:10" x14ac:dyDescent="0.3">
      <c r="A307">
        <v>305</v>
      </c>
      <c r="B307">
        <v>6401</v>
      </c>
      <c r="C307" t="b">
        <v>1</v>
      </c>
      <c r="D307">
        <v>8123</v>
      </c>
      <c r="E307">
        <v>8099</v>
      </c>
      <c r="F307">
        <v>291.60000000000002</v>
      </c>
      <c r="G307">
        <v>217.46665999999999</v>
      </c>
      <c r="H307">
        <v>1.3408952000000001</v>
      </c>
      <c r="I307">
        <v>-0.34089523999999999</v>
      </c>
      <c r="J307">
        <v>0.42718699999999998</v>
      </c>
    </row>
    <row r="308" spans="1:10" x14ac:dyDescent="0.3">
      <c r="A308">
        <v>306</v>
      </c>
      <c r="B308">
        <v>6417</v>
      </c>
      <c r="C308" t="b">
        <v>1</v>
      </c>
      <c r="D308">
        <v>8169</v>
      </c>
      <c r="E308">
        <v>8111</v>
      </c>
      <c r="F308">
        <v>293.13333</v>
      </c>
      <c r="G308">
        <v>216.33332999999999</v>
      </c>
      <c r="H308">
        <v>1.3550078000000001</v>
      </c>
      <c r="I308">
        <v>-0.35500774000000002</v>
      </c>
      <c r="J308">
        <v>0.42462704000000001</v>
      </c>
    </row>
    <row r="309" spans="1:10" x14ac:dyDescent="0.3">
      <c r="A309">
        <v>307</v>
      </c>
      <c r="B309">
        <v>6433</v>
      </c>
      <c r="C309" t="b">
        <v>1</v>
      </c>
      <c r="D309">
        <v>8083</v>
      </c>
      <c r="E309">
        <v>8170</v>
      </c>
      <c r="F309">
        <v>292.73334</v>
      </c>
      <c r="G309">
        <v>217.13333</v>
      </c>
      <c r="H309">
        <v>1.3481730999999999</v>
      </c>
      <c r="I309">
        <v>-0.34817320000000002</v>
      </c>
      <c r="J309">
        <v>0.42586297000000001</v>
      </c>
    </row>
    <row r="310" spans="1:10" x14ac:dyDescent="0.3">
      <c r="A310">
        <v>308</v>
      </c>
      <c r="B310">
        <v>6449</v>
      </c>
      <c r="C310" t="b">
        <v>1</v>
      </c>
      <c r="D310">
        <v>8152</v>
      </c>
      <c r="E310">
        <v>8134</v>
      </c>
      <c r="F310">
        <v>292.33334000000002</v>
      </c>
      <c r="G310">
        <v>217.13333</v>
      </c>
      <c r="H310">
        <v>1.3463309999999999</v>
      </c>
      <c r="I310">
        <v>-0.34633102999999998</v>
      </c>
      <c r="J310">
        <v>0.42619731999999999</v>
      </c>
    </row>
    <row r="311" spans="1:10" x14ac:dyDescent="0.3">
      <c r="A311">
        <v>309</v>
      </c>
      <c r="B311">
        <v>6481</v>
      </c>
      <c r="C311" t="b">
        <v>1</v>
      </c>
      <c r="D311">
        <v>8152</v>
      </c>
      <c r="E311">
        <v>8164</v>
      </c>
      <c r="F311">
        <v>294.66665999999998</v>
      </c>
      <c r="G311">
        <v>217.13333</v>
      </c>
      <c r="H311">
        <v>1.3570770000000001</v>
      </c>
      <c r="I311">
        <v>-0.35707703000000002</v>
      </c>
      <c r="J311">
        <v>0.42425426999999999</v>
      </c>
    </row>
    <row r="312" spans="1:10" x14ac:dyDescent="0.3">
      <c r="A312">
        <v>310</v>
      </c>
      <c r="B312">
        <v>6512</v>
      </c>
      <c r="C312" t="b">
        <v>1</v>
      </c>
      <c r="D312">
        <v>8111</v>
      </c>
      <c r="E312">
        <v>8111</v>
      </c>
      <c r="F312">
        <v>297</v>
      </c>
      <c r="G312">
        <v>217.13333</v>
      </c>
      <c r="H312">
        <v>1.3678231000000001</v>
      </c>
      <c r="I312">
        <v>-0.36782314999999999</v>
      </c>
      <c r="J312">
        <v>0.42232885999999997</v>
      </c>
    </row>
    <row r="313" spans="1:10" x14ac:dyDescent="0.3">
      <c r="A313">
        <v>311</v>
      </c>
      <c r="B313">
        <v>6528</v>
      </c>
      <c r="C313" t="b">
        <v>1</v>
      </c>
      <c r="D313">
        <v>8106</v>
      </c>
      <c r="E313">
        <v>8134</v>
      </c>
      <c r="F313">
        <v>296.2</v>
      </c>
      <c r="G313">
        <v>217.13333</v>
      </c>
      <c r="H313">
        <v>1.3641388000000001</v>
      </c>
      <c r="I313">
        <v>-0.36413884000000002</v>
      </c>
      <c r="J313">
        <v>0.42298698000000001</v>
      </c>
    </row>
    <row r="314" spans="1:10" x14ac:dyDescent="0.3">
      <c r="A314">
        <v>312</v>
      </c>
      <c r="B314">
        <v>6544</v>
      </c>
      <c r="C314" t="b">
        <v>1</v>
      </c>
      <c r="D314">
        <v>8094</v>
      </c>
      <c r="E314">
        <v>8134</v>
      </c>
      <c r="F314">
        <v>295.8</v>
      </c>
      <c r="G314">
        <v>217.46665999999999</v>
      </c>
      <c r="H314">
        <v>1.3602084000000001</v>
      </c>
      <c r="I314">
        <v>-0.36020845000000001</v>
      </c>
      <c r="J314">
        <v>0.4236914</v>
      </c>
    </row>
    <row r="315" spans="1:10" x14ac:dyDescent="0.3">
      <c r="A315">
        <v>313</v>
      </c>
      <c r="B315">
        <v>6560</v>
      </c>
      <c r="C315" t="b">
        <v>1</v>
      </c>
      <c r="D315">
        <v>8158</v>
      </c>
      <c r="E315">
        <v>8117</v>
      </c>
      <c r="F315">
        <v>295</v>
      </c>
      <c r="G315">
        <v>217.8</v>
      </c>
      <c r="H315">
        <v>1.3544536</v>
      </c>
      <c r="I315">
        <v>-0.35445359999999998</v>
      </c>
      <c r="J315">
        <v>0.42472700000000002</v>
      </c>
    </row>
    <row r="316" spans="1:10" x14ac:dyDescent="0.3">
      <c r="A316">
        <v>314</v>
      </c>
      <c r="B316">
        <v>6575</v>
      </c>
      <c r="C316" t="b">
        <v>1</v>
      </c>
      <c r="D316">
        <v>8158</v>
      </c>
      <c r="E316">
        <v>8140</v>
      </c>
      <c r="F316">
        <v>293.39999999999998</v>
      </c>
      <c r="G316">
        <v>218.13333</v>
      </c>
      <c r="H316">
        <v>1.3450489000000001</v>
      </c>
      <c r="I316">
        <v>-0.34504887000000001</v>
      </c>
      <c r="J316">
        <v>0.42643034000000002</v>
      </c>
    </row>
    <row r="317" spans="1:10" x14ac:dyDescent="0.3">
      <c r="A317">
        <v>315</v>
      </c>
      <c r="B317">
        <v>6591</v>
      </c>
      <c r="C317" t="b">
        <v>1</v>
      </c>
      <c r="D317">
        <v>8100</v>
      </c>
      <c r="E317">
        <v>8140</v>
      </c>
      <c r="F317">
        <v>291.46667000000002</v>
      </c>
      <c r="G317">
        <v>218.46665999999999</v>
      </c>
      <c r="H317">
        <v>1.3341472000000001</v>
      </c>
      <c r="I317">
        <v>-0.33414716</v>
      </c>
      <c r="J317">
        <v>0.42842196999999999</v>
      </c>
    </row>
    <row r="318" spans="1:10" x14ac:dyDescent="0.3">
      <c r="A318">
        <v>316</v>
      </c>
      <c r="B318">
        <v>6607</v>
      </c>
      <c r="C318" t="b">
        <v>1</v>
      </c>
      <c r="D318">
        <v>8088</v>
      </c>
      <c r="E318">
        <v>8111</v>
      </c>
      <c r="F318">
        <v>289.13333</v>
      </c>
      <c r="G318">
        <v>218.8</v>
      </c>
      <c r="H318">
        <v>1.3214504</v>
      </c>
      <c r="I318">
        <v>-0.32145030000000002</v>
      </c>
      <c r="J318">
        <v>0.43076518000000003</v>
      </c>
    </row>
    <row r="319" spans="1:10" x14ac:dyDescent="0.3">
      <c r="A319">
        <v>317</v>
      </c>
      <c r="B319">
        <v>6623</v>
      </c>
      <c r="C319" t="b">
        <v>1</v>
      </c>
      <c r="D319">
        <v>8123</v>
      </c>
      <c r="E319">
        <v>8134</v>
      </c>
      <c r="F319">
        <v>287.2</v>
      </c>
      <c r="G319">
        <v>219.13333</v>
      </c>
      <c r="H319">
        <v>1.3106177000000001</v>
      </c>
      <c r="I319">
        <v>-0.31061766000000002</v>
      </c>
      <c r="J319">
        <v>0.43278470000000002</v>
      </c>
    </row>
    <row r="320" spans="1:10" x14ac:dyDescent="0.3">
      <c r="A320">
        <v>318</v>
      </c>
      <c r="B320">
        <v>6639</v>
      </c>
      <c r="C320" t="b">
        <v>1</v>
      </c>
      <c r="D320">
        <v>8146</v>
      </c>
      <c r="E320">
        <v>8158</v>
      </c>
      <c r="F320">
        <v>285.26666</v>
      </c>
      <c r="G320">
        <v>219.13333</v>
      </c>
      <c r="H320">
        <v>1.3017949</v>
      </c>
      <c r="I320">
        <v>-0.30179495000000001</v>
      </c>
      <c r="J320">
        <v>0.43444356000000001</v>
      </c>
    </row>
    <row r="321" spans="1:10" x14ac:dyDescent="0.3">
      <c r="A321">
        <v>319</v>
      </c>
      <c r="B321">
        <v>6655</v>
      </c>
      <c r="C321" t="b">
        <v>1</v>
      </c>
      <c r="D321">
        <v>8129</v>
      </c>
      <c r="E321">
        <v>8140</v>
      </c>
      <c r="F321">
        <v>283.33334000000002</v>
      </c>
      <c r="G321">
        <v>219.13333</v>
      </c>
      <c r="H321">
        <v>1.2929723</v>
      </c>
      <c r="I321">
        <v>-0.29297240000000002</v>
      </c>
      <c r="J321">
        <v>0.43611515000000001</v>
      </c>
    </row>
    <row r="322" spans="1:10" x14ac:dyDescent="0.3">
      <c r="A322">
        <v>320</v>
      </c>
      <c r="B322">
        <v>6671</v>
      </c>
      <c r="C322" t="b">
        <v>1</v>
      </c>
      <c r="D322">
        <v>8117</v>
      </c>
      <c r="E322">
        <v>8129</v>
      </c>
      <c r="F322">
        <v>282.93331999999998</v>
      </c>
      <c r="G322">
        <v>219.46665999999999</v>
      </c>
      <c r="H322">
        <v>1.2891859000000001</v>
      </c>
      <c r="I322">
        <v>-0.28918588000000001</v>
      </c>
      <c r="J322">
        <v>0.43683654</v>
      </c>
    </row>
    <row r="323" spans="1:10" x14ac:dyDescent="0.3">
      <c r="A323">
        <v>321</v>
      </c>
      <c r="B323">
        <v>6686</v>
      </c>
      <c r="C323" t="b">
        <v>1</v>
      </c>
      <c r="D323">
        <v>8100</v>
      </c>
      <c r="E323">
        <v>8140</v>
      </c>
      <c r="F323">
        <v>281</v>
      </c>
      <c r="G323">
        <v>221</v>
      </c>
      <c r="H323">
        <v>1.2714932000000001</v>
      </c>
      <c r="I323">
        <v>-0.27149322999999997</v>
      </c>
      <c r="J323">
        <v>0.44023904000000003</v>
      </c>
    </row>
    <row r="324" spans="1:10" x14ac:dyDescent="0.3">
      <c r="A324">
        <v>322</v>
      </c>
      <c r="B324">
        <v>6702</v>
      </c>
      <c r="C324" t="b">
        <v>1</v>
      </c>
      <c r="D324">
        <v>8083</v>
      </c>
      <c r="E324">
        <v>8134</v>
      </c>
      <c r="F324">
        <v>280.60000000000002</v>
      </c>
      <c r="G324">
        <v>220.6</v>
      </c>
      <c r="H324">
        <v>1.2719855</v>
      </c>
      <c r="I324">
        <v>-0.27198549999999999</v>
      </c>
      <c r="J324">
        <v>0.44014364</v>
      </c>
    </row>
    <row r="325" spans="1:10" x14ac:dyDescent="0.3">
      <c r="A325">
        <v>323</v>
      </c>
      <c r="B325">
        <v>6718</v>
      </c>
      <c r="C325" t="b">
        <v>1</v>
      </c>
      <c r="D325">
        <v>8129</v>
      </c>
      <c r="E325">
        <v>8146</v>
      </c>
      <c r="F325">
        <v>280.2</v>
      </c>
      <c r="G325">
        <v>221</v>
      </c>
      <c r="H325">
        <v>1.2678734</v>
      </c>
      <c r="I325">
        <v>-0.26787335000000001</v>
      </c>
      <c r="J325">
        <v>0.44094171999999998</v>
      </c>
    </row>
    <row r="326" spans="1:10" x14ac:dyDescent="0.3">
      <c r="A326">
        <v>324</v>
      </c>
      <c r="B326">
        <v>6734</v>
      </c>
      <c r="C326" t="b">
        <v>1</v>
      </c>
      <c r="D326">
        <v>8175</v>
      </c>
      <c r="E326">
        <v>8123</v>
      </c>
      <c r="F326">
        <v>277.86667</v>
      </c>
      <c r="G326">
        <v>221</v>
      </c>
      <c r="H326">
        <v>1.2573152999999999</v>
      </c>
      <c r="I326">
        <v>-0.25731525</v>
      </c>
      <c r="J326">
        <v>0.44300413</v>
      </c>
    </row>
    <row r="327" spans="1:10" x14ac:dyDescent="0.3">
      <c r="A327">
        <v>325</v>
      </c>
      <c r="B327">
        <v>6750</v>
      </c>
      <c r="C327" t="b">
        <v>1</v>
      </c>
      <c r="D327">
        <v>8106</v>
      </c>
      <c r="E327">
        <v>8134</v>
      </c>
      <c r="F327">
        <v>274.8</v>
      </c>
      <c r="G327">
        <v>221</v>
      </c>
      <c r="H327">
        <v>1.2434388000000001</v>
      </c>
      <c r="I327">
        <v>-0.24343885000000001</v>
      </c>
      <c r="J327">
        <v>0.44574427999999999</v>
      </c>
    </row>
    <row r="328" spans="1:10" x14ac:dyDescent="0.3">
      <c r="A328">
        <v>326</v>
      </c>
      <c r="B328">
        <v>6766</v>
      </c>
      <c r="C328" t="b">
        <v>1</v>
      </c>
      <c r="D328">
        <v>8088</v>
      </c>
      <c r="E328">
        <v>8134</v>
      </c>
      <c r="F328">
        <v>274.46667000000002</v>
      </c>
      <c r="G328">
        <v>221</v>
      </c>
      <c r="H328">
        <v>1.2419306000000001</v>
      </c>
      <c r="I328">
        <v>-0.24193065</v>
      </c>
      <c r="J328">
        <v>0.44604411999999999</v>
      </c>
    </row>
    <row r="329" spans="1:10" x14ac:dyDescent="0.3">
      <c r="A329">
        <v>327</v>
      </c>
      <c r="B329">
        <v>6782</v>
      </c>
      <c r="C329" t="b">
        <v>1</v>
      </c>
      <c r="D329">
        <v>8123</v>
      </c>
      <c r="E329">
        <v>8140</v>
      </c>
      <c r="F329">
        <v>275.26666</v>
      </c>
      <c r="G329">
        <v>221</v>
      </c>
      <c r="H329">
        <v>1.2455505</v>
      </c>
      <c r="I329">
        <v>-0.24555051</v>
      </c>
      <c r="J329">
        <v>0.44532509999999997</v>
      </c>
    </row>
    <row r="330" spans="1:10" x14ac:dyDescent="0.3">
      <c r="A330">
        <v>328</v>
      </c>
      <c r="B330">
        <v>6813</v>
      </c>
      <c r="C330" t="b">
        <v>1</v>
      </c>
      <c r="D330">
        <v>8146</v>
      </c>
      <c r="E330">
        <v>8105</v>
      </c>
      <c r="F330">
        <v>276.06668000000002</v>
      </c>
      <c r="G330">
        <v>221</v>
      </c>
      <c r="H330">
        <v>1.2491705</v>
      </c>
      <c r="I330">
        <v>-0.24917049999999999</v>
      </c>
      <c r="J330">
        <v>0.44460835999999998</v>
      </c>
    </row>
    <row r="331" spans="1:10" x14ac:dyDescent="0.3">
      <c r="A331">
        <v>329</v>
      </c>
      <c r="B331">
        <v>6829</v>
      </c>
      <c r="C331" t="b">
        <v>1</v>
      </c>
      <c r="D331">
        <v>8175</v>
      </c>
      <c r="E331">
        <v>8117</v>
      </c>
      <c r="F331">
        <v>276.86667</v>
      </c>
      <c r="G331">
        <v>221</v>
      </c>
      <c r="H331">
        <v>1.2527903</v>
      </c>
      <c r="I331">
        <v>-0.25279035999999999</v>
      </c>
      <c r="J331">
        <v>0.44389393999999999</v>
      </c>
    </row>
    <row r="332" spans="1:10" x14ac:dyDescent="0.3">
      <c r="A332">
        <v>330</v>
      </c>
      <c r="B332">
        <v>6845</v>
      </c>
      <c r="C332" t="b">
        <v>1</v>
      </c>
      <c r="D332">
        <v>8117</v>
      </c>
      <c r="E332">
        <v>8134</v>
      </c>
      <c r="F332">
        <v>278</v>
      </c>
      <c r="G332">
        <v>221</v>
      </c>
      <c r="H332">
        <v>1.2579186</v>
      </c>
      <c r="I332">
        <v>-0.25791857000000001</v>
      </c>
      <c r="J332">
        <v>0.4428858</v>
      </c>
    </row>
    <row r="333" spans="1:10" x14ac:dyDescent="0.3">
      <c r="A333">
        <v>331</v>
      </c>
      <c r="B333">
        <v>6861</v>
      </c>
      <c r="C333" t="b">
        <v>1</v>
      </c>
      <c r="D333">
        <v>8163</v>
      </c>
      <c r="E333">
        <v>8134</v>
      </c>
      <c r="F333">
        <v>281.06668000000002</v>
      </c>
      <c r="G333">
        <v>221</v>
      </c>
      <c r="H333">
        <v>1.2717949</v>
      </c>
      <c r="I333">
        <v>-0.27179494999999998</v>
      </c>
      <c r="J333">
        <v>0.44018056999999999</v>
      </c>
    </row>
    <row r="334" spans="1:10" x14ac:dyDescent="0.3">
      <c r="A334">
        <v>332</v>
      </c>
      <c r="B334">
        <v>6876</v>
      </c>
      <c r="C334" t="b">
        <v>1</v>
      </c>
      <c r="D334">
        <v>8140</v>
      </c>
      <c r="E334">
        <v>8152</v>
      </c>
      <c r="F334">
        <v>282.60000000000002</v>
      </c>
      <c r="G334">
        <v>221</v>
      </c>
      <c r="H334">
        <v>1.2787329999999999</v>
      </c>
      <c r="I334">
        <v>-0.27873303999999999</v>
      </c>
      <c r="J334">
        <v>0.43884033</v>
      </c>
    </row>
    <row r="335" spans="1:10" x14ac:dyDescent="0.3">
      <c r="A335">
        <v>333</v>
      </c>
      <c r="B335">
        <v>6893</v>
      </c>
      <c r="C335" t="b">
        <v>1</v>
      </c>
      <c r="D335">
        <v>8088</v>
      </c>
      <c r="E335">
        <v>8129</v>
      </c>
      <c r="F335">
        <v>283.73334</v>
      </c>
      <c r="G335">
        <v>220.6</v>
      </c>
      <c r="H335">
        <v>1.2861891999999999</v>
      </c>
      <c r="I335">
        <v>-0.28618916999999999</v>
      </c>
      <c r="J335">
        <v>0.43740912999999998</v>
      </c>
    </row>
    <row r="336" spans="1:10" x14ac:dyDescent="0.3">
      <c r="A336">
        <v>334</v>
      </c>
      <c r="B336">
        <v>6908</v>
      </c>
      <c r="C336" t="b">
        <v>1</v>
      </c>
      <c r="D336">
        <v>8135</v>
      </c>
      <c r="E336">
        <v>8134</v>
      </c>
      <c r="F336">
        <v>284.53332999999998</v>
      </c>
      <c r="G336">
        <v>220.2</v>
      </c>
      <c r="H336">
        <v>1.2921586</v>
      </c>
      <c r="I336">
        <v>-0.29215862999999997</v>
      </c>
      <c r="J336">
        <v>0.43626997000000001</v>
      </c>
    </row>
    <row r="337" spans="1:10" x14ac:dyDescent="0.3">
      <c r="A337">
        <v>335</v>
      </c>
      <c r="B337">
        <v>6924</v>
      </c>
      <c r="C337" t="b">
        <v>1</v>
      </c>
      <c r="D337">
        <v>8077</v>
      </c>
      <c r="E337">
        <v>8134</v>
      </c>
      <c r="F337">
        <v>285.33334000000002</v>
      </c>
      <c r="G337">
        <v>220.2</v>
      </c>
      <c r="H337">
        <v>1.2957917000000001</v>
      </c>
      <c r="I337">
        <v>-0.29579177000000001</v>
      </c>
      <c r="J337">
        <v>0.43557960000000001</v>
      </c>
    </row>
    <row r="338" spans="1:10" x14ac:dyDescent="0.3">
      <c r="A338">
        <v>336</v>
      </c>
      <c r="B338">
        <v>6956</v>
      </c>
      <c r="C338" t="b">
        <v>1</v>
      </c>
      <c r="D338">
        <v>8152</v>
      </c>
      <c r="E338">
        <v>8140</v>
      </c>
      <c r="F338">
        <v>286.13333</v>
      </c>
      <c r="G338">
        <v>219.8</v>
      </c>
      <c r="H338">
        <v>1.3017894999999999</v>
      </c>
      <c r="I338">
        <v>-0.30178949999999999</v>
      </c>
      <c r="J338">
        <v>0.43444458000000002</v>
      </c>
    </row>
    <row r="339" spans="1:10" x14ac:dyDescent="0.3">
      <c r="A339">
        <v>337</v>
      </c>
      <c r="B339">
        <v>6971</v>
      </c>
      <c r="C339" t="b">
        <v>1</v>
      </c>
      <c r="D339">
        <v>8077</v>
      </c>
      <c r="E339">
        <v>8123</v>
      </c>
      <c r="F339">
        <v>284.2</v>
      </c>
      <c r="G339">
        <v>219.4</v>
      </c>
      <c r="H339">
        <v>1.2953509999999999</v>
      </c>
      <c r="I339">
        <v>-0.29535106</v>
      </c>
      <c r="J339">
        <v>0.43566319999999997</v>
      </c>
    </row>
    <row r="340" spans="1:10" x14ac:dyDescent="0.3">
      <c r="A340">
        <v>338</v>
      </c>
      <c r="B340">
        <v>6987</v>
      </c>
      <c r="C340" t="b">
        <v>1</v>
      </c>
      <c r="D340">
        <v>8140</v>
      </c>
      <c r="E340">
        <v>8123</v>
      </c>
      <c r="F340">
        <v>285.39999999999998</v>
      </c>
      <c r="G340">
        <v>219</v>
      </c>
      <c r="H340">
        <v>1.3031963</v>
      </c>
      <c r="I340">
        <v>-0.30319629999999997</v>
      </c>
      <c r="J340">
        <v>0.43417921999999998</v>
      </c>
    </row>
    <row r="341" spans="1:10" x14ac:dyDescent="0.3">
      <c r="A341">
        <v>339</v>
      </c>
      <c r="B341">
        <v>7003</v>
      </c>
      <c r="C341" t="b">
        <v>1</v>
      </c>
      <c r="D341">
        <v>8129</v>
      </c>
      <c r="E341">
        <v>8134</v>
      </c>
      <c r="F341">
        <v>286.2</v>
      </c>
      <c r="G341">
        <v>219</v>
      </c>
      <c r="H341">
        <v>1.3068493999999999</v>
      </c>
      <c r="I341">
        <v>-0.30684936000000002</v>
      </c>
      <c r="J341">
        <v>0.43349167999999999</v>
      </c>
    </row>
    <row r="342" spans="1:10" x14ac:dyDescent="0.3">
      <c r="A342">
        <v>340</v>
      </c>
      <c r="B342">
        <v>7019</v>
      </c>
      <c r="C342" t="b">
        <v>1</v>
      </c>
      <c r="D342">
        <v>8123</v>
      </c>
      <c r="E342">
        <v>8123</v>
      </c>
      <c r="F342">
        <v>287.73334</v>
      </c>
      <c r="G342">
        <v>218.26666</v>
      </c>
      <c r="H342">
        <v>1.3182651999999999</v>
      </c>
      <c r="I342">
        <v>-0.31826516999999999</v>
      </c>
      <c r="J342">
        <v>0.43135702999999997</v>
      </c>
    </row>
    <row r="343" spans="1:10" x14ac:dyDescent="0.3">
      <c r="A343">
        <v>341</v>
      </c>
      <c r="B343">
        <v>7035</v>
      </c>
      <c r="C343" t="b">
        <v>1</v>
      </c>
      <c r="D343">
        <v>8158</v>
      </c>
      <c r="E343">
        <v>8134</v>
      </c>
      <c r="F343">
        <v>289.26666</v>
      </c>
      <c r="G343">
        <v>217.53334000000001</v>
      </c>
      <c r="H343">
        <v>1.3297578000000001</v>
      </c>
      <c r="I343">
        <v>-0.32975784000000002</v>
      </c>
      <c r="J343">
        <v>0.42922916999999999</v>
      </c>
    </row>
    <row r="344" spans="1:10" x14ac:dyDescent="0.3">
      <c r="A344">
        <v>342</v>
      </c>
      <c r="B344">
        <v>7052</v>
      </c>
      <c r="C344" t="b">
        <v>1</v>
      </c>
      <c r="D344">
        <v>8146</v>
      </c>
      <c r="E344">
        <v>8123</v>
      </c>
      <c r="F344">
        <v>290.39999999999998</v>
      </c>
      <c r="G344">
        <v>216.8</v>
      </c>
      <c r="H344">
        <v>1.3394834</v>
      </c>
      <c r="I344">
        <v>-0.33948335000000002</v>
      </c>
      <c r="J344">
        <v>0.42744480000000001</v>
      </c>
    </row>
    <row r="345" spans="1:10" x14ac:dyDescent="0.3">
      <c r="A345">
        <v>343</v>
      </c>
      <c r="B345">
        <v>7083</v>
      </c>
      <c r="C345" t="b">
        <v>1</v>
      </c>
      <c r="D345">
        <v>8088</v>
      </c>
      <c r="E345">
        <v>8140</v>
      </c>
      <c r="F345">
        <v>290.8</v>
      </c>
      <c r="G345">
        <v>216.8</v>
      </c>
      <c r="H345">
        <v>1.3413284000000001</v>
      </c>
      <c r="I345">
        <v>-0.34132835</v>
      </c>
      <c r="J345">
        <v>0.42710799999999999</v>
      </c>
    </row>
    <row r="346" spans="1:10" x14ac:dyDescent="0.3">
      <c r="A346">
        <v>344</v>
      </c>
      <c r="B346">
        <v>7115</v>
      </c>
      <c r="C346" t="b">
        <v>1</v>
      </c>
      <c r="D346">
        <v>8094</v>
      </c>
      <c r="E346">
        <v>8146</v>
      </c>
      <c r="F346">
        <v>290.8</v>
      </c>
      <c r="G346">
        <v>216.8</v>
      </c>
      <c r="H346">
        <v>1.3413284000000001</v>
      </c>
      <c r="I346">
        <v>-0.34132835</v>
      </c>
      <c r="J346">
        <v>0.42710799999999999</v>
      </c>
    </row>
    <row r="347" spans="1:10" x14ac:dyDescent="0.3">
      <c r="A347">
        <v>345</v>
      </c>
      <c r="B347">
        <v>7130</v>
      </c>
      <c r="C347" t="b">
        <v>1</v>
      </c>
      <c r="D347">
        <v>8158</v>
      </c>
      <c r="E347">
        <v>8123</v>
      </c>
      <c r="F347">
        <v>292.33334000000002</v>
      </c>
      <c r="G347">
        <v>216.8</v>
      </c>
      <c r="H347">
        <v>1.3484011</v>
      </c>
      <c r="I347">
        <v>-0.34840100000000002</v>
      </c>
      <c r="J347">
        <v>0.42582163000000001</v>
      </c>
    </row>
    <row r="348" spans="1:10" x14ac:dyDescent="0.3">
      <c r="A348">
        <v>346</v>
      </c>
      <c r="B348">
        <v>7146</v>
      </c>
      <c r="C348" t="b">
        <v>1</v>
      </c>
      <c r="D348">
        <v>8146</v>
      </c>
      <c r="E348">
        <v>8134</v>
      </c>
      <c r="F348">
        <v>292.33334000000002</v>
      </c>
      <c r="G348">
        <v>216.8</v>
      </c>
      <c r="H348">
        <v>1.3484011</v>
      </c>
      <c r="I348">
        <v>-0.34840100000000002</v>
      </c>
      <c r="J348">
        <v>0.42582163000000001</v>
      </c>
    </row>
    <row r="349" spans="1:10" x14ac:dyDescent="0.3">
      <c r="A349">
        <v>347</v>
      </c>
      <c r="B349">
        <v>7162</v>
      </c>
      <c r="C349" t="b">
        <v>1</v>
      </c>
      <c r="D349">
        <v>8163</v>
      </c>
      <c r="E349">
        <v>8134</v>
      </c>
      <c r="F349">
        <v>292.33334000000002</v>
      </c>
      <c r="G349">
        <v>216.8</v>
      </c>
      <c r="H349">
        <v>1.3484011</v>
      </c>
      <c r="I349">
        <v>-0.34840100000000002</v>
      </c>
      <c r="J349">
        <v>0.42582163000000001</v>
      </c>
    </row>
    <row r="350" spans="1:10" x14ac:dyDescent="0.3">
      <c r="A350">
        <v>348</v>
      </c>
      <c r="B350">
        <v>7194</v>
      </c>
      <c r="C350" t="b">
        <v>1</v>
      </c>
      <c r="D350">
        <v>8152</v>
      </c>
      <c r="E350">
        <v>8129</v>
      </c>
      <c r="F350">
        <v>293.13333</v>
      </c>
      <c r="G350">
        <v>216.8</v>
      </c>
      <c r="H350">
        <v>1.3520909999999999</v>
      </c>
      <c r="I350">
        <v>-0.35209098</v>
      </c>
      <c r="J350">
        <v>0.42515360000000002</v>
      </c>
    </row>
    <row r="351" spans="1:10" x14ac:dyDescent="0.3">
      <c r="A351">
        <v>349</v>
      </c>
      <c r="B351">
        <v>7210</v>
      </c>
      <c r="C351" t="b">
        <v>1</v>
      </c>
      <c r="D351">
        <v>8175</v>
      </c>
      <c r="E351">
        <v>8134</v>
      </c>
      <c r="F351">
        <v>294.66665999999998</v>
      </c>
      <c r="G351">
        <v>216.8</v>
      </c>
      <c r="H351">
        <v>1.3591635</v>
      </c>
      <c r="I351">
        <v>-0.35916352000000001</v>
      </c>
      <c r="J351">
        <v>0.42387902999999999</v>
      </c>
    </row>
    <row r="352" spans="1:10" x14ac:dyDescent="0.3">
      <c r="A352">
        <v>350</v>
      </c>
      <c r="B352">
        <v>7226</v>
      </c>
      <c r="C352" t="b">
        <v>1</v>
      </c>
      <c r="D352">
        <v>8146</v>
      </c>
      <c r="E352">
        <v>8129</v>
      </c>
      <c r="F352">
        <v>295.8</v>
      </c>
      <c r="G352">
        <v>216.8</v>
      </c>
      <c r="H352">
        <v>1.3643911</v>
      </c>
      <c r="I352">
        <v>-0.36439105999999999</v>
      </c>
      <c r="J352">
        <v>0.42294189999999998</v>
      </c>
    </row>
    <row r="353" spans="1:10" x14ac:dyDescent="0.3">
      <c r="A353">
        <v>351</v>
      </c>
      <c r="B353">
        <v>7258</v>
      </c>
      <c r="C353" t="b">
        <v>1</v>
      </c>
      <c r="D353">
        <v>8129</v>
      </c>
      <c r="E353">
        <v>8140</v>
      </c>
      <c r="F353">
        <v>296.93331999999998</v>
      </c>
      <c r="G353">
        <v>216.8</v>
      </c>
      <c r="H353">
        <v>1.3696187</v>
      </c>
      <c r="I353">
        <v>-0.36961862000000001</v>
      </c>
      <c r="J353">
        <v>0.42200880000000002</v>
      </c>
    </row>
    <row r="354" spans="1:10" x14ac:dyDescent="0.3">
      <c r="A354">
        <v>352</v>
      </c>
      <c r="B354">
        <v>7289</v>
      </c>
      <c r="C354" t="b">
        <v>1</v>
      </c>
      <c r="D354">
        <v>8106</v>
      </c>
      <c r="E354">
        <v>8134</v>
      </c>
      <c r="F354">
        <v>300.8</v>
      </c>
      <c r="G354">
        <v>216.8</v>
      </c>
      <c r="H354">
        <v>1.3874538000000001</v>
      </c>
      <c r="I354">
        <v>-0.38745380000000001</v>
      </c>
      <c r="J354">
        <v>0.41885630000000001</v>
      </c>
    </row>
    <row r="355" spans="1:10" x14ac:dyDescent="0.3">
      <c r="A355">
        <v>353</v>
      </c>
      <c r="B355">
        <v>7305</v>
      </c>
      <c r="C355" t="b">
        <v>1</v>
      </c>
      <c r="D355">
        <v>8146</v>
      </c>
      <c r="E355">
        <v>8134</v>
      </c>
      <c r="F355">
        <v>301.53332999999998</v>
      </c>
      <c r="G355">
        <v>216.8</v>
      </c>
      <c r="H355">
        <v>1.3908364</v>
      </c>
      <c r="I355">
        <v>-0.39083635999999999</v>
      </c>
      <c r="J355">
        <v>0.41826366999999998</v>
      </c>
    </row>
    <row r="356" spans="1:10" x14ac:dyDescent="0.3">
      <c r="A356">
        <v>354</v>
      </c>
      <c r="B356">
        <v>7321</v>
      </c>
      <c r="C356" t="b">
        <v>1</v>
      </c>
      <c r="D356">
        <v>8106</v>
      </c>
      <c r="E356">
        <v>8152</v>
      </c>
      <c r="F356">
        <v>301.53332999999998</v>
      </c>
      <c r="G356">
        <v>216.8</v>
      </c>
      <c r="H356">
        <v>1.3908364</v>
      </c>
      <c r="I356">
        <v>-0.39083635999999999</v>
      </c>
      <c r="J356">
        <v>0.41826366999999998</v>
      </c>
    </row>
    <row r="357" spans="1:10" x14ac:dyDescent="0.3">
      <c r="A357">
        <v>355</v>
      </c>
      <c r="B357">
        <v>7352</v>
      </c>
      <c r="C357" t="b">
        <v>1</v>
      </c>
      <c r="D357">
        <v>8123</v>
      </c>
      <c r="E357">
        <v>8146</v>
      </c>
      <c r="F357">
        <v>301.13333</v>
      </c>
      <c r="G357">
        <v>217.93333000000001</v>
      </c>
      <c r="H357">
        <v>1.3817680999999999</v>
      </c>
      <c r="I357">
        <v>-0.3817681</v>
      </c>
      <c r="J357">
        <v>0.41985615999999998</v>
      </c>
    </row>
    <row r="358" spans="1:10" x14ac:dyDescent="0.3">
      <c r="A358">
        <v>356</v>
      </c>
      <c r="B358">
        <v>7368</v>
      </c>
      <c r="C358" t="b">
        <v>1</v>
      </c>
      <c r="D358">
        <v>8135</v>
      </c>
      <c r="E358">
        <v>8134</v>
      </c>
      <c r="F358">
        <v>300.73334</v>
      </c>
      <c r="G358">
        <v>218.66667000000001</v>
      </c>
      <c r="H358">
        <v>1.3753048000000001</v>
      </c>
      <c r="I358">
        <v>-0.37530488000000001</v>
      </c>
      <c r="J358">
        <v>0.42099857000000002</v>
      </c>
    </row>
    <row r="359" spans="1:10" x14ac:dyDescent="0.3">
      <c r="A359">
        <v>357</v>
      </c>
      <c r="B359">
        <v>7400</v>
      </c>
      <c r="C359" t="b">
        <v>1</v>
      </c>
      <c r="D359">
        <v>8152</v>
      </c>
      <c r="E359">
        <v>8111</v>
      </c>
      <c r="F359">
        <v>300.39999999999998</v>
      </c>
      <c r="G359">
        <v>219.4</v>
      </c>
      <c r="H359">
        <v>1.3691887</v>
      </c>
      <c r="I359">
        <v>-0.36918869999999998</v>
      </c>
      <c r="J359">
        <v>0.4220854</v>
      </c>
    </row>
    <row r="360" spans="1:10" x14ac:dyDescent="0.3">
      <c r="A360">
        <v>358</v>
      </c>
      <c r="B360">
        <v>7416</v>
      </c>
      <c r="C360" t="b">
        <v>1</v>
      </c>
      <c r="D360">
        <v>8117</v>
      </c>
      <c r="E360">
        <v>8111</v>
      </c>
      <c r="F360">
        <v>300</v>
      </c>
      <c r="G360">
        <v>219.4</v>
      </c>
      <c r="H360">
        <v>1.3673656000000001</v>
      </c>
      <c r="I360">
        <v>-0.36736556999999997</v>
      </c>
      <c r="J360">
        <v>0.42241043</v>
      </c>
    </row>
    <row r="361" spans="1:10" x14ac:dyDescent="0.3">
      <c r="A361">
        <v>359</v>
      </c>
      <c r="B361">
        <v>7432</v>
      </c>
      <c r="C361" t="b">
        <v>1</v>
      </c>
      <c r="D361">
        <v>8083</v>
      </c>
      <c r="E361">
        <v>8152</v>
      </c>
      <c r="F361">
        <v>300</v>
      </c>
      <c r="G361">
        <v>219.4</v>
      </c>
      <c r="H361">
        <v>1.3673656000000001</v>
      </c>
      <c r="I361">
        <v>-0.36736556999999997</v>
      </c>
      <c r="J361">
        <v>0.42241043</v>
      </c>
    </row>
    <row r="362" spans="1:10" x14ac:dyDescent="0.3">
      <c r="A362">
        <v>360</v>
      </c>
      <c r="B362">
        <v>7448</v>
      </c>
      <c r="C362" t="b">
        <v>1</v>
      </c>
      <c r="D362">
        <v>8146</v>
      </c>
      <c r="E362">
        <v>8117</v>
      </c>
      <c r="F362">
        <v>299.26666</v>
      </c>
      <c r="G362">
        <v>218.26666</v>
      </c>
      <c r="H362">
        <v>1.3711057</v>
      </c>
      <c r="I362">
        <v>-0.37110569999999998</v>
      </c>
      <c r="J362">
        <v>0.42174416999999997</v>
      </c>
    </row>
    <row r="363" spans="1:10" x14ac:dyDescent="0.3">
      <c r="A363">
        <v>361</v>
      </c>
      <c r="B363">
        <v>7480</v>
      </c>
      <c r="C363" t="b">
        <v>1</v>
      </c>
      <c r="D363">
        <v>8152</v>
      </c>
      <c r="E363">
        <v>8134</v>
      </c>
      <c r="F363">
        <v>299.26666</v>
      </c>
      <c r="G363">
        <v>217.13333</v>
      </c>
      <c r="H363">
        <v>1.3782622</v>
      </c>
      <c r="I363">
        <v>-0.37826219999999999</v>
      </c>
      <c r="J363">
        <v>0.42047507000000001</v>
      </c>
    </row>
    <row r="364" spans="1:10" x14ac:dyDescent="0.3">
      <c r="A364">
        <v>362</v>
      </c>
      <c r="B364">
        <v>7511</v>
      </c>
      <c r="C364" t="b">
        <v>1</v>
      </c>
      <c r="D364">
        <v>8106</v>
      </c>
      <c r="E364">
        <v>8134</v>
      </c>
      <c r="F364">
        <v>297.33334000000002</v>
      </c>
      <c r="G364">
        <v>217.13333</v>
      </c>
      <c r="H364">
        <v>1.3693584000000001</v>
      </c>
      <c r="I364">
        <v>-0.36935836</v>
      </c>
      <c r="J364">
        <v>0.42205517999999997</v>
      </c>
    </row>
    <row r="365" spans="1:10" x14ac:dyDescent="0.3">
      <c r="A365">
        <v>363</v>
      </c>
      <c r="B365">
        <v>7527</v>
      </c>
      <c r="C365" t="b">
        <v>1</v>
      </c>
      <c r="D365">
        <v>8140</v>
      </c>
      <c r="E365">
        <v>8129</v>
      </c>
      <c r="F365">
        <v>296.53332999999998</v>
      </c>
      <c r="G365">
        <v>217.13333</v>
      </c>
      <c r="H365">
        <v>1.3656739</v>
      </c>
      <c r="I365">
        <v>-0.3656739</v>
      </c>
      <c r="J365">
        <v>0.42271256000000001</v>
      </c>
    </row>
    <row r="366" spans="1:10" x14ac:dyDescent="0.3">
      <c r="A366">
        <v>364</v>
      </c>
      <c r="B366">
        <v>7543</v>
      </c>
      <c r="C366" t="b">
        <v>1</v>
      </c>
      <c r="D366">
        <v>8163</v>
      </c>
      <c r="E366">
        <v>8134</v>
      </c>
      <c r="F366">
        <v>295.73334</v>
      </c>
      <c r="G366">
        <v>217.13333</v>
      </c>
      <c r="H366">
        <v>1.3619896</v>
      </c>
      <c r="I366">
        <v>-0.36198960000000002</v>
      </c>
      <c r="J366">
        <v>0.42337184999999999</v>
      </c>
    </row>
    <row r="367" spans="1:10" x14ac:dyDescent="0.3">
      <c r="A367">
        <v>365</v>
      </c>
      <c r="B367">
        <v>7559</v>
      </c>
      <c r="C367" t="b">
        <v>1</v>
      </c>
      <c r="D367">
        <v>8140</v>
      </c>
      <c r="E367">
        <v>8123</v>
      </c>
      <c r="F367">
        <v>294.93331999999998</v>
      </c>
      <c r="G367">
        <v>217.13333</v>
      </c>
      <c r="H367">
        <v>1.3583050999999999</v>
      </c>
      <c r="I367">
        <v>-0.35830513000000003</v>
      </c>
      <c r="J367">
        <v>0.42403333999999998</v>
      </c>
    </row>
    <row r="368" spans="1:10" x14ac:dyDescent="0.3">
      <c r="A368">
        <v>366</v>
      </c>
      <c r="B368">
        <v>7590</v>
      </c>
      <c r="C368" t="b">
        <v>1</v>
      </c>
      <c r="D368">
        <v>8169</v>
      </c>
      <c r="E368">
        <v>8164</v>
      </c>
      <c r="F368">
        <v>294.13333</v>
      </c>
      <c r="G368">
        <v>217.13333</v>
      </c>
      <c r="H368">
        <v>1.3546208</v>
      </c>
      <c r="I368">
        <v>-0.35462080000000001</v>
      </c>
      <c r="J368">
        <v>0.42469683000000003</v>
      </c>
    </row>
    <row r="369" spans="1:10" x14ac:dyDescent="0.3">
      <c r="A369">
        <v>367</v>
      </c>
      <c r="B369">
        <v>7606</v>
      </c>
      <c r="C369" t="b">
        <v>1</v>
      </c>
      <c r="D369">
        <v>8140</v>
      </c>
      <c r="E369">
        <v>8158</v>
      </c>
      <c r="F369">
        <v>293.73334</v>
      </c>
      <c r="G369">
        <v>217.13333</v>
      </c>
      <c r="H369">
        <v>1.3527787</v>
      </c>
      <c r="I369">
        <v>-0.35277867000000002</v>
      </c>
      <c r="J369">
        <v>0.42502937000000002</v>
      </c>
    </row>
    <row r="370" spans="1:10" x14ac:dyDescent="0.3">
      <c r="A370">
        <v>368</v>
      </c>
      <c r="B370">
        <v>7622</v>
      </c>
      <c r="C370" t="b">
        <v>1</v>
      </c>
      <c r="D370">
        <v>8146</v>
      </c>
      <c r="E370">
        <v>8129</v>
      </c>
      <c r="F370">
        <v>293.73334</v>
      </c>
      <c r="G370">
        <v>217.13333</v>
      </c>
      <c r="H370">
        <v>1.3527787</v>
      </c>
      <c r="I370">
        <v>-0.35277867000000002</v>
      </c>
      <c r="J370">
        <v>0.42502937000000002</v>
      </c>
    </row>
    <row r="371" spans="1:10" x14ac:dyDescent="0.3">
      <c r="A371">
        <v>369</v>
      </c>
      <c r="B371">
        <v>7638</v>
      </c>
      <c r="C371" t="b">
        <v>1</v>
      </c>
      <c r="D371">
        <v>8140</v>
      </c>
      <c r="E371">
        <v>8129</v>
      </c>
      <c r="F371">
        <v>294.46667000000002</v>
      </c>
      <c r="G371">
        <v>216.8</v>
      </c>
      <c r="H371">
        <v>1.3582411000000001</v>
      </c>
      <c r="I371">
        <v>-0.35824109999999998</v>
      </c>
      <c r="J371">
        <v>0.42404488000000001</v>
      </c>
    </row>
    <row r="372" spans="1:10" x14ac:dyDescent="0.3">
      <c r="A372">
        <v>370</v>
      </c>
      <c r="B372">
        <v>7654</v>
      </c>
      <c r="C372" t="b">
        <v>1</v>
      </c>
      <c r="D372">
        <v>8117</v>
      </c>
      <c r="E372">
        <v>8170</v>
      </c>
      <c r="F372">
        <v>295.60000000000002</v>
      </c>
      <c r="G372">
        <v>218</v>
      </c>
      <c r="H372">
        <v>1.3559633</v>
      </c>
      <c r="I372">
        <v>-0.35596332000000003</v>
      </c>
      <c r="J372">
        <v>0.42445484</v>
      </c>
    </row>
    <row r="373" spans="1:10" x14ac:dyDescent="0.3">
      <c r="A373">
        <v>371</v>
      </c>
      <c r="B373">
        <v>7670</v>
      </c>
      <c r="C373" t="b">
        <v>1</v>
      </c>
      <c r="D373">
        <v>8152</v>
      </c>
      <c r="E373">
        <v>8111</v>
      </c>
      <c r="F373">
        <v>296.73334</v>
      </c>
      <c r="G373">
        <v>217.66667000000001</v>
      </c>
      <c r="H373">
        <v>1.3632466000000001</v>
      </c>
      <c r="I373">
        <v>-0.36324653000000001</v>
      </c>
      <c r="J373">
        <v>0.42314669999999999</v>
      </c>
    </row>
    <row r="374" spans="1:10" x14ac:dyDescent="0.3">
      <c r="A374">
        <v>372</v>
      </c>
      <c r="B374">
        <v>7685</v>
      </c>
      <c r="C374" t="b">
        <v>1</v>
      </c>
      <c r="D374">
        <v>8152</v>
      </c>
      <c r="E374">
        <v>8129</v>
      </c>
      <c r="F374">
        <v>297.46667000000002</v>
      </c>
      <c r="G374">
        <v>217.33332999999999</v>
      </c>
      <c r="H374">
        <v>1.3687117</v>
      </c>
      <c r="I374">
        <v>-0.36871174000000001</v>
      </c>
      <c r="J374">
        <v>0.42217042999999999</v>
      </c>
    </row>
    <row r="375" spans="1:10" x14ac:dyDescent="0.3">
      <c r="A375">
        <v>373</v>
      </c>
      <c r="B375">
        <v>7701</v>
      </c>
      <c r="C375" t="b">
        <v>1</v>
      </c>
      <c r="D375">
        <v>8129</v>
      </c>
      <c r="E375">
        <v>8123</v>
      </c>
      <c r="F375">
        <v>298.60000000000002</v>
      </c>
      <c r="G375">
        <v>217</v>
      </c>
      <c r="H375">
        <v>1.3760368999999999</v>
      </c>
      <c r="I375">
        <v>-0.37603688000000002</v>
      </c>
      <c r="J375">
        <v>0.42086889999999999</v>
      </c>
    </row>
    <row r="376" spans="1:10" x14ac:dyDescent="0.3">
      <c r="A376">
        <v>374</v>
      </c>
      <c r="B376">
        <v>7733</v>
      </c>
      <c r="C376" t="b">
        <v>1</v>
      </c>
      <c r="D376">
        <v>8106</v>
      </c>
      <c r="E376">
        <v>8152</v>
      </c>
      <c r="F376">
        <v>299</v>
      </c>
      <c r="G376">
        <v>216.66667000000001</v>
      </c>
      <c r="H376">
        <v>1.38</v>
      </c>
      <c r="I376">
        <v>-0.37999997000000002</v>
      </c>
      <c r="J376">
        <v>0.42016807</v>
      </c>
    </row>
    <row r="377" spans="1:10" x14ac:dyDescent="0.3">
      <c r="A377">
        <v>375</v>
      </c>
      <c r="B377">
        <v>7765</v>
      </c>
      <c r="C377" t="b">
        <v>1</v>
      </c>
      <c r="D377">
        <v>8129</v>
      </c>
      <c r="E377">
        <v>8146</v>
      </c>
      <c r="F377">
        <v>298.60000000000002</v>
      </c>
      <c r="G377">
        <v>217.46665999999999</v>
      </c>
      <c r="H377">
        <v>1.3730841</v>
      </c>
      <c r="I377">
        <v>-0.37308406999999999</v>
      </c>
      <c r="J377">
        <v>0.42139260000000001</v>
      </c>
    </row>
    <row r="378" spans="1:10" x14ac:dyDescent="0.3">
      <c r="A378">
        <v>376</v>
      </c>
      <c r="B378">
        <v>7796</v>
      </c>
      <c r="C378" t="b">
        <v>1</v>
      </c>
      <c r="D378">
        <v>8117</v>
      </c>
      <c r="E378">
        <v>8134</v>
      </c>
      <c r="F378">
        <v>297.46667000000002</v>
      </c>
      <c r="G378">
        <v>218.6</v>
      </c>
      <c r="H378">
        <v>1.3607807000000001</v>
      </c>
      <c r="I378">
        <v>-0.36078072</v>
      </c>
      <c r="J378">
        <v>0.42358871999999997</v>
      </c>
    </row>
    <row r="379" spans="1:10" x14ac:dyDescent="0.3">
      <c r="A379">
        <v>377</v>
      </c>
      <c r="B379">
        <v>7812</v>
      </c>
      <c r="C379" t="b">
        <v>1</v>
      </c>
      <c r="D379">
        <v>8088</v>
      </c>
      <c r="E379">
        <v>8158</v>
      </c>
      <c r="F379">
        <v>297.46667000000002</v>
      </c>
      <c r="G379">
        <v>219.4</v>
      </c>
      <c r="H379">
        <v>1.3558190000000001</v>
      </c>
      <c r="I379">
        <v>-0.355819</v>
      </c>
      <c r="J379">
        <v>0.42448079999999999</v>
      </c>
    </row>
    <row r="380" spans="1:10" x14ac:dyDescent="0.3">
      <c r="A380">
        <v>378</v>
      </c>
      <c r="B380">
        <v>7828</v>
      </c>
      <c r="C380" t="b">
        <v>1</v>
      </c>
      <c r="D380">
        <v>8123</v>
      </c>
      <c r="E380">
        <v>8158</v>
      </c>
      <c r="F380">
        <v>295.93331999999998</v>
      </c>
      <c r="G380">
        <v>220.6</v>
      </c>
      <c r="H380">
        <v>1.3414927999999999</v>
      </c>
      <c r="I380">
        <v>-0.34149279999999999</v>
      </c>
      <c r="J380">
        <v>0.42707798000000002</v>
      </c>
    </row>
    <row r="381" spans="1:10" x14ac:dyDescent="0.3">
      <c r="A381">
        <v>379</v>
      </c>
      <c r="B381">
        <v>7844</v>
      </c>
      <c r="C381" t="b">
        <v>1</v>
      </c>
      <c r="D381">
        <v>8117</v>
      </c>
      <c r="E381">
        <v>8129</v>
      </c>
      <c r="F381">
        <v>294</v>
      </c>
      <c r="G381">
        <v>221.4</v>
      </c>
      <c r="H381">
        <v>1.3279133000000001</v>
      </c>
      <c r="I381">
        <v>-0.32791330000000002</v>
      </c>
      <c r="J381">
        <v>0.42956924000000002</v>
      </c>
    </row>
    <row r="382" spans="1:10" x14ac:dyDescent="0.3">
      <c r="A382">
        <v>380</v>
      </c>
      <c r="B382">
        <v>7859</v>
      </c>
      <c r="C382" t="b">
        <v>1</v>
      </c>
      <c r="D382">
        <v>8123</v>
      </c>
      <c r="E382">
        <v>8123</v>
      </c>
      <c r="F382">
        <v>292.46667000000002</v>
      </c>
      <c r="G382">
        <v>221.4</v>
      </c>
      <c r="H382">
        <v>1.3209877000000001</v>
      </c>
      <c r="I382">
        <v>-0.32098773000000003</v>
      </c>
      <c r="J382">
        <v>0.43085099999999998</v>
      </c>
    </row>
    <row r="383" spans="1:10" x14ac:dyDescent="0.3">
      <c r="A383">
        <v>381</v>
      </c>
      <c r="B383">
        <v>7875</v>
      </c>
      <c r="C383" t="b">
        <v>1</v>
      </c>
      <c r="D383">
        <v>8169</v>
      </c>
      <c r="E383">
        <v>8129</v>
      </c>
      <c r="F383">
        <v>291.33334000000002</v>
      </c>
      <c r="G383">
        <v>221.06666999999999</v>
      </c>
      <c r="H383">
        <v>1.3178529000000001</v>
      </c>
      <c r="I383">
        <v>-0.31785288</v>
      </c>
      <c r="J383">
        <v>0.43143376999999999</v>
      </c>
    </row>
    <row r="384" spans="1:10" x14ac:dyDescent="0.3">
      <c r="A384">
        <v>382</v>
      </c>
      <c r="B384">
        <v>7891</v>
      </c>
      <c r="C384" t="b">
        <v>1</v>
      </c>
      <c r="D384">
        <v>8100</v>
      </c>
      <c r="E384">
        <v>8129</v>
      </c>
      <c r="F384">
        <v>290.2</v>
      </c>
      <c r="G384">
        <v>220.73334</v>
      </c>
      <c r="H384">
        <v>1.3147085999999999</v>
      </c>
      <c r="I384">
        <v>-0.31470860000000001</v>
      </c>
      <c r="J384">
        <v>0.43201982999999999</v>
      </c>
    </row>
    <row r="385" spans="1:10" x14ac:dyDescent="0.3">
      <c r="A385">
        <v>383</v>
      </c>
      <c r="B385">
        <v>7907</v>
      </c>
      <c r="C385" t="b">
        <v>1</v>
      </c>
      <c r="D385">
        <v>8111</v>
      </c>
      <c r="E385">
        <v>8134</v>
      </c>
      <c r="F385">
        <v>288.26666</v>
      </c>
      <c r="G385">
        <v>220.4</v>
      </c>
      <c r="H385">
        <v>1.307925</v>
      </c>
      <c r="I385">
        <v>-0.30792501999999999</v>
      </c>
      <c r="J385">
        <v>0.43328965000000003</v>
      </c>
    </row>
    <row r="386" spans="1:10" x14ac:dyDescent="0.3">
      <c r="A386">
        <v>384</v>
      </c>
      <c r="B386">
        <v>7923</v>
      </c>
      <c r="C386" t="b">
        <v>1</v>
      </c>
      <c r="D386">
        <v>8111</v>
      </c>
      <c r="E386">
        <v>8099</v>
      </c>
      <c r="F386">
        <v>286.33334000000002</v>
      </c>
      <c r="G386">
        <v>220.4</v>
      </c>
      <c r="H386">
        <v>1.2991531000000001</v>
      </c>
      <c r="I386">
        <v>-0.29915314999999998</v>
      </c>
      <c r="J386">
        <v>0.43494274999999999</v>
      </c>
    </row>
    <row r="387" spans="1:10" x14ac:dyDescent="0.3">
      <c r="A387">
        <v>385</v>
      </c>
      <c r="B387">
        <v>7939</v>
      </c>
      <c r="C387" t="b">
        <v>1</v>
      </c>
      <c r="D387">
        <v>8094</v>
      </c>
      <c r="E387">
        <v>8152</v>
      </c>
      <c r="F387">
        <v>284.39999999999998</v>
      </c>
      <c r="G387">
        <v>218.46665999999999</v>
      </c>
      <c r="H387">
        <v>1.3018004999999999</v>
      </c>
      <c r="I387">
        <v>-0.30180043000000001</v>
      </c>
      <c r="J387">
        <v>0.43444254999999998</v>
      </c>
    </row>
    <row r="388" spans="1:10" x14ac:dyDescent="0.3">
      <c r="A388">
        <v>386</v>
      </c>
      <c r="B388">
        <v>7955</v>
      </c>
      <c r="C388" t="b">
        <v>1</v>
      </c>
      <c r="D388">
        <v>8111</v>
      </c>
      <c r="E388">
        <v>8140</v>
      </c>
      <c r="F388">
        <v>282.46667000000002</v>
      </c>
      <c r="G388">
        <v>218.8</v>
      </c>
      <c r="H388">
        <v>1.2909812000000001</v>
      </c>
      <c r="I388">
        <v>-0.29098109999999999</v>
      </c>
      <c r="J388">
        <v>0.43649422999999998</v>
      </c>
    </row>
    <row r="389" spans="1:10" x14ac:dyDescent="0.3">
      <c r="A389">
        <v>387</v>
      </c>
      <c r="B389">
        <v>7986</v>
      </c>
      <c r="C389" t="b">
        <v>1</v>
      </c>
      <c r="D389">
        <v>8100</v>
      </c>
      <c r="E389">
        <v>8111</v>
      </c>
      <c r="F389">
        <v>280.13333</v>
      </c>
      <c r="G389">
        <v>219.13333</v>
      </c>
      <c r="H389">
        <v>1.2783693</v>
      </c>
      <c r="I389">
        <v>-0.27836934000000002</v>
      </c>
      <c r="J389">
        <v>0.43891039999999998</v>
      </c>
    </row>
    <row r="390" spans="1:10" x14ac:dyDescent="0.3">
      <c r="A390">
        <v>388</v>
      </c>
      <c r="B390">
        <v>8017</v>
      </c>
      <c r="C390" t="b">
        <v>1</v>
      </c>
      <c r="D390">
        <v>8106</v>
      </c>
      <c r="E390">
        <v>8093</v>
      </c>
      <c r="F390">
        <v>277.86667</v>
      </c>
      <c r="G390">
        <v>217.93333000000001</v>
      </c>
      <c r="H390">
        <v>1.2750075999999999</v>
      </c>
      <c r="I390">
        <v>-0.27500766999999998</v>
      </c>
      <c r="J390">
        <v>0.43955897999999999</v>
      </c>
    </row>
    <row r="391" spans="1:10" x14ac:dyDescent="0.3">
      <c r="A391">
        <v>389</v>
      </c>
      <c r="B391">
        <v>8033</v>
      </c>
      <c r="C391" t="b">
        <v>1</v>
      </c>
      <c r="D391">
        <v>8094</v>
      </c>
      <c r="E391">
        <v>8105</v>
      </c>
      <c r="F391">
        <v>275.93331999999998</v>
      </c>
      <c r="G391">
        <v>216.73334</v>
      </c>
      <c r="H391">
        <v>1.2731466</v>
      </c>
      <c r="I391">
        <v>-0.27314663</v>
      </c>
      <c r="J391">
        <v>0.43991881999999999</v>
      </c>
    </row>
    <row r="392" spans="1:10" x14ac:dyDescent="0.3">
      <c r="A392">
        <v>390</v>
      </c>
      <c r="B392">
        <v>8049</v>
      </c>
      <c r="C392" t="b">
        <v>1</v>
      </c>
      <c r="D392">
        <v>8106</v>
      </c>
      <c r="E392">
        <v>8117</v>
      </c>
      <c r="F392">
        <v>274.39999999999998</v>
      </c>
      <c r="G392">
        <v>215.53334000000001</v>
      </c>
      <c r="H392">
        <v>1.2731209000000001</v>
      </c>
      <c r="I392">
        <v>-0.27312088000000001</v>
      </c>
      <c r="J392">
        <v>0.43992379999999998</v>
      </c>
    </row>
    <row r="393" spans="1:10" x14ac:dyDescent="0.3">
      <c r="A393">
        <v>391</v>
      </c>
      <c r="B393">
        <v>8081</v>
      </c>
      <c r="C393" t="b">
        <v>1</v>
      </c>
      <c r="D393">
        <v>8106</v>
      </c>
      <c r="E393">
        <v>8140</v>
      </c>
      <c r="F393">
        <v>272.86667</v>
      </c>
      <c r="G393">
        <v>214</v>
      </c>
      <c r="H393">
        <v>1.2750779000000001</v>
      </c>
      <c r="I393">
        <v>-0.27507788</v>
      </c>
      <c r="J393">
        <v>0.43954539999999998</v>
      </c>
    </row>
    <row r="394" spans="1:10" x14ac:dyDescent="0.3">
      <c r="A394">
        <v>392</v>
      </c>
      <c r="B394">
        <v>8113</v>
      </c>
      <c r="C394" t="b">
        <v>1</v>
      </c>
      <c r="D394">
        <v>8146</v>
      </c>
      <c r="E394">
        <v>8111</v>
      </c>
      <c r="F394">
        <v>272.13333</v>
      </c>
      <c r="G394">
        <v>211.66667000000001</v>
      </c>
      <c r="H394">
        <v>1.2856692000000001</v>
      </c>
      <c r="I394">
        <v>-0.28566923999999999</v>
      </c>
      <c r="J394">
        <v>0.43750864</v>
      </c>
    </row>
    <row r="395" spans="1:10" x14ac:dyDescent="0.3">
      <c r="A395">
        <v>393</v>
      </c>
      <c r="B395">
        <v>8129</v>
      </c>
      <c r="C395" t="b">
        <v>1</v>
      </c>
      <c r="D395">
        <v>8135</v>
      </c>
      <c r="E395">
        <v>8129</v>
      </c>
      <c r="F395">
        <v>271.39999999999998</v>
      </c>
      <c r="G395">
        <v>209.33332999999999</v>
      </c>
      <c r="H395">
        <v>1.2964969</v>
      </c>
      <c r="I395">
        <v>-0.2964968</v>
      </c>
      <c r="J395">
        <v>0.43544585000000002</v>
      </c>
    </row>
    <row r="396" spans="1:10" x14ac:dyDescent="0.3">
      <c r="A396">
        <v>394</v>
      </c>
      <c r="B396">
        <v>8145</v>
      </c>
      <c r="C396" t="b">
        <v>1</v>
      </c>
      <c r="D396">
        <v>8152</v>
      </c>
      <c r="E396">
        <v>8140</v>
      </c>
      <c r="F396">
        <v>272.60000000000002</v>
      </c>
      <c r="G396">
        <v>208.2</v>
      </c>
      <c r="H396">
        <v>1.3093181</v>
      </c>
      <c r="I396">
        <v>-0.30931799999999998</v>
      </c>
      <c r="J396">
        <v>0.43302827999999999</v>
      </c>
    </row>
    <row r="397" spans="1:10" x14ac:dyDescent="0.3">
      <c r="A397">
        <v>395</v>
      </c>
      <c r="B397">
        <v>8161</v>
      </c>
      <c r="C397" t="b">
        <v>1</v>
      </c>
      <c r="D397">
        <v>8088</v>
      </c>
      <c r="E397">
        <v>8140</v>
      </c>
      <c r="F397">
        <v>273.8</v>
      </c>
      <c r="G397">
        <v>208.6</v>
      </c>
      <c r="H397">
        <v>1.3125598000000001</v>
      </c>
      <c r="I397">
        <v>-0.3125598</v>
      </c>
      <c r="J397">
        <v>0.43242123999999998</v>
      </c>
    </row>
    <row r="398" spans="1:10" x14ac:dyDescent="0.3">
      <c r="A398">
        <v>396</v>
      </c>
      <c r="B398">
        <v>8177</v>
      </c>
      <c r="C398" t="b">
        <v>1</v>
      </c>
      <c r="D398">
        <v>8071</v>
      </c>
      <c r="E398">
        <v>8134</v>
      </c>
      <c r="F398">
        <v>274.60000000000002</v>
      </c>
      <c r="G398">
        <v>208.93333000000001</v>
      </c>
      <c r="H398">
        <v>1.3142948000000001</v>
      </c>
      <c r="I398">
        <v>-0.31429484000000002</v>
      </c>
      <c r="J398">
        <v>0.43209708000000002</v>
      </c>
    </row>
    <row r="399" spans="1:10" x14ac:dyDescent="0.3">
      <c r="A399">
        <v>397</v>
      </c>
      <c r="B399">
        <v>8208</v>
      </c>
      <c r="C399" t="b">
        <v>1</v>
      </c>
      <c r="D399">
        <v>8181</v>
      </c>
      <c r="E399">
        <v>8134</v>
      </c>
      <c r="F399">
        <v>275.39999999999998</v>
      </c>
      <c r="G399">
        <v>209.26666</v>
      </c>
      <c r="H399">
        <v>1.3160242</v>
      </c>
      <c r="I399">
        <v>-0.31602419999999998</v>
      </c>
      <c r="J399">
        <v>0.4317744</v>
      </c>
    </row>
    <row r="400" spans="1:10" x14ac:dyDescent="0.3">
      <c r="A400">
        <v>398</v>
      </c>
      <c r="B400">
        <v>8224</v>
      </c>
      <c r="C400" t="b">
        <v>1</v>
      </c>
      <c r="D400">
        <v>8111</v>
      </c>
      <c r="E400">
        <v>8134</v>
      </c>
      <c r="F400">
        <v>275</v>
      </c>
      <c r="G400">
        <v>209.6</v>
      </c>
      <c r="H400">
        <v>1.3120228</v>
      </c>
      <c r="I400">
        <v>-0.31202286000000001</v>
      </c>
      <c r="J400">
        <v>0.43252167000000002</v>
      </c>
    </row>
    <row r="401" spans="1:10" x14ac:dyDescent="0.3">
      <c r="A401">
        <v>399</v>
      </c>
      <c r="B401">
        <v>8240</v>
      </c>
      <c r="C401" t="b">
        <v>1</v>
      </c>
      <c r="D401">
        <v>8065</v>
      </c>
      <c r="E401">
        <v>8134</v>
      </c>
      <c r="F401">
        <v>273.46667000000002</v>
      </c>
      <c r="G401">
        <v>209.93333000000001</v>
      </c>
      <c r="H401">
        <v>1.3026358</v>
      </c>
      <c r="I401">
        <v>-0.30263580000000001</v>
      </c>
      <c r="J401">
        <v>0.43428489999999997</v>
      </c>
    </row>
    <row r="402" spans="1:10" x14ac:dyDescent="0.3">
      <c r="A402">
        <v>400</v>
      </c>
      <c r="B402">
        <v>8256</v>
      </c>
      <c r="C402" t="b">
        <v>1</v>
      </c>
      <c r="D402">
        <v>8088</v>
      </c>
      <c r="E402">
        <v>8152</v>
      </c>
      <c r="F402">
        <v>271.93331999999998</v>
      </c>
      <c r="G402">
        <v>210.26666</v>
      </c>
      <c r="H402">
        <v>1.2932783000000001</v>
      </c>
      <c r="I402">
        <v>-0.29327834000000003</v>
      </c>
      <c r="J402">
        <v>0.43605696999999999</v>
      </c>
    </row>
    <row r="403" spans="1:10" x14ac:dyDescent="0.3">
      <c r="A403">
        <v>401</v>
      </c>
      <c r="B403">
        <v>8272</v>
      </c>
      <c r="C403" t="b">
        <v>1</v>
      </c>
      <c r="D403">
        <v>8094</v>
      </c>
      <c r="E403">
        <v>8134</v>
      </c>
      <c r="F403">
        <v>270.8</v>
      </c>
      <c r="G403">
        <v>210.26666</v>
      </c>
      <c r="H403">
        <v>1.2878883999999999</v>
      </c>
      <c r="I403">
        <v>-0.28788835000000002</v>
      </c>
      <c r="J403">
        <v>0.43708426</v>
      </c>
    </row>
    <row r="404" spans="1:10" x14ac:dyDescent="0.3">
      <c r="A404">
        <v>402</v>
      </c>
      <c r="B404">
        <v>8288</v>
      </c>
      <c r="C404" t="b">
        <v>1</v>
      </c>
      <c r="D404">
        <v>8135</v>
      </c>
      <c r="E404">
        <v>8111</v>
      </c>
      <c r="F404">
        <v>269.66665999999998</v>
      </c>
      <c r="G404">
        <v>210.26666</v>
      </c>
      <c r="H404">
        <v>1.2824983999999999</v>
      </c>
      <c r="I404">
        <v>-0.28249839999999998</v>
      </c>
      <c r="J404">
        <v>0.43811640000000002</v>
      </c>
    </row>
    <row r="405" spans="1:10" x14ac:dyDescent="0.3">
      <c r="A405">
        <v>403</v>
      </c>
      <c r="B405">
        <v>8304</v>
      </c>
      <c r="C405" t="b">
        <v>1</v>
      </c>
      <c r="D405">
        <v>8123</v>
      </c>
      <c r="E405">
        <v>8140</v>
      </c>
      <c r="F405">
        <v>268.86667</v>
      </c>
      <c r="G405">
        <v>211.8</v>
      </c>
      <c r="H405">
        <v>1.2694365999999999</v>
      </c>
      <c r="I405">
        <v>-0.26943656999999999</v>
      </c>
      <c r="J405">
        <v>0.44063797999999998</v>
      </c>
    </row>
    <row r="406" spans="1:10" x14ac:dyDescent="0.3">
      <c r="A406">
        <v>404</v>
      </c>
      <c r="B406">
        <v>8320</v>
      </c>
      <c r="C406" t="b">
        <v>1</v>
      </c>
      <c r="D406">
        <v>8140</v>
      </c>
      <c r="E406">
        <v>8123</v>
      </c>
      <c r="F406">
        <v>270.39999999999998</v>
      </c>
      <c r="G406">
        <v>213.33332999999999</v>
      </c>
      <c r="H406">
        <v>1.2675000000000001</v>
      </c>
      <c r="I406">
        <v>-0.26750000000000002</v>
      </c>
      <c r="J406">
        <v>0.44101432000000002</v>
      </c>
    </row>
    <row r="407" spans="1:10" x14ac:dyDescent="0.3">
      <c r="A407">
        <v>405</v>
      </c>
      <c r="B407">
        <v>8335</v>
      </c>
      <c r="C407" t="b">
        <v>1</v>
      </c>
      <c r="D407">
        <v>8181</v>
      </c>
      <c r="E407">
        <v>8129</v>
      </c>
      <c r="F407">
        <v>272.33334000000002</v>
      </c>
      <c r="G407">
        <v>214.53334000000001</v>
      </c>
      <c r="H407">
        <v>1.2694220000000001</v>
      </c>
      <c r="I407">
        <v>-0.26942199999999999</v>
      </c>
      <c r="J407">
        <v>0.4406408</v>
      </c>
    </row>
    <row r="408" spans="1:10" x14ac:dyDescent="0.3">
      <c r="A408">
        <v>406</v>
      </c>
      <c r="B408">
        <v>8351</v>
      </c>
      <c r="C408" t="b">
        <v>1</v>
      </c>
      <c r="D408">
        <v>8106</v>
      </c>
      <c r="E408">
        <v>8146</v>
      </c>
      <c r="F408">
        <v>274.26666</v>
      </c>
      <c r="G408">
        <v>215.73334</v>
      </c>
      <c r="H408">
        <v>1.2713226</v>
      </c>
      <c r="I408">
        <v>-0.27132257999999998</v>
      </c>
      <c r="J408">
        <v>0.44027211999999999</v>
      </c>
    </row>
    <row r="409" spans="1:10" x14ac:dyDescent="0.3">
      <c r="A409">
        <v>407</v>
      </c>
      <c r="B409">
        <v>8374</v>
      </c>
      <c r="C409" t="b">
        <v>1</v>
      </c>
      <c r="D409">
        <v>8129</v>
      </c>
      <c r="E409">
        <v>8140</v>
      </c>
      <c r="F409">
        <v>275.8</v>
      </c>
      <c r="G409">
        <v>217.66667000000001</v>
      </c>
      <c r="H409">
        <v>1.267075</v>
      </c>
      <c r="I409">
        <v>-0.26707493999999998</v>
      </c>
      <c r="J409">
        <v>0.44109700000000002</v>
      </c>
    </row>
    <row r="410" spans="1:10" x14ac:dyDescent="0.3">
      <c r="A410">
        <v>408</v>
      </c>
      <c r="B410">
        <v>8389</v>
      </c>
      <c r="C410" t="b">
        <v>1</v>
      </c>
      <c r="D410">
        <v>8140</v>
      </c>
      <c r="E410">
        <v>8111</v>
      </c>
      <c r="F410">
        <v>278.06668000000002</v>
      </c>
      <c r="G410">
        <v>218.46665999999999</v>
      </c>
      <c r="H410">
        <v>1.2728105999999999</v>
      </c>
      <c r="I410">
        <v>-0.27281060000000001</v>
      </c>
      <c r="J410">
        <v>0.43998387</v>
      </c>
    </row>
    <row r="411" spans="1:10" x14ac:dyDescent="0.3">
      <c r="A411">
        <v>409</v>
      </c>
      <c r="B411">
        <v>8405</v>
      </c>
      <c r="C411" t="b">
        <v>1</v>
      </c>
      <c r="D411">
        <v>8129</v>
      </c>
      <c r="E411">
        <v>8129</v>
      </c>
      <c r="F411">
        <v>277.66665999999998</v>
      </c>
      <c r="G411">
        <v>218.46665999999999</v>
      </c>
      <c r="H411">
        <v>1.2709794999999999</v>
      </c>
      <c r="I411">
        <v>-0.27097955000000001</v>
      </c>
      <c r="J411">
        <v>0.44033864</v>
      </c>
    </row>
    <row r="412" spans="1:10" x14ac:dyDescent="0.3">
      <c r="A412">
        <v>410</v>
      </c>
      <c r="B412">
        <v>8421</v>
      </c>
      <c r="C412" t="b">
        <v>1</v>
      </c>
      <c r="D412">
        <v>8060</v>
      </c>
      <c r="E412">
        <v>8134</v>
      </c>
      <c r="F412">
        <v>277.26666</v>
      </c>
      <c r="G412">
        <v>218.06666999999999</v>
      </c>
      <c r="H412">
        <v>1.2714766</v>
      </c>
      <c r="I412">
        <v>-0.27147660000000001</v>
      </c>
      <c r="J412">
        <v>0.44024229999999998</v>
      </c>
    </row>
    <row r="413" spans="1:10" x14ac:dyDescent="0.3">
      <c r="A413">
        <v>411</v>
      </c>
      <c r="B413">
        <v>8437</v>
      </c>
      <c r="C413" t="b">
        <v>1</v>
      </c>
      <c r="D413">
        <v>8129</v>
      </c>
      <c r="E413">
        <v>8117</v>
      </c>
      <c r="F413">
        <v>276.86667</v>
      </c>
      <c r="G413">
        <v>217.73334</v>
      </c>
      <c r="H413">
        <v>1.2715860999999999</v>
      </c>
      <c r="I413">
        <v>-0.27158602999999998</v>
      </c>
      <c r="J413">
        <v>0.44022106999999999</v>
      </c>
    </row>
    <row r="414" spans="1:10" x14ac:dyDescent="0.3">
      <c r="A414">
        <v>412</v>
      </c>
      <c r="B414">
        <v>8453</v>
      </c>
      <c r="C414" t="b">
        <v>1</v>
      </c>
      <c r="D414">
        <v>8106</v>
      </c>
      <c r="E414">
        <v>8105</v>
      </c>
      <c r="F414">
        <v>276.46667000000002</v>
      </c>
      <c r="G414">
        <v>216.6</v>
      </c>
      <c r="H414">
        <v>1.2763926999999999</v>
      </c>
      <c r="I414">
        <v>-0.27639272999999998</v>
      </c>
      <c r="J414">
        <v>0.4392915</v>
      </c>
    </row>
    <row r="415" spans="1:10" x14ac:dyDescent="0.3">
      <c r="A415">
        <v>413</v>
      </c>
      <c r="B415">
        <v>8485</v>
      </c>
      <c r="C415" t="b">
        <v>1</v>
      </c>
      <c r="D415">
        <v>8129</v>
      </c>
      <c r="E415">
        <v>8123</v>
      </c>
      <c r="F415">
        <v>277.66665999999998</v>
      </c>
      <c r="G415">
        <v>215.86667</v>
      </c>
      <c r="H415">
        <v>1.2862878</v>
      </c>
      <c r="I415">
        <v>-0.28628777999999999</v>
      </c>
      <c r="J415">
        <v>0.43739027000000003</v>
      </c>
    </row>
    <row r="416" spans="1:10" x14ac:dyDescent="0.3">
      <c r="A416">
        <v>414</v>
      </c>
      <c r="B416">
        <v>8501</v>
      </c>
      <c r="C416" t="b">
        <v>1</v>
      </c>
      <c r="D416">
        <v>8094</v>
      </c>
      <c r="E416">
        <v>8134</v>
      </c>
      <c r="F416">
        <v>278.86667</v>
      </c>
      <c r="G416">
        <v>215.13333</v>
      </c>
      <c r="H416">
        <v>1.2962505</v>
      </c>
      <c r="I416">
        <v>-0.29625040000000002</v>
      </c>
      <c r="J416">
        <v>0.43549258000000002</v>
      </c>
    </row>
    <row r="417" spans="1:10" x14ac:dyDescent="0.3">
      <c r="A417">
        <v>415</v>
      </c>
      <c r="B417">
        <v>8533</v>
      </c>
      <c r="C417" t="b">
        <v>1</v>
      </c>
      <c r="D417">
        <v>8088</v>
      </c>
      <c r="E417">
        <v>8158</v>
      </c>
      <c r="F417">
        <v>280.06668000000002</v>
      </c>
      <c r="G417">
        <v>214.4</v>
      </c>
      <c r="H417">
        <v>1.3062811999999999</v>
      </c>
      <c r="I417">
        <v>-0.30628119999999998</v>
      </c>
      <c r="J417">
        <v>0.43359846000000002</v>
      </c>
    </row>
    <row r="418" spans="1:10" x14ac:dyDescent="0.3">
      <c r="A418">
        <v>416</v>
      </c>
      <c r="B418">
        <v>8549</v>
      </c>
      <c r="C418" t="b">
        <v>1</v>
      </c>
      <c r="D418">
        <v>8077</v>
      </c>
      <c r="E418">
        <v>8134</v>
      </c>
      <c r="F418">
        <v>280.06668000000002</v>
      </c>
      <c r="G418">
        <v>214.4</v>
      </c>
      <c r="H418">
        <v>1.3062811999999999</v>
      </c>
      <c r="I418">
        <v>-0.30628119999999998</v>
      </c>
      <c r="J418">
        <v>0.43359846000000002</v>
      </c>
    </row>
    <row r="419" spans="1:10" x14ac:dyDescent="0.3">
      <c r="A419">
        <v>417</v>
      </c>
      <c r="B419">
        <v>8565</v>
      </c>
      <c r="C419" t="b">
        <v>1</v>
      </c>
      <c r="D419">
        <v>8129</v>
      </c>
      <c r="E419">
        <v>8146</v>
      </c>
      <c r="F419">
        <v>280.06668000000002</v>
      </c>
      <c r="G419">
        <v>214.4</v>
      </c>
      <c r="H419">
        <v>1.3062811999999999</v>
      </c>
      <c r="I419">
        <v>-0.30628119999999998</v>
      </c>
      <c r="J419">
        <v>0.43359846000000002</v>
      </c>
    </row>
    <row r="420" spans="1:10" x14ac:dyDescent="0.3">
      <c r="A420">
        <v>418</v>
      </c>
      <c r="B420">
        <v>8596</v>
      </c>
      <c r="C420" t="b">
        <v>1</v>
      </c>
      <c r="D420">
        <v>8146</v>
      </c>
      <c r="E420">
        <v>8146</v>
      </c>
      <c r="F420">
        <v>280.06668000000002</v>
      </c>
      <c r="G420">
        <v>215.2</v>
      </c>
      <c r="H420">
        <v>1.3014250999999999</v>
      </c>
      <c r="I420">
        <v>-0.30142512999999999</v>
      </c>
      <c r="J420">
        <v>0.43451339999999999</v>
      </c>
    </row>
    <row r="421" spans="1:10" x14ac:dyDescent="0.3">
      <c r="A421">
        <v>419</v>
      </c>
      <c r="B421">
        <v>8612</v>
      </c>
      <c r="C421" t="b">
        <v>1</v>
      </c>
      <c r="D421">
        <v>8146</v>
      </c>
      <c r="E421">
        <v>8152</v>
      </c>
      <c r="F421">
        <v>280.46667000000002</v>
      </c>
      <c r="G421">
        <v>216</v>
      </c>
      <c r="H421">
        <v>1.2984568000000001</v>
      </c>
      <c r="I421">
        <v>-0.29845682000000001</v>
      </c>
      <c r="J421">
        <v>0.43507449999999998</v>
      </c>
    </row>
    <row r="422" spans="1:10" x14ac:dyDescent="0.3">
      <c r="A422">
        <v>420</v>
      </c>
      <c r="B422">
        <v>8628</v>
      </c>
      <c r="C422" t="b">
        <v>1</v>
      </c>
      <c r="D422">
        <v>8123</v>
      </c>
      <c r="E422">
        <v>8134</v>
      </c>
      <c r="F422">
        <v>280.06668000000002</v>
      </c>
      <c r="G422">
        <v>217.13333</v>
      </c>
      <c r="H422">
        <v>1.2898373999999999</v>
      </c>
      <c r="I422">
        <v>-0.28983735999999999</v>
      </c>
      <c r="J422">
        <v>0.43671223999999997</v>
      </c>
    </row>
    <row r="423" spans="1:10" x14ac:dyDescent="0.3">
      <c r="A423">
        <v>421</v>
      </c>
      <c r="B423">
        <v>8644</v>
      </c>
      <c r="C423" t="b">
        <v>1</v>
      </c>
      <c r="D423">
        <v>8117</v>
      </c>
      <c r="E423">
        <v>8134</v>
      </c>
      <c r="F423">
        <v>279.66665999999998</v>
      </c>
      <c r="G423">
        <v>218.26666</v>
      </c>
      <c r="H423">
        <v>1.2813072000000001</v>
      </c>
      <c r="I423">
        <v>-0.28130725000000001</v>
      </c>
      <c r="J423">
        <v>0.43834516000000001</v>
      </c>
    </row>
    <row r="424" spans="1:10" x14ac:dyDescent="0.3">
      <c r="A424">
        <v>422</v>
      </c>
      <c r="B424">
        <v>8660</v>
      </c>
      <c r="C424" t="b">
        <v>1</v>
      </c>
      <c r="D424">
        <v>8117</v>
      </c>
      <c r="E424">
        <v>8129</v>
      </c>
      <c r="F424">
        <v>279.26666</v>
      </c>
      <c r="G424">
        <v>217.86667</v>
      </c>
      <c r="H424">
        <v>1.2818238</v>
      </c>
      <c r="I424">
        <v>-0.28182372</v>
      </c>
      <c r="J424">
        <v>0.43824595</v>
      </c>
    </row>
    <row r="425" spans="1:10" x14ac:dyDescent="0.3">
      <c r="A425">
        <v>423</v>
      </c>
      <c r="B425">
        <v>8676</v>
      </c>
      <c r="C425" t="b">
        <v>1</v>
      </c>
      <c r="D425">
        <v>8117</v>
      </c>
      <c r="E425">
        <v>8093</v>
      </c>
      <c r="F425">
        <v>277.73334</v>
      </c>
      <c r="G425">
        <v>218.2</v>
      </c>
      <c r="H425">
        <v>1.2728383999999999</v>
      </c>
      <c r="I425">
        <v>-0.27283839999999998</v>
      </c>
      <c r="J425">
        <v>0.43997848000000001</v>
      </c>
    </row>
    <row r="426" spans="1:10" x14ac:dyDescent="0.3">
      <c r="A426">
        <v>424</v>
      </c>
      <c r="B426">
        <v>8708</v>
      </c>
      <c r="C426" t="b">
        <v>1</v>
      </c>
      <c r="D426">
        <v>8100</v>
      </c>
      <c r="E426">
        <v>8111</v>
      </c>
      <c r="F426">
        <v>276.93331999999998</v>
      </c>
      <c r="G426">
        <v>218.2</v>
      </c>
      <c r="H426">
        <v>1.269172</v>
      </c>
      <c r="I426">
        <v>-0.26917194999999999</v>
      </c>
      <c r="J426">
        <v>0.44068938000000002</v>
      </c>
    </row>
    <row r="427" spans="1:10" x14ac:dyDescent="0.3">
      <c r="A427">
        <v>425</v>
      </c>
      <c r="B427">
        <v>8724</v>
      </c>
      <c r="C427" t="b">
        <v>1</v>
      </c>
      <c r="D427">
        <v>8117</v>
      </c>
      <c r="E427">
        <v>8123</v>
      </c>
      <c r="F427">
        <v>276.13333</v>
      </c>
      <c r="G427">
        <v>217.46665999999999</v>
      </c>
      <c r="H427">
        <v>1.2697731000000001</v>
      </c>
      <c r="I427">
        <v>-0.26977319999999999</v>
      </c>
      <c r="J427">
        <v>0.44057267999999999</v>
      </c>
    </row>
    <row r="428" spans="1:10" x14ac:dyDescent="0.3">
      <c r="A428">
        <v>426</v>
      </c>
      <c r="B428">
        <v>8756</v>
      </c>
      <c r="C428" t="b">
        <v>1</v>
      </c>
      <c r="D428">
        <v>8088</v>
      </c>
      <c r="E428">
        <v>8134</v>
      </c>
      <c r="F428">
        <v>275.33334000000002</v>
      </c>
      <c r="G428">
        <v>217.06666999999999</v>
      </c>
      <c r="H428">
        <v>1.2684276000000001</v>
      </c>
      <c r="I428">
        <v>-0.26842758</v>
      </c>
      <c r="J428">
        <v>0.440834</v>
      </c>
    </row>
    <row r="429" spans="1:10" x14ac:dyDescent="0.3">
      <c r="A429">
        <v>427</v>
      </c>
      <c r="B429">
        <v>8771</v>
      </c>
      <c r="C429" t="b">
        <v>1</v>
      </c>
      <c r="D429">
        <v>8152</v>
      </c>
      <c r="E429">
        <v>8134</v>
      </c>
      <c r="F429">
        <v>274.53332999999998</v>
      </c>
      <c r="G429">
        <v>217.46665999999999</v>
      </c>
      <c r="H429">
        <v>1.2624156</v>
      </c>
      <c r="I429">
        <v>-0.26241569999999997</v>
      </c>
      <c r="J429">
        <v>0.44200539999999999</v>
      </c>
    </row>
    <row r="430" spans="1:10" x14ac:dyDescent="0.3">
      <c r="A430">
        <v>428</v>
      </c>
      <c r="B430">
        <v>8787</v>
      </c>
      <c r="C430" t="b">
        <v>1</v>
      </c>
      <c r="D430">
        <v>8123</v>
      </c>
      <c r="E430">
        <v>8140</v>
      </c>
      <c r="F430">
        <v>273.73334</v>
      </c>
      <c r="G430">
        <v>218.2</v>
      </c>
      <c r="H430">
        <v>1.2545066</v>
      </c>
      <c r="I430">
        <v>-0.25450662000000002</v>
      </c>
      <c r="J430">
        <v>0.44355600000000001</v>
      </c>
    </row>
    <row r="431" spans="1:10" x14ac:dyDescent="0.3">
      <c r="A431">
        <v>429</v>
      </c>
      <c r="B431">
        <v>8803</v>
      </c>
      <c r="C431" t="b">
        <v>1</v>
      </c>
      <c r="D431">
        <v>8111</v>
      </c>
      <c r="E431">
        <v>8111</v>
      </c>
      <c r="F431">
        <v>274.46667000000002</v>
      </c>
      <c r="G431">
        <v>218.93333000000001</v>
      </c>
      <c r="H431">
        <v>1.2536541000000001</v>
      </c>
      <c r="I431">
        <v>-0.25365411999999998</v>
      </c>
      <c r="J431">
        <v>0.4437238</v>
      </c>
    </row>
    <row r="432" spans="1:10" x14ac:dyDescent="0.3">
      <c r="A432">
        <v>430</v>
      </c>
      <c r="B432">
        <v>8819</v>
      </c>
      <c r="C432" t="b">
        <v>1</v>
      </c>
      <c r="D432">
        <v>8088</v>
      </c>
      <c r="E432">
        <v>8129</v>
      </c>
      <c r="F432">
        <v>274.8</v>
      </c>
      <c r="G432">
        <v>219.66667000000001</v>
      </c>
      <c r="H432">
        <v>1.2509862</v>
      </c>
      <c r="I432">
        <v>-0.25098625000000002</v>
      </c>
      <c r="J432">
        <v>0.44424970000000003</v>
      </c>
    </row>
    <row r="433" spans="1:10" x14ac:dyDescent="0.3">
      <c r="A433">
        <v>431</v>
      </c>
      <c r="B433">
        <v>8835</v>
      </c>
      <c r="C433" t="b">
        <v>1</v>
      </c>
      <c r="D433">
        <v>8152</v>
      </c>
      <c r="E433">
        <v>8134</v>
      </c>
      <c r="F433">
        <v>276.73334</v>
      </c>
      <c r="G433">
        <v>219.66667000000001</v>
      </c>
      <c r="H433">
        <v>1.2597875999999999</v>
      </c>
      <c r="I433">
        <v>-0.25978755999999997</v>
      </c>
      <c r="J433">
        <v>0.44251945999999998</v>
      </c>
    </row>
    <row r="434" spans="1:10" x14ac:dyDescent="0.3">
      <c r="A434">
        <v>432</v>
      </c>
      <c r="B434">
        <v>8850</v>
      </c>
      <c r="C434" t="b">
        <v>1</v>
      </c>
      <c r="D434">
        <v>8169</v>
      </c>
      <c r="E434">
        <v>8146</v>
      </c>
      <c r="F434">
        <v>278.66665999999998</v>
      </c>
      <c r="G434">
        <v>219.66667000000001</v>
      </c>
      <c r="H434">
        <v>1.2685887</v>
      </c>
      <c r="I434">
        <v>-0.26858870000000001</v>
      </c>
      <c r="J434">
        <v>0.44080269999999999</v>
      </c>
    </row>
    <row r="435" spans="1:10" x14ac:dyDescent="0.3">
      <c r="A435">
        <v>433</v>
      </c>
      <c r="B435">
        <v>8882</v>
      </c>
      <c r="C435" t="b">
        <v>1</v>
      </c>
      <c r="D435">
        <v>8140</v>
      </c>
      <c r="E435">
        <v>8111</v>
      </c>
      <c r="F435">
        <v>281.73334</v>
      </c>
      <c r="G435">
        <v>218.53334000000001</v>
      </c>
      <c r="H435">
        <v>1.2892007000000001</v>
      </c>
      <c r="I435">
        <v>-0.28920072000000002</v>
      </c>
      <c r="J435">
        <v>0.43683369999999999</v>
      </c>
    </row>
    <row r="436" spans="1:10" x14ac:dyDescent="0.3">
      <c r="A436">
        <v>434</v>
      </c>
      <c r="B436">
        <v>8914</v>
      </c>
      <c r="C436" t="b">
        <v>1</v>
      </c>
      <c r="D436">
        <v>8152</v>
      </c>
      <c r="E436">
        <v>8134</v>
      </c>
      <c r="F436">
        <v>283.26666</v>
      </c>
      <c r="G436">
        <v>217.73334</v>
      </c>
      <c r="H436">
        <v>1.3009797000000001</v>
      </c>
      <c r="I436">
        <v>-0.30097975999999999</v>
      </c>
      <c r="J436">
        <v>0.43459750000000003</v>
      </c>
    </row>
    <row r="437" spans="1:10" x14ac:dyDescent="0.3">
      <c r="A437">
        <v>435</v>
      </c>
      <c r="B437">
        <v>8946</v>
      </c>
      <c r="C437" t="b">
        <v>1</v>
      </c>
      <c r="D437">
        <v>8111</v>
      </c>
      <c r="E437">
        <v>8134</v>
      </c>
      <c r="F437">
        <v>284.8</v>
      </c>
      <c r="G437">
        <v>216.93333000000001</v>
      </c>
      <c r="H437">
        <v>1.3128457</v>
      </c>
      <c r="I437">
        <v>-0.31284568000000001</v>
      </c>
      <c r="J437">
        <v>0.43236780000000002</v>
      </c>
    </row>
    <row r="438" spans="1:10" x14ac:dyDescent="0.3">
      <c r="A438">
        <v>436</v>
      </c>
      <c r="B438">
        <v>8977</v>
      </c>
      <c r="C438" t="b">
        <v>1</v>
      </c>
      <c r="D438">
        <v>8123</v>
      </c>
      <c r="E438">
        <v>8134</v>
      </c>
      <c r="F438">
        <v>285.53332999999998</v>
      </c>
      <c r="G438">
        <v>216.13333</v>
      </c>
      <c r="H438">
        <v>1.3210980999999999</v>
      </c>
      <c r="I438">
        <v>-0.32109806000000002</v>
      </c>
      <c r="J438">
        <v>0.43083057000000002</v>
      </c>
    </row>
    <row r="439" spans="1:10" x14ac:dyDescent="0.3">
      <c r="A439">
        <v>437</v>
      </c>
      <c r="B439">
        <v>9009</v>
      </c>
      <c r="C439" t="b">
        <v>1</v>
      </c>
      <c r="D439">
        <v>8117</v>
      </c>
      <c r="E439">
        <v>8111</v>
      </c>
      <c r="F439">
        <v>285.53332999999998</v>
      </c>
      <c r="G439">
        <v>216.13333</v>
      </c>
      <c r="H439">
        <v>1.3210980999999999</v>
      </c>
      <c r="I439">
        <v>-0.32109806000000002</v>
      </c>
      <c r="J439">
        <v>0.43083057000000002</v>
      </c>
    </row>
    <row r="440" spans="1:10" x14ac:dyDescent="0.3">
      <c r="A440">
        <v>438</v>
      </c>
      <c r="B440">
        <v>9041</v>
      </c>
      <c r="C440" t="b">
        <v>1</v>
      </c>
      <c r="D440">
        <v>8111</v>
      </c>
      <c r="E440">
        <v>8111</v>
      </c>
      <c r="F440">
        <v>285.53332999999998</v>
      </c>
      <c r="G440">
        <v>216.13333</v>
      </c>
      <c r="H440">
        <v>1.3210980999999999</v>
      </c>
      <c r="I440">
        <v>-0.32109806000000002</v>
      </c>
      <c r="J440">
        <v>0.43083057000000002</v>
      </c>
    </row>
    <row r="441" spans="1:10" x14ac:dyDescent="0.3">
      <c r="A441">
        <v>439</v>
      </c>
      <c r="B441">
        <v>9073</v>
      </c>
      <c r="C441" t="b">
        <v>1</v>
      </c>
      <c r="D441">
        <v>8152</v>
      </c>
      <c r="E441">
        <v>8129</v>
      </c>
      <c r="F441">
        <v>285.53332999999998</v>
      </c>
      <c r="G441">
        <v>216.13333</v>
      </c>
      <c r="H441">
        <v>1.3210980999999999</v>
      </c>
      <c r="I441">
        <v>-0.32109806000000002</v>
      </c>
      <c r="J441">
        <v>0.43083057000000002</v>
      </c>
    </row>
    <row r="442" spans="1:10" x14ac:dyDescent="0.3">
      <c r="A442">
        <v>440</v>
      </c>
      <c r="B442">
        <v>9103</v>
      </c>
      <c r="C442" t="b">
        <v>1</v>
      </c>
      <c r="D442">
        <v>8106</v>
      </c>
      <c r="E442">
        <v>8146</v>
      </c>
      <c r="F442">
        <v>285.53332999999998</v>
      </c>
      <c r="G442">
        <v>216.53334000000001</v>
      </c>
      <c r="H442">
        <v>1.3186575</v>
      </c>
      <c r="I442">
        <v>-0.31865755000000001</v>
      </c>
      <c r="J442">
        <v>0.43128403999999998</v>
      </c>
    </row>
    <row r="443" spans="1:10" x14ac:dyDescent="0.3">
      <c r="A443">
        <v>441</v>
      </c>
      <c r="B443">
        <v>9135</v>
      </c>
      <c r="C443" t="b">
        <v>1</v>
      </c>
      <c r="D443">
        <v>8117</v>
      </c>
      <c r="E443">
        <v>8123</v>
      </c>
      <c r="F443">
        <v>285.53332999999998</v>
      </c>
      <c r="G443">
        <v>216.53334000000001</v>
      </c>
      <c r="H443">
        <v>1.3186575</v>
      </c>
      <c r="I443">
        <v>-0.31865755000000001</v>
      </c>
      <c r="J443">
        <v>0.43128403999999998</v>
      </c>
    </row>
    <row r="444" spans="1:10" x14ac:dyDescent="0.3">
      <c r="A444">
        <v>442</v>
      </c>
      <c r="B444">
        <v>9167</v>
      </c>
      <c r="C444" t="b">
        <v>1</v>
      </c>
      <c r="D444">
        <v>8129</v>
      </c>
      <c r="E444">
        <v>8134</v>
      </c>
      <c r="F444">
        <v>285.53332999999998</v>
      </c>
      <c r="G444">
        <v>216.93333000000001</v>
      </c>
      <c r="H444">
        <v>1.3162261</v>
      </c>
      <c r="I444">
        <v>-0.31622612</v>
      </c>
      <c r="J444">
        <v>0.43173676999999999</v>
      </c>
    </row>
    <row r="445" spans="1:10" x14ac:dyDescent="0.3">
      <c r="A445">
        <v>443</v>
      </c>
      <c r="B445">
        <v>9199</v>
      </c>
      <c r="C445" t="b">
        <v>1</v>
      </c>
      <c r="D445">
        <v>8117</v>
      </c>
      <c r="E445">
        <v>8158</v>
      </c>
      <c r="F445">
        <v>285.53332999999998</v>
      </c>
      <c r="G445">
        <v>216.93333000000001</v>
      </c>
      <c r="H445">
        <v>1.3162261</v>
      </c>
      <c r="I445">
        <v>-0.31622612</v>
      </c>
      <c r="J445">
        <v>0.43173676999999999</v>
      </c>
    </row>
    <row r="446" spans="1:10" x14ac:dyDescent="0.3">
      <c r="A446">
        <v>444</v>
      </c>
      <c r="B446">
        <v>9230</v>
      </c>
      <c r="C446" t="b">
        <v>1</v>
      </c>
      <c r="D446">
        <v>8158</v>
      </c>
      <c r="E446">
        <v>8129</v>
      </c>
      <c r="F446">
        <v>285.53332999999998</v>
      </c>
      <c r="G446">
        <v>216.93333000000001</v>
      </c>
      <c r="H446">
        <v>1.3162261</v>
      </c>
      <c r="I446">
        <v>-0.31622612</v>
      </c>
      <c r="J446">
        <v>0.43173676999999999</v>
      </c>
    </row>
    <row r="447" spans="1:10" x14ac:dyDescent="0.3">
      <c r="A447">
        <v>445</v>
      </c>
      <c r="B447">
        <v>9262</v>
      </c>
      <c r="C447" t="b">
        <v>1</v>
      </c>
      <c r="D447">
        <v>8129</v>
      </c>
      <c r="E447">
        <v>8140</v>
      </c>
      <c r="F447">
        <v>286.73334</v>
      </c>
      <c r="G447">
        <v>216.93333000000001</v>
      </c>
      <c r="H447">
        <v>1.3217578000000001</v>
      </c>
      <c r="I447">
        <v>-0.32175785000000001</v>
      </c>
      <c r="J447">
        <v>0.43070809999999998</v>
      </c>
    </row>
    <row r="448" spans="1:10" x14ac:dyDescent="0.3">
      <c r="A448">
        <v>446</v>
      </c>
      <c r="B448">
        <v>9293</v>
      </c>
      <c r="C448" t="b">
        <v>1</v>
      </c>
      <c r="D448">
        <v>8175</v>
      </c>
      <c r="E448">
        <v>8134</v>
      </c>
      <c r="F448">
        <v>287.13333</v>
      </c>
      <c r="G448">
        <v>216.93333000000001</v>
      </c>
      <c r="H448">
        <v>1.3236017</v>
      </c>
      <c r="I448">
        <v>-0.32360169999999999</v>
      </c>
      <c r="J448">
        <v>0.43036637</v>
      </c>
    </row>
    <row r="449" spans="1:10" x14ac:dyDescent="0.3">
      <c r="A449">
        <v>447</v>
      </c>
      <c r="B449">
        <v>9309</v>
      </c>
      <c r="C449" t="b">
        <v>1</v>
      </c>
      <c r="D449">
        <v>8169</v>
      </c>
      <c r="E449">
        <v>8140</v>
      </c>
      <c r="F449">
        <v>289.46667000000002</v>
      </c>
      <c r="G449">
        <v>217.33332999999999</v>
      </c>
      <c r="H449">
        <v>1.3319019000000001</v>
      </c>
      <c r="I449">
        <v>-0.33190190000000003</v>
      </c>
      <c r="J449">
        <v>0.42883452999999999</v>
      </c>
    </row>
    <row r="450" spans="1:10" x14ac:dyDescent="0.3">
      <c r="A450">
        <v>448</v>
      </c>
      <c r="B450">
        <v>9324</v>
      </c>
      <c r="C450" t="b">
        <v>1</v>
      </c>
      <c r="D450">
        <v>8163</v>
      </c>
      <c r="E450">
        <v>8129</v>
      </c>
      <c r="F450">
        <v>291</v>
      </c>
      <c r="G450">
        <v>217.66667000000001</v>
      </c>
      <c r="H450">
        <v>1.3369066000000001</v>
      </c>
      <c r="I450">
        <v>-0.33690655000000003</v>
      </c>
      <c r="J450">
        <v>0.42791610000000002</v>
      </c>
    </row>
    <row r="451" spans="1:10" x14ac:dyDescent="0.3">
      <c r="A451">
        <v>449</v>
      </c>
      <c r="B451">
        <v>9356</v>
      </c>
      <c r="C451" t="b">
        <v>1</v>
      </c>
      <c r="D451">
        <v>8117</v>
      </c>
      <c r="E451">
        <v>8146</v>
      </c>
      <c r="F451">
        <v>291.73334</v>
      </c>
      <c r="G451">
        <v>218.06666999999999</v>
      </c>
      <c r="H451">
        <v>1.3378171999999999</v>
      </c>
      <c r="I451">
        <v>-0.33781719999999998</v>
      </c>
      <c r="J451">
        <v>0.42774944999999998</v>
      </c>
    </row>
    <row r="452" spans="1:10" x14ac:dyDescent="0.3">
      <c r="A452">
        <v>450</v>
      </c>
      <c r="B452">
        <v>9388</v>
      </c>
      <c r="C452" t="b">
        <v>1</v>
      </c>
      <c r="D452">
        <v>8163</v>
      </c>
      <c r="E452">
        <v>8129</v>
      </c>
      <c r="F452">
        <v>292.46667000000002</v>
      </c>
      <c r="G452">
        <v>218.06666999999999</v>
      </c>
      <c r="H452">
        <v>1.3411801000000001</v>
      </c>
      <c r="I452">
        <v>-0.34118011999999998</v>
      </c>
      <c r="J452">
        <v>0.42713501999999998</v>
      </c>
    </row>
    <row r="453" spans="1:10" x14ac:dyDescent="0.3">
      <c r="A453">
        <v>451</v>
      </c>
      <c r="B453">
        <v>9419</v>
      </c>
      <c r="C453" t="b">
        <v>1</v>
      </c>
      <c r="D453">
        <v>8088</v>
      </c>
      <c r="E453">
        <v>8134</v>
      </c>
      <c r="F453">
        <v>294</v>
      </c>
      <c r="G453">
        <v>218.06666999999999</v>
      </c>
      <c r="H453">
        <v>1.3482114999999999</v>
      </c>
      <c r="I453">
        <v>-0.34821155999999998</v>
      </c>
      <c r="J453">
        <v>0.42585602</v>
      </c>
    </row>
    <row r="454" spans="1:10" x14ac:dyDescent="0.3">
      <c r="A454">
        <v>452</v>
      </c>
      <c r="B454">
        <v>9435</v>
      </c>
      <c r="C454" t="b">
        <v>1</v>
      </c>
      <c r="D454">
        <v>8111</v>
      </c>
      <c r="E454">
        <v>8123</v>
      </c>
      <c r="F454">
        <v>293.60000000000002</v>
      </c>
      <c r="G454">
        <v>217.73334</v>
      </c>
      <c r="H454">
        <v>1.3484385000000001</v>
      </c>
      <c r="I454">
        <v>-0.34843847</v>
      </c>
      <c r="J454">
        <v>0.42581487000000001</v>
      </c>
    </row>
    <row r="455" spans="1:10" x14ac:dyDescent="0.3">
      <c r="A455">
        <v>453</v>
      </c>
      <c r="B455">
        <v>9451</v>
      </c>
      <c r="C455" t="b">
        <v>1</v>
      </c>
      <c r="D455">
        <v>8123</v>
      </c>
      <c r="E455">
        <v>8134</v>
      </c>
      <c r="F455">
        <v>293.60000000000002</v>
      </c>
      <c r="G455">
        <v>217.73334</v>
      </c>
      <c r="H455">
        <v>1.3484385000000001</v>
      </c>
      <c r="I455">
        <v>-0.34843847</v>
      </c>
      <c r="J455">
        <v>0.42581487000000001</v>
      </c>
    </row>
    <row r="456" spans="1:10" x14ac:dyDescent="0.3">
      <c r="A456">
        <v>454</v>
      </c>
      <c r="B456">
        <v>9483</v>
      </c>
      <c r="C456" t="b">
        <v>1</v>
      </c>
      <c r="D456">
        <v>8083</v>
      </c>
      <c r="E456">
        <v>8146</v>
      </c>
      <c r="F456">
        <v>293.2</v>
      </c>
      <c r="G456">
        <v>218.06666999999999</v>
      </c>
      <c r="H456">
        <v>1.344543</v>
      </c>
      <c r="I456">
        <v>-0.34454299999999999</v>
      </c>
      <c r="J456">
        <v>0.42652236999999998</v>
      </c>
    </row>
    <row r="457" spans="1:10" x14ac:dyDescent="0.3">
      <c r="A457">
        <v>455</v>
      </c>
      <c r="B457">
        <v>9499</v>
      </c>
      <c r="C457" t="b">
        <v>1</v>
      </c>
      <c r="D457">
        <v>8111</v>
      </c>
      <c r="E457">
        <v>8140</v>
      </c>
      <c r="F457">
        <v>292.8</v>
      </c>
      <c r="G457">
        <v>218.4</v>
      </c>
      <c r="H457">
        <v>1.3406594000000001</v>
      </c>
      <c r="I457">
        <v>-0.34065931999999999</v>
      </c>
      <c r="J457">
        <v>0.42723006000000002</v>
      </c>
    </row>
    <row r="458" spans="1:10" x14ac:dyDescent="0.3">
      <c r="A458">
        <v>456</v>
      </c>
      <c r="B458">
        <v>9515</v>
      </c>
      <c r="C458" t="b">
        <v>1</v>
      </c>
      <c r="D458">
        <v>8146</v>
      </c>
      <c r="E458">
        <v>8134</v>
      </c>
      <c r="F458">
        <v>292.39999999999998</v>
      </c>
      <c r="G458">
        <v>219.13333</v>
      </c>
      <c r="H458">
        <v>1.3343474</v>
      </c>
      <c r="I458">
        <v>-0.33434743</v>
      </c>
      <c r="J458">
        <v>0.42838525999999999</v>
      </c>
    </row>
    <row r="459" spans="1:10" x14ac:dyDescent="0.3">
      <c r="A459">
        <v>457</v>
      </c>
      <c r="B459">
        <v>9531</v>
      </c>
      <c r="C459" t="b">
        <v>1</v>
      </c>
      <c r="D459">
        <v>8083</v>
      </c>
      <c r="E459">
        <v>8134</v>
      </c>
      <c r="F459">
        <v>292</v>
      </c>
      <c r="G459">
        <v>219.46665999999999</v>
      </c>
      <c r="H459">
        <v>1.3304982000000001</v>
      </c>
      <c r="I459">
        <v>-0.33049822000000001</v>
      </c>
      <c r="J459">
        <v>0.4290928</v>
      </c>
    </row>
    <row r="460" spans="1:10" x14ac:dyDescent="0.3">
      <c r="A460">
        <v>458</v>
      </c>
      <c r="B460">
        <v>9547</v>
      </c>
      <c r="C460" t="b">
        <v>1</v>
      </c>
      <c r="D460">
        <v>8129</v>
      </c>
      <c r="E460">
        <v>8140</v>
      </c>
      <c r="F460">
        <v>291.60000000000002</v>
      </c>
      <c r="G460">
        <v>219.86667</v>
      </c>
      <c r="H460">
        <v>1.3262582999999999</v>
      </c>
      <c r="I460">
        <v>-0.32625836000000003</v>
      </c>
      <c r="J460">
        <v>0.42987487000000002</v>
      </c>
    </row>
    <row r="461" spans="1:10" x14ac:dyDescent="0.3">
      <c r="A461">
        <v>459</v>
      </c>
      <c r="B461">
        <v>9563</v>
      </c>
      <c r="C461" t="b">
        <v>1</v>
      </c>
      <c r="D461">
        <v>8106</v>
      </c>
      <c r="E461">
        <v>8111</v>
      </c>
      <c r="F461">
        <v>291.2</v>
      </c>
      <c r="G461">
        <v>219.86667</v>
      </c>
      <c r="H461">
        <v>1.3244389999999999</v>
      </c>
      <c r="I461">
        <v>-0.32443909999999998</v>
      </c>
      <c r="J461">
        <v>0.43021130000000002</v>
      </c>
    </row>
    <row r="462" spans="1:10" x14ac:dyDescent="0.3">
      <c r="A462">
        <v>460</v>
      </c>
      <c r="B462">
        <v>9579</v>
      </c>
      <c r="C462" t="b">
        <v>1</v>
      </c>
      <c r="D462">
        <v>8117</v>
      </c>
      <c r="E462">
        <v>8140</v>
      </c>
      <c r="F462">
        <v>290.39999999999998</v>
      </c>
      <c r="G462">
        <v>219.86667</v>
      </c>
      <c r="H462">
        <v>1.3208004</v>
      </c>
      <c r="I462">
        <v>-0.32080045000000001</v>
      </c>
      <c r="J462">
        <v>0.43088581999999997</v>
      </c>
    </row>
    <row r="463" spans="1:10" x14ac:dyDescent="0.3">
      <c r="A463">
        <v>461</v>
      </c>
      <c r="B463">
        <v>9594</v>
      </c>
      <c r="C463" t="b">
        <v>1</v>
      </c>
      <c r="D463">
        <v>8163</v>
      </c>
      <c r="E463">
        <v>8152</v>
      </c>
      <c r="F463">
        <v>289.60000000000002</v>
      </c>
      <c r="G463">
        <v>220.26666</v>
      </c>
      <c r="H463">
        <v>1.31477</v>
      </c>
      <c r="I463">
        <v>-0.31476999999999999</v>
      </c>
      <c r="J463">
        <v>0.43200835999999998</v>
      </c>
    </row>
    <row r="464" spans="1:10" x14ac:dyDescent="0.3">
      <c r="A464">
        <v>462</v>
      </c>
      <c r="B464">
        <v>9610</v>
      </c>
      <c r="C464" t="b">
        <v>1</v>
      </c>
      <c r="D464">
        <v>8135</v>
      </c>
      <c r="E464">
        <v>8129</v>
      </c>
      <c r="F464">
        <v>287.66665999999998</v>
      </c>
      <c r="G464">
        <v>220.26666</v>
      </c>
      <c r="H464">
        <v>1.3059927</v>
      </c>
      <c r="I464">
        <v>-0.30599272</v>
      </c>
      <c r="J464">
        <v>0.43365272999999999</v>
      </c>
    </row>
    <row r="465" spans="1:10" x14ac:dyDescent="0.3">
      <c r="A465">
        <v>463</v>
      </c>
      <c r="B465">
        <v>9626</v>
      </c>
      <c r="C465" t="b">
        <v>1</v>
      </c>
      <c r="D465">
        <v>8129</v>
      </c>
      <c r="E465">
        <v>8134</v>
      </c>
      <c r="F465">
        <v>285.39999999999998</v>
      </c>
      <c r="G465">
        <v>220.26666</v>
      </c>
      <c r="H465">
        <v>1.2957022</v>
      </c>
      <c r="I465">
        <v>-0.29570220000000003</v>
      </c>
      <c r="J465">
        <v>0.4355966</v>
      </c>
    </row>
    <row r="466" spans="1:10" x14ac:dyDescent="0.3">
      <c r="A466">
        <v>464</v>
      </c>
      <c r="B466">
        <v>9642</v>
      </c>
      <c r="C466" t="b">
        <v>1</v>
      </c>
      <c r="D466">
        <v>8163</v>
      </c>
      <c r="E466">
        <v>8129</v>
      </c>
      <c r="F466">
        <v>283.53332999999998</v>
      </c>
      <c r="G466">
        <v>219.86667</v>
      </c>
      <c r="H466">
        <v>1.2895694</v>
      </c>
      <c r="I466">
        <v>-0.28956937999999999</v>
      </c>
      <c r="J466">
        <v>0.43676334999999999</v>
      </c>
    </row>
    <row r="467" spans="1:10" x14ac:dyDescent="0.3">
      <c r="A467">
        <v>465</v>
      </c>
      <c r="B467">
        <v>9658</v>
      </c>
      <c r="C467" t="b">
        <v>1</v>
      </c>
      <c r="D467">
        <v>8158</v>
      </c>
      <c r="E467">
        <v>8140</v>
      </c>
      <c r="F467">
        <v>283.2</v>
      </c>
      <c r="G467">
        <v>219.86667</v>
      </c>
      <c r="H467">
        <v>1.2880533999999999</v>
      </c>
      <c r="I467">
        <v>-0.28805342</v>
      </c>
      <c r="J467">
        <v>0.43705273</v>
      </c>
    </row>
    <row r="468" spans="1:10" x14ac:dyDescent="0.3">
      <c r="A468">
        <v>466</v>
      </c>
      <c r="B468">
        <v>9673</v>
      </c>
      <c r="C468" t="b">
        <v>1</v>
      </c>
      <c r="D468">
        <v>8163</v>
      </c>
      <c r="E468">
        <v>8140</v>
      </c>
      <c r="F468">
        <v>282.86667</v>
      </c>
      <c r="G468">
        <v>219.86667</v>
      </c>
      <c r="H468">
        <v>1.2865373</v>
      </c>
      <c r="I468">
        <v>-0.28653729999999999</v>
      </c>
      <c r="J468">
        <v>0.43734252000000001</v>
      </c>
    </row>
    <row r="469" spans="1:10" x14ac:dyDescent="0.3">
      <c r="A469">
        <v>467</v>
      </c>
      <c r="B469">
        <v>9689</v>
      </c>
      <c r="C469" t="b">
        <v>1</v>
      </c>
      <c r="D469">
        <v>8117</v>
      </c>
      <c r="E469">
        <v>8129</v>
      </c>
      <c r="F469">
        <v>285.60000000000002</v>
      </c>
      <c r="G469">
        <v>220.2</v>
      </c>
      <c r="H469">
        <v>1.2970028</v>
      </c>
      <c r="I469">
        <v>-0.29700275999999998</v>
      </c>
      <c r="J469">
        <v>0.43534993999999999</v>
      </c>
    </row>
    <row r="470" spans="1:10" x14ac:dyDescent="0.3">
      <c r="A470">
        <v>468</v>
      </c>
      <c r="B470">
        <v>9705</v>
      </c>
      <c r="C470" t="b">
        <v>1</v>
      </c>
      <c r="D470">
        <v>8140</v>
      </c>
      <c r="E470">
        <v>8111</v>
      </c>
      <c r="F470">
        <v>288.33334000000002</v>
      </c>
      <c r="G470">
        <v>219.86667</v>
      </c>
      <c r="H470">
        <v>1.3114009</v>
      </c>
      <c r="I470">
        <v>-0.31140089999999998</v>
      </c>
      <c r="J470">
        <v>0.43263805</v>
      </c>
    </row>
    <row r="471" spans="1:10" x14ac:dyDescent="0.3">
      <c r="A471">
        <v>469</v>
      </c>
      <c r="B471">
        <v>9721</v>
      </c>
      <c r="C471" t="b">
        <v>1</v>
      </c>
      <c r="D471">
        <v>8152</v>
      </c>
      <c r="E471">
        <v>8140</v>
      </c>
      <c r="F471">
        <v>291.06668000000002</v>
      </c>
      <c r="G471">
        <v>220.26666</v>
      </c>
      <c r="H471">
        <v>1.3214287</v>
      </c>
      <c r="I471">
        <v>-0.32142865999999998</v>
      </c>
      <c r="J471">
        <v>0.43076920000000002</v>
      </c>
    </row>
    <row r="472" spans="1:10" x14ac:dyDescent="0.3">
      <c r="A472">
        <v>470</v>
      </c>
      <c r="B472">
        <v>9737</v>
      </c>
      <c r="C472" t="b">
        <v>1</v>
      </c>
      <c r="D472">
        <v>8186</v>
      </c>
      <c r="E472">
        <v>8152</v>
      </c>
      <c r="F472">
        <v>293.8</v>
      </c>
      <c r="G472">
        <v>220.66667000000001</v>
      </c>
      <c r="H472">
        <v>1.3314197999999999</v>
      </c>
      <c r="I472">
        <v>-0.33141986000000001</v>
      </c>
      <c r="J472">
        <v>0.42892316000000003</v>
      </c>
    </row>
    <row r="473" spans="1:10" x14ac:dyDescent="0.3">
      <c r="A473">
        <v>471</v>
      </c>
      <c r="B473">
        <v>9753</v>
      </c>
      <c r="C473" t="b">
        <v>1</v>
      </c>
      <c r="D473">
        <v>8111</v>
      </c>
      <c r="E473">
        <v>8140</v>
      </c>
      <c r="F473">
        <v>295.73334</v>
      </c>
      <c r="G473">
        <v>221.06666999999999</v>
      </c>
      <c r="H473">
        <v>1.3377564</v>
      </c>
      <c r="I473">
        <v>-0.33775636999999997</v>
      </c>
      <c r="J473">
        <v>0.42776057000000001</v>
      </c>
    </row>
    <row r="474" spans="1:10" x14ac:dyDescent="0.3">
      <c r="A474">
        <v>472</v>
      </c>
      <c r="B474">
        <v>9769</v>
      </c>
      <c r="C474" t="b">
        <v>1</v>
      </c>
      <c r="D474">
        <v>8163</v>
      </c>
      <c r="E474">
        <v>8134</v>
      </c>
      <c r="F474">
        <v>298.46667000000002</v>
      </c>
      <c r="G474">
        <v>221.46665999999999</v>
      </c>
      <c r="H474">
        <v>1.3476821999999999</v>
      </c>
      <c r="I474">
        <v>-0.3476822</v>
      </c>
      <c r="J474">
        <v>0.42595201999999999</v>
      </c>
    </row>
    <row r="475" spans="1:10" x14ac:dyDescent="0.3">
      <c r="A475">
        <v>473</v>
      </c>
      <c r="B475">
        <v>9785</v>
      </c>
      <c r="C475" t="b">
        <v>1</v>
      </c>
      <c r="D475">
        <v>8100</v>
      </c>
      <c r="E475">
        <v>8129</v>
      </c>
      <c r="F475">
        <v>301.2</v>
      </c>
      <c r="G475">
        <v>221.46665999999999</v>
      </c>
      <c r="H475">
        <v>1.3600242</v>
      </c>
      <c r="I475">
        <v>-0.36002418000000003</v>
      </c>
      <c r="J475">
        <v>0.42372447000000002</v>
      </c>
    </row>
    <row r="476" spans="1:10" x14ac:dyDescent="0.3">
      <c r="A476">
        <v>474</v>
      </c>
      <c r="B476">
        <v>9801</v>
      </c>
      <c r="C476" t="b">
        <v>1</v>
      </c>
      <c r="D476">
        <v>8094</v>
      </c>
      <c r="E476">
        <v>8123</v>
      </c>
      <c r="F476">
        <v>301.2</v>
      </c>
      <c r="G476">
        <v>221.46665999999999</v>
      </c>
      <c r="H476">
        <v>1.3600242</v>
      </c>
      <c r="I476">
        <v>-0.36002418000000003</v>
      </c>
      <c r="J476">
        <v>0.42372447000000002</v>
      </c>
    </row>
    <row r="477" spans="1:10" x14ac:dyDescent="0.3">
      <c r="A477">
        <v>475</v>
      </c>
      <c r="B477">
        <v>9833</v>
      </c>
      <c r="C477" t="b">
        <v>1</v>
      </c>
      <c r="D477">
        <v>8077</v>
      </c>
      <c r="E477">
        <v>8105</v>
      </c>
      <c r="F477">
        <v>300.06668000000002</v>
      </c>
      <c r="G477">
        <v>221.13333</v>
      </c>
      <c r="H477">
        <v>1.3569491</v>
      </c>
      <c r="I477">
        <v>-0.35694912000000001</v>
      </c>
      <c r="J477">
        <v>0.42427730000000002</v>
      </c>
    </row>
    <row r="478" spans="1:10" x14ac:dyDescent="0.3">
      <c r="A478">
        <v>476</v>
      </c>
      <c r="B478">
        <v>9864</v>
      </c>
      <c r="C478" t="b">
        <v>1</v>
      </c>
      <c r="D478">
        <v>8106</v>
      </c>
      <c r="E478">
        <v>8129</v>
      </c>
      <c r="F478">
        <v>298.93331999999998</v>
      </c>
      <c r="G478">
        <v>220.4</v>
      </c>
      <c r="H478">
        <v>1.3563217999999999</v>
      </c>
      <c r="I478">
        <v>-0.35632180000000002</v>
      </c>
      <c r="J478">
        <v>0.42439026000000002</v>
      </c>
    </row>
    <row r="479" spans="1:10" x14ac:dyDescent="0.3">
      <c r="A479">
        <v>477</v>
      </c>
      <c r="B479">
        <v>9896</v>
      </c>
      <c r="C479" t="b">
        <v>1</v>
      </c>
      <c r="D479">
        <v>8135</v>
      </c>
      <c r="E479">
        <v>8152</v>
      </c>
      <c r="F479">
        <v>297</v>
      </c>
      <c r="G479">
        <v>219.66667000000001</v>
      </c>
      <c r="H479">
        <v>1.3520485</v>
      </c>
      <c r="I479">
        <v>-0.35204851999999998</v>
      </c>
      <c r="J479">
        <v>0.42516126999999998</v>
      </c>
    </row>
    <row r="480" spans="1:10" x14ac:dyDescent="0.3">
      <c r="A480">
        <v>478</v>
      </c>
      <c r="B480">
        <v>9912</v>
      </c>
      <c r="C480" t="b">
        <v>1</v>
      </c>
      <c r="D480">
        <v>8117</v>
      </c>
      <c r="E480">
        <v>8111</v>
      </c>
      <c r="F480">
        <v>295.46667000000002</v>
      </c>
      <c r="G480">
        <v>218.93333000000001</v>
      </c>
      <c r="H480">
        <v>1.3495737000000001</v>
      </c>
      <c r="I480">
        <v>-0.34957373000000003</v>
      </c>
      <c r="J480">
        <v>0.42560910000000002</v>
      </c>
    </row>
    <row r="481" spans="1:10" x14ac:dyDescent="0.3">
      <c r="A481">
        <v>479</v>
      </c>
      <c r="B481">
        <v>9928</v>
      </c>
      <c r="C481" t="b">
        <v>1</v>
      </c>
      <c r="D481">
        <v>8140</v>
      </c>
      <c r="E481">
        <v>8152</v>
      </c>
      <c r="F481">
        <v>294.26666</v>
      </c>
      <c r="G481">
        <v>218.6</v>
      </c>
      <c r="H481">
        <v>1.3461419999999999</v>
      </c>
      <c r="I481">
        <v>-0.34614204999999998</v>
      </c>
      <c r="J481">
        <v>0.42623161999999998</v>
      </c>
    </row>
    <row r="482" spans="1:10" x14ac:dyDescent="0.3">
      <c r="A482">
        <v>480</v>
      </c>
      <c r="B482">
        <v>9944</v>
      </c>
      <c r="C482" t="b">
        <v>1</v>
      </c>
      <c r="D482">
        <v>8152</v>
      </c>
      <c r="E482">
        <v>8129</v>
      </c>
      <c r="F482">
        <v>292.73334</v>
      </c>
      <c r="G482">
        <v>218.26666</v>
      </c>
      <c r="H482">
        <v>1.3411728999999999</v>
      </c>
      <c r="I482">
        <v>-0.34117292999999999</v>
      </c>
      <c r="J482">
        <v>0.42713633000000001</v>
      </c>
    </row>
    <row r="483" spans="1:10" x14ac:dyDescent="0.3">
      <c r="A483">
        <v>481</v>
      </c>
      <c r="B483">
        <v>9959</v>
      </c>
      <c r="C483" t="b">
        <v>1</v>
      </c>
      <c r="D483">
        <v>8100</v>
      </c>
      <c r="E483">
        <v>8134</v>
      </c>
      <c r="F483">
        <v>291.2</v>
      </c>
      <c r="G483">
        <v>218.26666</v>
      </c>
      <c r="H483">
        <v>1.3341479000000001</v>
      </c>
      <c r="I483">
        <v>-0.3341479</v>
      </c>
      <c r="J483">
        <v>0.42842184999999999</v>
      </c>
    </row>
    <row r="484" spans="1:10" x14ac:dyDescent="0.3">
      <c r="A484">
        <v>482</v>
      </c>
      <c r="B484">
        <v>9991</v>
      </c>
      <c r="C484" t="b">
        <v>1</v>
      </c>
      <c r="D484">
        <v>8088</v>
      </c>
      <c r="E484">
        <v>8123</v>
      </c>
      <c r="F484">
        <v>288.46667000000002</v>
      </c>
      <c r="G484">
        <v>217.93333000000001</v>
      </c>
      <c r="H484">
        <v>1.3236463999999999</v>
      </c>
      <c r="I484">
        <v>-0.3236464</v>
      </c>
      <c r="J484">
        <v>0.43035804999999999</v>
      </c>
    </row>
    <row r="485" spans="1:10" x14ac:dyDescent="0.3">
      <c r="A485">
        <v>483</v>
      </c>
      <c r="B485">
        <v>10007</v>
      </c>
      <c r="C485" t="b">
        <v>1</v>
      </c>
      <c r="D485">
        <v>8083</v>
      </c>
      <c r="E485">
        <v>8117</v>
      </c>
      <c r="F485">
        <v>284.60000000000002</v>
      </c>
      <c r="G485">
        <v>217.93333000000001</v>
      </c>
      <c r="H485">
        <v>1.3059038999999999</v>
      </c>
      <c r="I485">
        <v>-0.30590397000000003</v>
      </c>
      <c r="J485">
        <v>0.43366942000000003</v>
      </c>
    </row>
    <row r="486" spans="1:10" x14ac:dyDescent="0.3">
      <c r="A486">
        <v>484</v>
      </c>
      <c r="B486">
        <v>10023</v>
      </c>
      <c r="C486" t="b">
        <v>1</v>
      </c>
      <c r="D486">
        <v>8071</v>
      </c>
      <c r="E486">
        <v>8170</v>
      </c>
      <c r="F486">
        <v>280.33334000000002</v>
      </c>
      <c r="G486">
        <v>217.2</v>
      </c>
      <c r="H486">
        <v>1.2906692</v>
      </c>
      <c r="I486">
        <v>-0.29066916999999998</v>
      </c>
      <c r="J486">
        <v>0.43655366000000001</v>
      </c>
    </row>
    <row r="487" spans="1:10" x14ac:dyDescent="0.3">
      <c r="A487">
        <v>485</v>
      </c>
      <c r="B487">
        <v>10038</v>
      </c>
      <c r="C487" t="b">
        <v>1</v>
      </c>
      <c r="D487">
        <v>8065</v>
      </c>
      <c r="E487">
        <v>8129</v>
      </c>
      <c r="F487">
        <v>275.73334</v>
      </c>
      <c r="G487">
        <v>216.46665999999999</v>
      </c>
      <c r="H487">
        <v>1.2737912</v>
      </c>
      <c r="I487">
        <v>-0.27379124999999999</v>
      </c>
      <c r="J487">
        <v>0.43979410000000002</v>
      </c>
    </row>
    <row r="488" spans="1:10" x14ac:dyDescent="0.3">
      <c r="A488">
        <v>486</v>
      </c>
      <c r="B488">
        <v>10070</v>
      </c>
      <c r="C488" t="b">
        <v>1</v>
      </c>
      <c r="D488">
        <v>8100</v>
      </c>
      <c r="E488">
        <v>8117</v>
      </c>
      <c r="F488">
        <v>271.93331999999998</v>
      </c>
      <c r="G488">
        <v>215.33332999999999</v>
      </c>
      <c r="H488">
        <v>1.2628482999999999</v>
      </c>
      <c r="I488">
        <v>-0.26284826</v>
      </c>
      <c r="J488">
        <v>0.44192090000000001</v>
      </c>
    </row>
    <row r="489" spans="1:10" x14ac:dyDescent="0.3">
      <c r="A489">
        <v>487</v>
      </c>
      <c r="B489">
        <v>10086</v>
      </c>
      <c r="C489" t="b">
        <v>1</v>
      </c>
      <c r="D489">
        <v>8106</v>
      </c>
      <c r="E489">
        <v>8129</v>
      </c>
      <c r="F489">
        <v>267.33334000000002</v>
      </c>
      <c r="G489">
        <v>214.6</v>
      </c>
      <c r="H489">
        <v>1.2457285</v>
      </c>
      <c r="I489">
        <v>-0.24572849999999999</v>
      </c>
      <c r="J489">
        <v>0.44528980000000001</v>
      </c>
    </row>
    <row r="490" spans="1:10" x14ac:dyDescent="0.3">
      <c r="A490">
        <v>488</v>
      </c>
      <c r="B490">
        <v>10117</v>
      </c>
      <c r="C490" t="b">
        <v>1</v>
      </c>
      <c r="D490">
        <v>8111</v>
      </c>
      <c r="E490">
        <v>8129</v>
      </c>
      <c r="F490">
        <v>263.86667</v>
      </c>
      <c r="G490">
        <v>213.86667</v>
      </c>
      <c r="H490">
        <v>1.2337905</v>
      </c>
      <c r="I490">
        <v>-0.23379052</v>
      </c>
      <c r="J490">
        <v>0.44766957000000002</v>
      </c>
    </row>
    <row r="491" spans="1:10" x14ac:dyDescent="0.3">
      <c r="A491">
        <v>489</v>
      </c>
      <c r="B491">
        <v>10133</v>
      </c>
      <c r="C491" t="b">
        <v>1</v>
      </c>
      <c r="D491">
        <v>8071</v>
      </c>
      <c r="E491">
        <v>8129</v>
      </c>
      <c r="F491">
        <v>263.13333</v>
      </c>
      <c r="G491">
        <v>213.53334000000001</v>
      </c>
      <c r="H491">
        <v>1.2322822</v>
      </c>
      <c r="I491">
        <v>-0.23228219</v>
      </c>
      <c r="J491">
        <v>0.44797203000000002</v>
      </c>
    </row>
    <row r="492" spans="1:10" x14ac:dyDescent="0.3">
      <c r="A492">
        <v>490</v>
      </c>
      <c r="B492">
        <v>10149</v>
      </c>
      <c r="C492" t="b">
        <v>1</v>
      </c>
      <c r="D492">
        <v>8094</v>
      </c>
      <c r="E492">
        <v>8117</v>
      </c>
      <c r="F492">
        <v>263.13333</v>
      </c>
      <c r="G492">
        <v>213.53334000000001</v>
      </c>
      <c r="H492">
        <v>1.2322822</v>
      </c>
      <c r="I492">
        <v>-0.23228219</v>
      </c>
      <c r="J492">
        <v>0.44797203000000002</v>
      </c>
    </row>
    <row r="493" spans="1:10" x14ac:dyDescent="0.3">
      <c r="A493">
        <v>491</v>
      </c>
      <c r="B493">
        <v>10165</v>
      </c>
      <c r="C493" t="b">
        <v>1</v>
      </c>
      <c r="D493">
        <v>8135</v>
      </c>
      <c r="E493">
        <v>8146</v>
      </c>
      <c r="F493">
        <v>263.53332999999998</v>
      </c>
      <c r="G493">
        <v>213.53334000000001</v>
      </c>
      <c r="H493">
        <v>1.2341553999999999</v>
      </c>
      <c r="I493">
        <v>-0.23415540000000001</v>
      </c>
      <c r="J493">
        <v>0.44759645999999997</v>
      </c>
    </row>
    <row r="494" spans="1:10" x14ac:dyDescent="0.3">
      <c r="A494">
        <v>492</v>
      </c>
      <c r="B494">
        <v>10181</v>
      </c>
      <c r="C494" t="b">
        <v>1</v>
      </c>
      <c r="D494">
        <v>8083</v>
      </c>
      <c r="E494">
        <v>8146</v>
      </c>
      <c r="F494">
        <v>263.13333</v>
      </c>
      <c r="G494">
        <v>213.53334000000001</v>
      </c>
      <c r="H494">
        <v>1.2322822</v>
      </c>
      <c r="I494">
        <v>-0.23228219</v>
      </c>
      <c r="J494">
        <v>0.44797203000000002</v>
      </c>
    </row>
    <row r="495" spans="1:10" x14ac:dyDescent="0.3">
      <c r="A495">
        <v>493</v>
      </c>
      <c r="B495">
        <v>10213</v>
      </c>
      <c r="C495" t="b">
        <v>1</v>
      </c>
      <c r="D495">
        <v>8117</v>
      </c>
      <c r="E495">
        <v>8158</v>
      </c>
      <c r="F495">
        <v>262.33334000000002</v>
      </c>
      <c r="G495">
        <v>215.06666999999999</v>
      </c>
      <c r="H495">
        <v>1.2197769000000001</v>
      </c>
      <c r="I495">
        <v>-0.21977687000000001</v>
      </c>
      <c r="J495">
        <v>0.45049571999999999</v>
      </c>
    </row>
    <row r="496" spans="1:10" x14ac:dyDescent="0.3">
      <c r="A496">
        <v>494</v>
      </c>
      <c r="B496">
        <v>10229</v>
      </c>
      <c r="C496" t="b">
        <v>1</v>
      </c>
      <c r="D496">
        <v>8135</v>
      </c>
      <c r="E496">
        <v>8117</v>
      </c>
      <c r="F496">
        <v>262.33334000000002</v>
      </c>
      <c r="G496">
        <v>216.2</v>
      </c>
      <c r="H496">
        <v>1.2133826999999999</v>
      </c>
      <c r="I496">
        <v>-0.21338273999999999</v>
      </c>
      <c r="J496">
        <v>0.45179715999999998</v>
      </c>
    </row>
    <row r="497" spans="1:10" x14ac:dyDescent="0.3">
      <c r="A497">
        <v>495</v>
      </c>
      <c r="B497">
        <v>10245</v>
      </c>
      <c r="C497" t="b">
        <v>1</v>
      </c>
      <c r="D497">
        <v>8135</v>
      </c>
      <c r="E497">
        <v>8105</v>
      </c>
      <c r="F497">
        <v>262.33334000000002</v>
      </c>
      <c r="G497">
        <v>217.33332999999999</v>
      </c>
      <c r="H497">
        <v>1.2070552999999999</v>
      </c>
      <c r="I497">
        <v>-0.20705529</v>
      </c>
      <c r="J497">
        <v>0.45309240000000001</v>
      </c>
    </row>
    <row r="498" spans="1:10" x14ac:dyDescent="0.3">
      <c r="A498">
        <v>496</v>
      </c>
      <c r="B498">
        <v>10261</v>
      </c>
      <c r="C498" t="b">
        <v>1</v>
      </c>
      <c r="D498">
        <v>8106</v>
      </c>
      <c r="E498">
        <v>8146</v>
      </c>
      <c r="F498">
        <v>261.13333</v>
      </c>
      <c r="G498">
        <v>218.13333</v>
      </c>
      <c r="H498">
        <v>1.1971271000000001</v>
      </c>
      <c r="I498">
        <v>-0.19712715</v>
      </c>
      <c r="J498">
        <v>0.45513979999999998</v>
      </c>
    </row>
    <row r="499" spans="1:10" x14ac:dyDescent="0.3">
      <c r="A499">
        <v>497</v>
      </c>
      <c r="B499">
        <v>10292</v>
      </c>
      <c r="C499" t="b">
        <v>1</v>
      </c>
      <c r="D499">
        <v>8123</v>
      </c>
      <c r="E499">
        <v>8117</v>
      </c>
      <c r="F499">
        <v>261.53332999999998</v>
      </c>
      <c r="G499">
        <v>217.33332999999999</v>
      </c>
      <c r="H499">
        <v>1.2033742999999999</v>
      </c>
      <c r="I499">
        <v>-0.20337421999999999</v>
      </c>
      <c r="J499">
        <v>0.45384938000000002</v>
      </c>
    </row>
    <row r="500" spans="1:10" x14ac:dyDescent="0.3">
      <c r="A500">
        <v>498</v>
      </c>
      <c r="B500">
        <v>10324</v>
      </c>
      <c r="C500" t="b">
        <v>1</v>
      </c>
      <c r="D500">
        <v>8111</v>
      </c>
      <c r="E500">
        <v>8146</v>
      </c>
      <c r="F500">
        <v>263.06668000000002</v>
      </c>
      <c r="G500">
        <v>216.53334000000001</v>
      </c>
      <c r="H500">
        <v>1.2149014</v>
      </c>
      <c r="I500">
        <v>-0.2149015</v>
      </c>
      <c r="J500">
        <v>0.45148733000000002</v>
      </c>
    </row>
    <row r="501" spans="1:10" x14ac:dyDescent="0.3">
      <c r="A501">
        <v>499</v>
      </c>
      <c r="B501">
        <v>10356</v>
      </c>
      <c r="C501" t="b">
        <v>1</v>
      </c>
      <c r="D501">
        <v>8117</v>
      </c>
      <c r="E501">
        <v>8134</v>
      </c>
      <c r="F501">
        <v>265</v>
      </c>
      <c r="G501">
        <v>216.86667</v>
      </c>
      <c r="H501">
        <v>1.221949</v>
      </c>
      <c r="I501">
        <v>-0.22194895000000001</v>
      </c>
      <c r="J501">
        <v>0.45005532999999998</v>
      </c>
    </row>
    <row r="502" spans="1:10" x14ac:dyDescent="0.3">
      <c r="A502">
        <v>500</v>
      </c>
      <c r="B502">
        <v>10388</v>
      </c>
      <c r="C502" t="b">
        <v>1</v>
      </c>
      <c r="D502">
        <v>8077</v>
      </c>
      <c r="E502">
        <v>8105</v>
      </c>
      <c r="F502">
        <v>266.86667</v>
      </c>
      <c r="G502">
        <v>217.2</v>
      </c>
      <c r="H502">
        <v>1.2286680000000001</v>
      </c>
      <c r="I502">
        <v>-0.22866791</v>
      </c>
      <c r="J502">
        <v>0.44869851999999999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2EE-35D8-4492-8D89-E619023C044C}">
  <dimension ref="A1:J502"/>
  <sheetViews>
    <sheetView workbookViewId="0">
      <selection activeCell="L15" sqref="L15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208</v>
      </c>
      <c r="G2">
        <v>208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23</v>
      </c>
      <c r="C3" t="b">
        <v>1</v>
      </c>
      <c r="D3">
        <v>8100</v>
      </c>
      <c r="E3">
        <v>8111</v>
      </c>
      <c r="F3">
        <v>234</v>
      </c>
      <c r="G3">
        <v>208</v>
      </c>
      <c r="H3">
        <v>1.125</v>
      </c>
      <c r="I3">
        <v>-0.125</v>
      </c>
      <c r="J3">
        <v>0.47058823999999999</v>
      </c>
    </row>
    <row r="4" spans="1:10" x14ac:dyDescent="0.3">
      <c r="A4">
        <v>2</v>
      </c>
      <c r="B4">
        <v>38</v>
      </c>
      <c r="C4" t="b">
        <v>1</v>
      </c>
      <c r="D4">
        <v>8071</v>
      </c>
      <c r="E4">
        <v>8134</v>
      </c>
      <c r="F4">
        <v>233</v>
      </c>
      <c r="G4">
        <v>208</v>
      </c>
      <c r="H4">
        <v>1.1201923</v>
      </c>
      <c r="I4">
        <v>-0.120192304</v>
      </c>
      <c r="J4">
        <v>0.47165533999999998</v>
      </c>
    </row>
    <row r="5" spans="1:10" x14ac:dyDescent="0.3">
      <c r="A5">
        <v>3</v>
      </c>
      <c r="B5">
        <v>54</v>
      </c>
      <c r="C5" t="b">
        <v>1</v>
      </c>
      <c r="D5">
        <v>8065</v>
      </c>
      <c r="E5">
        <v>8105</v>
      </c>
      <c r="F5">
        <v>232.5</v>
      </c>
      <c r="G5">
        <v>208</v>
      </c>
      <c r="H5">
        <v>1.1177884</v>
      </c>
      <c r="I5">
        <v>-0.117788464</v>
      </c>
      <c r="J5">
        <v>0.47219067999999997</v>
      </c>
    </row>
    <row r="6" spans="1:10" x14ac:dyDescent="0.3">
      <c r="A6">
        <v>4</v>
      </c>
      <c r="B6">
        <v>69</v>
      </c>
      <c r="C6" t="b">
        <v>1</v>
      </c>
      <c r="D6">
        <v>8065</v>
      </c>
      <c r="E6">
        <v>8123</v>
      </c>
      <c r="F6">
        <v>231</v>
      </c>
      <c r="G6">
        <v>208</v>
      </c>
      <c r="H6">
        <v>1.1105769000000001</v>
      </c>
      <c r="I6">
        <v>-0.11057692</v>
      </c>
      <c r="J6">
        <v>0.47380410000000001</v>
      </c>
    </row>
    <row r="7" spans="1:10" x14ac:dyDescent="0.3">
      <c r="A7">
        <v>5</v>
      </c>
      <c r="B7">
        <v>85</v>
      </c>
      <c r="C7" t="b">
        <v>1</v>
      </c>
      <c r="D7">
        <v>8071</v>
      </c>
      <c r="E7">
        <v>8134</v>
      </c>
      <c r="F7">
        <v>231</v>
      </c>
      <c r="G7">
        <v>208</v>
      </c>
      <c r="H7">
        <v>1.1105769000000001</v>
      </c>
      <c r="I7">
        <v>-0.11057692</v>
      </c>
      <c r="J7">
        <v>0.47380410000000001</v>
      </c>
    </row>
    <row r="8" spans="1:10" x14ac:dyDescent="0.3">
      <c r="A8">
        <v>6</v>
      </c>
      <c r="B8">
        <v>101</v>
      </c>
      <c r="C8" t="b">
        <v>1</v>
      </c>
      <c r="D8">
        <v>8065</v>
      </c>
      <c r="E8">
        <v>8164</v>
      </c>
      <c r="F8">
        <v>230.14285000000001</v>
      </c>
      <c r="G8">
        <v>209.57142999999999</v>
      </c>
      <c r="H8">
        <v>1.0981596</v>
      </c>
      <c r="I8">
        <v>-9.8159499999999997E-2</v>
      </c>
      <c r="J8">
        <v>0.47660819999999998</v>
      </c>
    </row>
    <row r="9" spans="1:10" x14ac:dyDescent="0.3">
      <c r="A9">
        <v>7</v>
      </c>
      <c r="B9">
        <v>117</v>
      </c>
      <c r="C9" t="b">
        <v>1</v>
      </c>
      <c r="D9">
        <v>8100</v>
      </c>
      <c r="E9">
        <v>8129</v>
      </c>
      <c r="F9">
        <v>229.5</v>
      </c>
      <c r="G9">
        <v>210.125</v>
      </c>
      <c r="H9">
        <v>1.0922071</v>
      </c>
      <c r="I9">
        <v>-9.2207020000000001E-2</v>
      </c>
      <c r="J9">
        <v>0.47796416000000003</v>
      </c>
    </row>
    <row r="10" spans="1:10" x14ac:dyDescent="0.3">
      <c r="A10">
        <v>8</v>
      </c>
      <c r="B10">
        <v>133</v>
      </c>
      <c r="C10" t="b">
        <v>1</v>
      </c>
      <c r="D10">
        <v>8100</v>
      </c>
      <c r="E10">
        <v>8117</v>
      </c>
      <c r="F10">
        <v>229.66667000000001</v>
      </c>
      <c r="G10">
        <v>210.55556000000001</v>
      </c>
      <c r="H10">
        <v>1.0907652000000001</v>
      </c>
      <c r="I10">
        <v>-9.0765185999999998E-2</v>
      </c>
      <c r="J10">
        <v>0.47829378</v>
      </c>
    </row>
    <row r="11" spans="1:10" x14ac:dyDescent="0.3">
      <c r="A11">
        <v>9</v>
      </c>
      <c r="B11">
        <v>149</v>
      </c>
      <c r="C11" t="b">
        <v>1</v>
      </c>
      <c r="D11">
        <v>8048</v>
      </c>
      <c r="E11">
        <v>8146</v>
      </c>
      <c r="F11">
        <v>229.8</v>
      </c>
      <c r="G11">
        <v>211.4</v>
      </c>
      <c r="H11">
        <v>1.0870389</v>
      </c>
      <c r="I11">
        <v>-8.7038840000000006E-2</v>
      </c>
      <c r="J11">
        <v>0.47914775999999998</v>
      </c>
    </row>
    <row r="12" spans="1:10" x14ac:dyDescent="0.3">
      <c r="A12">
        <v>10</v>
      </c>
      <c r="B12">
        <v>165</v>
      </c>
      <c r="C12" t="b">
        <v>1</v>
      </c>
      <c r="D12">
        <v>8030</v>
      </c>
      <c r="E12">
        <v>8146</v>
      </c>
      <c r="F12">
        <v>229.36363</v>
      </c>
      <c r="G12">
        <v>213.18181999999999</v>
      </c>
      <c r="H12">
        <v>1.0759061999999999</v>
      </c>
      <c r="I12">
        <v>-7.5906135E-2</v>
      </c>
      <c r="J12">
        <v>0.48171732</v>
      </c>
    </row>
    <row r="13" spans="1:10" x14ac:dyDescent="0.3">
      <c r="A13">
        <v>11</v>
      </c>
      <c r="B13">
        <v>180</v>
      </c>
      <c r="C13" t="b">
        <v>1</v>
      </c>
      <c r="D13">
        <v>8060</v>
      </c>
      <c r="E13">
        <v>8134</v>
      </c>
      <c r="F13">
        <v>228.58332999999999</v>
      </c>
      <c r="G13">
        <v>213.66667000000001</v>
      </c>
      <c r="H13">
        <v>1.0698128</v>
      </c>
      <c r="I13">
        <v>-6.9812744999999995E-2</v>
      </c>
      <c r="J13">
        <v>0.4831355</v>
      </c>
    </row>
    <row r="14" spans="1:10" x14ac:dyDescent="0.3">
      <c r="A14">
        <v>12</v>
      </c>
      <c r="B14">
        <v>196</v>
      </c>
      <c r="C14" t="b">
        <v>1</v>
      </c>
      <c r="D14">
        <v>8042</v>
      </c>
      <c r="E14">
        <v>8111</v>
      </c>
      <c r="F14">
        <v>227</v>
      </c>
      <c r="G14">
        <v>214.07692</v>
      </c>
      <c r="H14">
        <v>1.0603665</v>
      </c>
      <c r="I14">
        <v>-6.0366530000000002E-2</v>
      </c>
      <c r="J14">
        <v>0.48535054999999999</v>
      </c>
    </row>
    <row r="15" spans="1:10" x14ac:dyDescent="0.3">
      <c r="A15">
        <v>13</v>
      </c>
      <c r="B15">
        <v>212</v>
      </c>
      <c r="C15" t="b">
        <v>1</v>
      </c>
      <c r="D15">
        <v>8060</v>
      </c>
      <c r="E15">
        <v>8129</v>
      </c>
      <c r="F15">
        <v>225.64285000000001</v>
      </c>
      <c r="G15">
        <v>214.42857000000001</v>
      </c>
      <c r="H15">
        <v>1.0522984</v>
      </c>
      <c r="I15">
        <v>-5.2298438000000003E-2</v>
      </c>
      <c r="J15">
        <v>0.48725858</v>
      </c>
    </row>
    <row r="16" spans="1:10" x14ac:dyDescent="0.3">
      <c r="A16">
        <v>14</v>
      </c>
      <c r="B16">
        <v>227</v>
      </c>
      <c r="C16" t="b">
        <v>1</v>
      </c>
      <c r="D16">
        <v>8077</v>
      </c>
      <c r="E16">
        <v>8152</v>
      </c>
      <c r="F16">
        <v>225.26666</v>
      </c>
      <c r="G16">
        <v>214.73334</v>
      </c>
      <c r="H16">
        <v>1.0490531000000001</v>
      </c>
      <c r="I16">
        <v>-4.9053050000000001E-2</v>
      </c>
      <c r="J16">
        <v>0.48803029999999997</v>
      </c>
    </row>
    <row r="17" spans="1:10" x14ac:dyDescent="0.3">
      <c r="A17">
        <v>15</v>
      </c>
      <c r="B17">
        <v>244</v>
      </c>
      <c r="C17" t="b">
        <v>1</v>
      </c>
      <c r="D17">
        <v>8042</v>
      </c>
      <c r="E17">
        <v>8140</v>
      </c>
      <c r="F17">
        <v>226.06666999999999</v>
      </c>
      <c r="G17">
        <v>215.46665999999999</v>
      </c>
      <c r="H17">
        <v>1.0491954999999999</v>
      </c>
      <c r="I17">
        <v>-4.9195572999999999E-2</v>
      </c>
      <c r="J17">
        <v>0.48799637000000001</v>
      </c>
    </row>
    <row r="18" spans="1:10" x14ac:dyDescent="0.3">
      <c r="A18">
        <v>16</v>
      </c>
      <c r="B18">
        <v>260</v>
      </c>
      <c r="C18" t="b">
        <v>1</v>
      </c>
      <c r="D18">
        <v>8077</v>
      </c>
      <c r="E18">
        <v>8123</v>
      </c>
      <c r="F18">
        <v>223.4</v>
      </c>
      <c r="G18">
        <v>215.86667</v>
      </c>
      <c r="H18">
        <v>1.0348980000000001</v>
      </c>
      <c r="I18">
        <v>-3.4898046000000002E-2</v>
      </c>
      <c r="J18">
        <v>0.4914251</v>
      </c>
    </row>
    <row r="19" spans="1:10" x14ac:dyDescent="0.3">
      <c r="A19">
        <v>17</v>
      </c>
      <c r="B19">
        <v>275</v>
      </c>
      <c r="C19" t="b">
        <v>1</v>
      </c>
      <c r="D19">
        <v>8088</v>
      </c>
      <c r="E19">
        <v>8123</v>
      </c>
      <c r="F19">
        <v>223.8</v>
      </c>
      <c r="G19">
        <v>216.26666</v>
      </c>
      <c r="H19">
        <v>1.0348336</v>
      </c>
      <c r="I19">
        <v>-3.4833573E-2</v>
      </c>
      <c r="J19">
        <v>0.49144070000000001</v>
      </c>
    </row>
    <row r="20" spans="1:10" x14ac:dyDescent="0.3">
      <c r="A20">
        <v>18</v>
      </c>
      <c r="B20">
        <v>291</v>
      </c>
      <c r="C20" t="b">
        <v>1</v>
      </c>
      <c r="D20">
        <v>8048</v>
      </c>
      <c r="E20">
        <v>8117</v>
      </c>
      <c r="F20">
        <v>224.2</v>
      </c>
      <c r="G20">
        <v>216.26666</v>
      </c>
      <c r="H20">
        <v>1.0366831000000001</v>
      </c>
      <c r="I20">
        <v>-3.6683111999999997E-2</v>
      </c>
      <c r="J20">
        <v>0.4909944</v>
      </c>
    </row>
    <row r="21" spans="1:10" x14ac:dyDescent="0.3">
      <c r="A21">
        <v>19</v>
      </c>
      <c r="B21">
        <v>307</v>
      </c>
      <c r="C21" t="b">
        <v>1</v>
      </c>
      <c r="D21">
        <v>8030</v>
      </c>
      <c r="E21">
        <v>8134</v>
      </c>
      <c r="F21">
        <v>223.06666999999999</v>
      </c>
      <c r="G21">
        <v>216.26666</v>
      </c>
      <c r="H21">
        <v>1.0314426000000001</v>
      </c>
      <c r="I21">
        <v>-3.1442680000000001E-2</v>
      </c>
      <c r="J21">
        <v>0.49226101999999999</v>
      </c>
    </row>
    <row r="22" spans="1:10" x14ac:dyDescent="0.3">
      <c r="A22">
        <v>20</v>
      </c>
      <c r="B22">
        <v>323</v>
      </c>
      <c r="C22" t="b">
        <v>1</v>
      </c>
      <c r="D22">
        <v>8042</v>
      </c>
      <c r="E22">
        <v>8146</v>
      </c>
      <c r="F22">
        <v>221.53334000000001</v>
      </c>
      <c r="G22">
        <v>216.26666</v>
      </c>
      <c r="H22">
        <v>1.0243526999999999</v>
      </c>
      <c r="I22">
        <v>-2.4352703E-2</v>
      </c>
      <c r="J22">
        <v>0.49398510000000001</v>
      </c>
    </row>
    <row r="23" spans="1:10" x14ac:dyDescent="0.3">
      <c r="A23">
        <v>21</v>
      </c>
      <c r="B23">
        <v>339</v>
      </c>
      <c r="C23" t="b">
        <v>1</v>
      </c>
      <c r="D23">
        <v>8054</v>
      </c>
      <c r="E23">
        <v>8134</v>
      </c>
      <c r="F23">
        <v>220.4</v>
      </c>
      <c r="G23">
        <v>216.26666</v>
      </c>
      <c r="H23">
        <v>1.0191121999999999</v>
      </c>
      <c r="I23">
        <v>-1.9112198E-2</v>
      </c>
      <c r="J23">
        <v>0.49526717999999997</v>
      </c>
    </row>
    <row r="24" spans="1:10" x14ac:dyDescent="0.3">
      <c r="A24">
        <v>22</v>
      </c>
      <c r="B24">
        <v>355</v>
      </c>
      <c r="C24" t="b">
        <v>1</v>
      </c>
      <c r="D24">
        <v>8065</v>
      </c>
      <c r="E24">
        <v>8146</v>
      </c>
      <c r="F24">
        <v>219.26666</v>
      </c>
      <c r="G24">
        <v>216.6</v>
      </c>
      <c r="H24">
        <v>1.0123115</v>
      </c>
      <c r="I24">
        <v>-1.2311433E-2</v>
      </c>
      <c r="J24">
        <v>0.49694096999999998</v>
      </c>
    </row>
    <row r="25" spans="1:10" x14ac:dyDescent="0.3">
      <c r="A25">
        <v>23</v>
      </c>
      <c r="B25">
        <v>386</v>
      </c>
      <c r="C25" t="b">
        <v>1</v>
      </c>
      <c r="D25">
        <v>8094</v>
      </c>
      <c r="E25">
        <v>8111</v>
      </c>
      <c r="F25">
        <v>218.13333</v>
      </c>
      <c r="G25">
        <v>216.93333000000001</v>
      </c>
      <c r="H25">
        <v>1.0055316999999999</v>
      </c>
      <c r="I25">
        <v>-5.5316393000000002E-3</v>
      </c>
      <c r="J25">
        <v>0.49862093000000002</v>
      </c>
    </row>
    <row r="26" spans="1:10" x14ac:dyDescent="0.3">
      <c r="A26">
        <v>24</v>
      </c>
      <c r="B26">
        <v>418</v>
      </c>
      <c r="C26" t="b">
        <v>1</v>
      </c>
      <c r="D26">
        <v>8042</v>
      </c>
      <c r="E26">
        <v>8140</v>
      </c>
      <c r="F26">
        <v>217</v>
      </c>
      <c r="G26">
        <v>217.33332999999999</v>
      </c>
      <c r="H26">
        <v>0.99846625</v>
      </c>
      <c r="I26">
        <v>1.533719E-3</v>
      </c>
      <c r="J26">
        <v>0.50038373000000003</v>
      </c>
    </row>
    <row r="27" spans="1:10" x14ac:dyDescent="0.3">
      <c r="A27">
        <v>25</v>
      </c>
      <c r="B27">
        <v>450</v>
      </c>
      <c r="C27" t="b">
        <v>1</v>
      </c>
      <c r="D27">
        <v>8071</v>
      </c>
      <c r="E27">
        <v>8146</v>
      </c>
      <c r="F27">
        <v>217</v>
      </c>
      <c r="G27">
        <v>216.93333000000001</v>
      </c>
      <c r="H27">
        <v>1.0003073</v>
      </c>
      <c r="I27">
        <v>-3.0730938000000002E-4</v>
      </c>
      <c r="J27">
        <v>0.49992316999999997</v>
      </c>
    </row>
    <row r="28" spans="1:10" x14ac:dyDescent="0.3">
      <c r="A28">
        <v>26</v>
      </c>
      <c r="B28">
        <v>482</v>
      </c>
      <c r="C28" t="b">
        <v>1</v>
      </c>
      <c r="D28">
        <v>8094</v>
      </c>
      <c r="E28">
        <v>8129</v>
      </c>
      <c r="F28">
        <v>217.73334</v>
      </c>
      <c r="G28">
        <v>217.33332999999999</v>
      </c>
      <c r="H28">
        <v>1.0018406</v>
      </c>
      <c r="I28">
        <v>-1.8405330000000001E-3</v>
      </c>
      <c r="J28">
        <v>0.49954029999999999</v>
      </c>
    </row>
    <row r="29" spans="1:10" x14ac:dyDescent="0.3">
      <c r="A29">
        <v>27</v>
      </c>
      <c r="B29">
        <v>513</v>
      </c>
      <c r="C29" t="b">
        <v>1</v>
      </c>
      <c r="D29">
        <v>8042</v>
      </c>
      <c r="E29">
        <v>8140</v>
      </c>
      <c r="F29">
        <v>219.26666</v>
      </c>
      <c r="G29">
        <v>217.73334</v>
      </c>
      <c r="H29">
        <v>1.0070422000000001</v>
      </c>
      <c r="I29">
        <v>-7.0422159999999996E-3</v>
      </c>
      <c r="J29">
        <v>0.49824562999999999</v>
      </c>
    </row>
    <row r="30" spans="1:10" x14ac:dyDescent="0.3">
      <c r="A30">
        <v>28</v>
      </c>
      <c r="B30">
        <v>545</v>
      </c>
      <c r="C30" t="b">
        <v>1</v>
      </c>
      <c r="D30">
        <v>8094</v>
      </c>
      <c r="E30">
        <v>8140</v>
      </c>
      <c r="F30">
        <v>220.8</v>
      </c>
      <c r="G30">
        <v>218.13333</v>
      </c>
      <c r="H30">
        <v>1.0122249000000001</v>
      </c>
      <c r="I30">
        <v>-1.2224962000000001E-2</v>
      </c>
      <c r="J30">
        <v>0.49696230000000002</v>
      </c>
    </row>
    <row r="31" spans="1:10" x14ac:dyDescent="0.3">
      <c r="A31">
        <v>29</v>
      </c>
      <c r="B31">
        <v>561</v>
      </c>
      <c r="C31" t="b">
        <v>1</v>
      </c>
      <c r="D31">
        <v>8100</v>
      </c>
      <c r="E31">
        <v>8146</v>
      </c>
      <c r="F31">
        <v>223.06666999999999</v>
      </c>
      <c r="G31">
        <v>218.53334000000001</v>
      </c>
      <c r="H31">
        <v>1.0207443</v>
      </c>
      <c r="I31">
        <v>-2.0744318000000001E-2</v>
      </c>
      <c r="J31">
        <v>0.49486714999999998</v>
      </c>
    </row>
    <row r="32" spans="1:10" x14ac:dyDescent="0.3">
      <c r="A32">
        <v>30</v>
      </c>
      <c r="B32">
        <v>577</v>
      </c>
      <c r="C32" t="b">
        <v>1</v>
      </c>
      <c r="D32">
        <v>8065</v>
      </c>
      <c r="E32">
        <v>8129</v>
      </c>
      <c r="F32">
        <v>225.33332999999999</v>
      </c>
      <c r="G32">
        <v>218.93333000000001</v>
      </c>
      <c r="H32">
        <v>1.0292326000000001</v>
      </c>
      <c r="I32">
        <v>-2.9232615999999999E-2</v>
      </c>
      <c r="J32">
        <v>0.49279714000000002</v>
      </c>
    </row>
    <row r="33" spans="1:10" x14ac:dyDescent="0.3">
      <c r="A33">
        <v>31</v>
      </c>
      <c r="B33">
        <v>592</v>
      </c>
      <c r="C33" t="b">
        <v>1</v>
      </c>
      <c r="D33">
        <v>8065</v>
      </c>
      <c r="E33">
        <v>8111</v>
      </c>
      <c r="F33">
        <v>225.66667000000001</v>
      </c>
      <c r="G33">
        <v>219.66667000000001</v>
      </c>
      <c r="H33">
        <v>1.0273140999999999</v>
      </c>
      <c r="I33">
        <v>-2.7314112000000002E-2</v>
      </c>
      <c r="J33">
        <v>0.49326347999999998</v>
      </c>
    </row>
    <row r="34" spans="1:10" x14ac:dyDescent="0.3">
      <c r="A34">
        <v>32</v>
      </c>
      <c r="B34">
        <v>608</v>
      </c>
      <c r="C34" t="b">
        <v>1</v>
      </c>
      <c r="D34">
        <v>8077</v>
      </c>
      <c r="E34">
        <v>8105</v>
      </c>
      <c r="F34">
        <v>225.66667000000001</v>
      </c>
      <c r="G34">
        <v>219.66667000000001</v>
      </c>
      <c r="H34">
        <v>1.0273140999999999</v>
      </c>
      <c r="I34">
        <v>-2.7314112000000002E-2</v>
      </c>
      <c r="J34">
        <v>0.49326347999999998</v>
      </c>
    </row>
    <row r="35" spans="1:10" x14ac:dyDescent="0.3">
      <c r="A35">
        <v>33</v>
      </c>
      <c r="B35">
        <v>624</v>
      </c>
      <c r="C35" t="b">
        <v>1</v>
      </c>
      <c r="D35">
        <v>8100</v>
      </c>
      <c r="E35">
        <v>8140</v>
      </c>
      <c r="F35">
        <v>225.66667000000001</v>
      </c>
      <c r="G35">
        <v>220.06666999999999</v>
      </c>
      <c r="H35">
        <v>1.0254468999999999</v>
      </c>
      <c r="I35">
        <v>-2.5446862000000001E-2</v>
      </c>
      <c r="J35">
        <v>0.4937182</v>
      </c>
    </row>
    <row r="36" spans="1:10" x14ac:dyDescent="0.3">
      <c r="A36">
        <v>34</v>
      </c>
      <c r="B36">
        <v>640</v>
      </c>
      <c r="C36" t="b">
        <v>1</v>
      </c>
      <c r="D36">
        <v>8030</v>
      </c>
      <c r="E36">
        <v>8134</v>
      </c>
      <c r="F36">
        <v>226.8</v>
      </c>
      <c r="G36">
        <v>220.46665999999999</v>
      </c>
      <c r="H36">
        <v>1.0287269000000001</v>
      </c>
      <c r="I36">
        <v>-2.8726990000000001E-2</v>
      </c>
      <c r="J36">
        <v>0.49291995</v>
      </c>
    </row>
    <row r="37" spans="1:10" x14ac:dyDescent="0.3">
      <c r="A37">
        <v>35</v>
      </c>
      <c r="B37">
        <v>656</v>
      </c>
      <c r="C37" t="b">
        <v>1</v>
      </c>
      <c r="D37">
        <v>8006</v>
      </c>
      <c r="E37">
        <v>8134</v>
      </c>
      <c r="F37">
        <v>227.93333000000001</v>
      </c>
      <c r="G37">
        <v>221.2</v>
      </c>
      <c r="H37">
        <v>1.0304401000000001</v>
      </c>
      <c r="I37">
        <v>-3.0440043999999999E-2</v>
      </c>
      <c r="J37">
        <v>0.4925041</v>
      </c>
    </row>
    <row r="38" spans="1:10" x14ac:dyDescent="0.3">
      <c r="A38">
        <v>36</v>
      </c>
      <c r="B38">
        <v>672</v>
      </c>
      <c r="C38" t="b">
        <v>1</v>
      </c>
      <c r="D38">
        <v>8100</v>
      </c>
      <c r="E38">
        <v>8176</v>
      </c>
      <c r="F38">
        <v>229.86667</v>
      </c>
      <c r="G38">
        <v>221.2</v>
      </c>
      <c r="H38">
        <v>1.0391802999999999</v>
      </c>
      <c r="I38">
        <v>-3.9180252999999998E-2</v>
      </c>
      <c r="J38">
        <v>0.49039315999999999</v>
      </c>
    </row>
    <row r="39" spans="1:10" x14ac:dyDescent="0.3">
      <c r="A39">
        <v>37</v>
      </c>
      <c r="B39">
        <v>688</v>
      </c>
      <c r="C39" t="b">
        <v>1</v>
      </c>
      <c r="D39">
        <v>8077</v>
      </c>
      <c r="E39">
        <v>8134</v>
      </c>
      <c r="F39">
        <v>231.8</v>
      </c>
      <c r="G39">
        <v>221.2</v>
      </c>
      <c r="H39">
        <v>1.0479205</v>
      </c>
      <c r="I39">
        <v>-4.7920459999999998E-2</v>
      </c>
      <c r="J39">
        <v>0.48830020000000002</v>
      </c>
    </row>
    <row r="40" spans="1:10" x14ac:dyDescent="0.3">
      <c r="A40">
        <v>38</v>
      </c>
      <c r="B40">
        <v>704</v>
      </c>
      <c r="C40" t="b">
        <v>1</v>
      </c>
      <c r="D40">
        <v>8106</v>
      </c>
      <c r="E40">
        <v>8123</v>
      </c>
      <c r="F40">
        <v>233.33332999999999</v>
      </c>
      <c r="G40">
        <v>221.2</v>
      </c>
      <c r="H40">
        <v>1.0548523999999999</v>
      </c>
      <c r="I40">
        <v>-5.4852310000000001E-2</v>
      </c>
      <c r="J40">
        <v>0.48665297000000002</v>
      </c>
    </row>
    <row r="41" spans="1:10" x14ac:dyDescent="0.3">
      <c r="A41">
        <v>39</v>
      </c>
      <c r="B41">
        <v>734</v>
      </c>
      <c r="C41" t="b">
        <v>1</v>
      </c>
      <c r="D41">
        <v>8065</v>
      </c>
      <c r="E41">
        <v>8105</v>
      </c>
      <c r="F41">
        <v>234.86667</v>
      </c>
      <c r="G41">
        <v>220.8</v>
      </c>
      <c r="H41">
        <v>1.0637076999999999</v>
      </c>
      <c r="I41">
        <v>-6.3707723999999993E-2</v>
      </c>
      <c r="J41">
        <v>0.48456472</v>
      </c>
    </row>
    <row r="42" spans="1:10" x14ac:dyDescent="0.3">
      <c r="A42">
        <v>40</v>
      </c>
      <c r="B42">
        <v>766</v>
      </c>
      <c r="C42" t="b">
        <v>1</v>
      </c>
      <c r="D42">
        <v>8083</v>
      </c>
      <c r="E42">
        <v>8099</v>
      </c>
      <c r="F42">
        <v>236.06666999999999</v>
      </c>
      <c r="G42">
        <v>219.66667000000001</v>
      </c>
      <c r="H42">
        <v>1.0746585</v>
      </c>
      <c r="I42">
        <v>-7.4658539999999995E-2</v>
      </c>
      <c r="J42">
        <v>0.48200703</v>
      </c>
    </row>
    <row r="43" spans="1:10" x14ac:dyDescent="0.3">
      <c r="A43">
        <v>41</v>
      </c>
      <c r="B43">
        <v>798</v>
      </c>
      <c r="C43" t="b">
        <v>1</v>
      </c>
      <c r="D43">
        <v>8077</v>
      </c>
      <c r="E43">
        <v>8117</v>
      </c>
      <c r="F43">
        <v>236.46665999999999</v>
      </c>
      <c r="G43">
        <v>218.13333</v>
      </c>
      <c r="H43">
        <v>1.0840464999999999</v>
      </c>
      <c r="I43">
        <v>-8.4046430000000005E-2</v>
      </c>
      <c r="J43">
        <v>0.47983577999999999</v>
      </c>
    </row>
    <row r="44" spans="1:10" x14ac:dyDescent="0.3">
      <c r="A44">
        <v>42</v>
      </c>
      <c r="B44">
        <v>814</v>
      </c>
      <c r="C44" t="b">
        <v>1</v>
      </c>
      <c r="D44">
        <v>8077</v>
      </c>
      <c r="E44">
        <v>8123</v>
      </c>
      <c r="F44">
        <v>236.86667</v>
      </c>
      <c r="G44">
        <v>216.6</v>
      </c>
      <c r="H44">
        <v>1.0935672999999999</v>
      </c>
      <c r="I44">
        <v>-9.3567230000000001E-2</v>
      </c>
      <c r="J44">
        <v>0.47765362</v>
      </c>
    </row>
    <row r="45" spans="1:10" x14ac:dyDescent="0.3">
      <c r="A45">
        <v>43</v>
      </c>
      <c r="B45">
        <v>830</v>
      </c>
      <c r="C45" t="b">
        <v>1</v>
      </c>
      <c r="D45">
        <v>8054</v>
      </c>
      <c r="E45">
        <v>8129</v>
      </c>
      <c r="F45">
        <v>237.26666</v>
      </c>
      <c r="G45">
        <v>215.06666999999999</v>
      </c>
      <c r="H45">
        <v>1.1032238000000001</v>
      </c>
      <c r="I45">
        <v>-0.10322379</v>
      </c>
      <c r="J45">
        <v>0.47546060000000001</v>
      </c>
    </row>
    <row r="46" spans="1:10" x14ac:dyDescent="0.3">
      <c r="A46">
        <v>44</v>
      </c>
      <c r="B46">
        <v>846</v>
      </c>
      <c r="C46" t="b">
        <v>1</v>
      </c>
      <c r="D46">
        <v>8106</v>
      </c>
      <c r="E46">
        <v>8129</v>
      </c>
      <c r="F46">
        <v>236.13333</v>
      </c>
      <c r="G46">
        <v>213.93333000000001</v>
      </c>
      <c r="H46">
        <v>1.1037706</v>
      </c>
      <c r="I46">
        <v>-0.10377063</v>
      </c>
      <c r="J46">
        <v>0.47533700000000001</v>
      </c>
    </row>
    <row r="47" spans="1:10" x14ac:dyDescent="0.3">
      <c r="A47">
        <v>45</v>
      </c>
      <c r="B47">
        <v>877</v>
      </c>
      <c r="C47" t="b">
        <v>1</v>
      </c>
      <c r="D47">
        <v>8042</v>
      </c>
      <c r="E47">
        <v>8105</v>
      </c>
      <c r="F47">
        <v>235</v>
      </c>
      <c r="G47">
        <v>212.8</v>
      </c>
      <c r="H47">
        <v>1.1043232999999999</v>
      </c>
      <c r="I47">
        <v>-0.10432329</v>
      </c>
      <c r="J47">
        <v>0.47521215999999999</v>
      </c>
    </row>
    <row r="48" spans="1:10" x14ac:dyDescent="0.3">
      <c r="A48">
        <v>46</v>
      </c>
      <c r="B48">
        <v>893</v>
      </c>
      <c r="C48" t="b">
        <v>1</v>
      </c>
      <c r="D48">
        <v>8083</v>
      </c>
      <c r="E48">
        <v>8105</v>
      </c>
      <c r="F48">
        <v>235.8</v>
      </c>
      <c r="G48">
        <v>211.66667000000001</v>
      </c>
      <c r="H48">
        <v>1.1140156999999999</v>
      </c>
      <c r="I48">
        <v>-0.11401573600000001</v>
      </c>
      <c r="J48">
        <v>0.47303337000000001</v>
      </c>
    </row>
    <row r="49" spans="1:10" x14ac:dyDescent="0.3">
      <c r="A49">
        <v>47</v>
      </c>
      <c r="B49">
        <v>925</v>
      </c>
      <c r="C49" t="b">
        <v>1</v>
      </c>
      <c r="D49">
        <v>8088</v>
      </c>
      <c r="E49">
        <v>8164</v>
      </c>
      <c r="F49">
        <v>236.2</v>
      </c>
      <c r="G49">
        <v>211.66667000000001</v>
      </c>
      <c r="H49">
        <v>1.1159055</v>
      </c>
      <c r="I49">
        <v>-0.11590547</v>
      </c>
      <c r="J49">
        <v>0.4726109</v>
      </c>
    </row>
    <row r="50" spans="1:10" x14ac:dyDescent="0.3">
      <c r="A50">
        <v>48</v>
      </c>
      <c r="B50">
        <v>957</v>
      </c>
      <c r="C50" t="b">
        <v>1</v>
      </c>
      <c r="D50">
        <v>8065</v>
      </c>
      <c r="E50">
        <v>8105</v>
      </c>
      <c r="F50">
        <v>236.6</v>
      </c>
      <c r="G50">
        <v>210.06666999999999</v>
      </c>
      <c r="H50">
        <v>1.1263091999999999</v>
      </c>
      <c r="I50">
        <v>-0.12630913999999999</v>
      </c>
      <c r="J50">
        <v>0.47029847000000002</v>
      </c>
    </row>
    <row r="51" spans="1:10" x14ac:dyDescent="0.3">
      <c r="A51">
        <v>49</v>
      </c>
      <c r="B51">
        <v>973</v>
      </c>
      <c r="C51" t="b">
        <v>1</v>
      </c>
      <c r="D51">
        <v>8083</v>
      </c>
      <c r="E51">
        <v>8134</v>
      </c>
      <c r="F51">
        <v>237.8</v>
      </c>
      <c r="G51">
        <v>208.46665999999999</v>
      </c>
      <c r="H51">
        <v>1.1407099999999999</v>
      </c>
      <c r="I51">
        <v>-0.14071</v>
      </c>
      <c r="J51">
        <v>0.46713473999999999</v>
      </c>
    </row>
    <row r="52" spans="1:10" x14ac:dyDescent="0.3">
      <c r="A52">
        <v>50</v>
      </c>
      <c r="B52">
        <v>988</v>
      </c>
      <c r="C52" t="b">
        <v>1</v>
      </c>
      <c r="D52">
        <v>8088</v>
      </c>
      <c r="E52">
        <v>8140</v>
      </c>
      <c r="F52">
        <v>239</v>
      </c>
      <c r="G52">
        <v>208.46665999999999</v>
      </c>
      <c r="H52">
        <v>1.1464662999999999</v>
      </c>
      <c r="I52">
        <v>-0.14646629999999999</v>
      </c>
      <c r="J52">
        <v>0.46588196999999998</v>
      </c>
    </row>
    <row r="53" spans="1:10" x14ac:dyDescent="0.3">
      <c r="A53">
        <v>51</v>
      </c>
      <c r="B53">
        <v>1004</v>
      </c>
      <c r="C53" t="b">
        <v>1</v>
      </c>
      <c r="D53">
        <v>8054</v>
      </c>
      <c r="E53">
        <v>8129</v>
      </c>
      <c r="F53">
        <v>239.4</v>
      </c>
      <c r="G53">
        <v>208.46665999999999</v>
      </c>
      <c r="H53">
        <v>1.148385</v>
      </c>
      <c r="I53">
        <v>-0.14838504999999999</v>
      </c>
      <c r="J53">
        <v>0.46546593000000003</v>
      </c>
    </row>
    <row r="54" spans="1:10" x14ac:dyDescent="0.3">
      <c r="A54">
        <v>52</v>
      </c>
      <c r="B54">
        <v>1038</v>
      </c>
      <c r="C54" t="b">
        <v>1</v>
      </c>
      <c r="D54">
        <v>8083</v>
      </c>
      <c r="E54">
        <v>8111</v>
      </c>
      <c r="F54">
        <v>239.8</v>
      </c>
      <c r="G54">
        <v>208.13333</v>
      </c>
      <c r="H54">
        <v>1.1521461</v>
      </c>
      <c r="I54">
        <v>-0.15214609000000001</v>
      </c>
      <c r="J54">
        <v>0.46465244999999999</v>
      </c>
    </row>
    <row r="55" spans="1:10" x14ac:dyDescent="0.3">
      <c r="A55">
        <v>53</v>
      </c>
      <c r="B55">
        <v>1068</v>
      </c>
      <c r="C55" t="b">
        <v>1</v>
      </c>
      <c r="D55">
        <v>8088</v>
      </c>
      <c r="E55">
        <v>8117</v>
      </c>
      <c r="F55">
        <v>240.2</v>
      </c>
      <c r="G55">
        <v>207.8</v>
      </c>
      <c r="H55">
        <v>1.1559191</v>
      </c>
      <c r="I55">
        <v>-0.15591911999999999</v>
      </c>
      <c r="J55">
        <v>0.46383930000000001</v>
      </c>
    </row>
    <row r="56" spans="1:10" x14ac:dyDescent="0.3">
      <c r="A56">
        <v>54</v>
      </c>
      <c r="B56">
        <v>1099</v>
      </c>
      <c r="C56" t="b">
        <v>1</v>
      </c>
      <c r="D56">
        <v>8065</v>
      </c>
      <c r="E56">
        <v>8099</v>
      </c>
      <c r="F56">
        <v>240.6</v>
      </c>
      <c r="G56">
        <v>206.66667000000001</v>
      </c>
      <c r="H56">
        <v>1.1641935000000001</v>
      </c>
      <c r="I56">
        <v>-0.16419355999999999</v>
      </c>
      <c r="J56">
        <v>0.46206589999999997</v>
      </c>
    </row>
    <row r="57" spans="1:10" x14ac:dyDescent="0.3">
      <c r="A57">
        <v>55</v>
      </c>
      <c r="B57">
        <v>1131</v>
      </c>
      <c r="C57" t="b">
        <v>1</v>
      </c>
      <c r="D57">
        <v>8077</v>
      </c>
      <c r="E57">
        <v>8152</v>
      </c>
      <c r="F57">
        <v>240.2</v>
      </c>
      <c r="G57">
        <v>206.26666</v>
      </c>
      <c r="H57">
        <v>1.1645118999999999</v>
      </c>
      <c r="I57">
        <v>-0.16451196000000001</v>
      </c>
      <c r="J57">
        <v>0.46199790000000002</v>
      </c>
    </row>
    <row r="58" spans="1:10" x14ac:dyDescent="0.3">
      <c r="A58">
        <v>56</v>
      </c>
      <c r="B58">
        <v>1147</v>
      </c>
      <c r="C58" t="b">
        <v>1</v>
      </c>
      <c r="D58">
        <v>8094</v>
      </c>
      <c r="E58">
        <v>8134</v>
      </c>
      <c r="F58">
        <v>240.6</v>
      </c>
      <c r="G58">
        <v>206.26666</v>
      </c>
      <c r="H58">
        <v>1.1664512</v>
      </c>
      <c r="I58">
        <v>-0.16645125</v>
      </c>
      <c r="J58">
        <v>0.46158436000000003</v>
      </c>
    </row>
    <row r="59" spans="1:10" x14ac:dyDescent="0.3">
      <c r="A59">
        <v>57</v>
      </c>
      <c r="B59">
        <v>1179</v>
      </c>
      <c r="C59" t="b">
        <v>1</v>
      </c>
      <c r="D59">
        <v>8042</v>
      </c>
      <c r="E59">
        <v>8123</v>
      </c>
      <c r="F59">
        <v>240.6</v>
      </c>
      <c r="G59">
        <v>206.66667000000001</v>
      </c>
      <c r="H59">
        <v>1.1641935000000001</v>
      </c>
      <c r="I59">
        <v>-0.16419355999999999</v>
      </c>
      <c r="J59">
        <v>0.46206589999999997</v>
      </c>
    </row>
    <row r="60" spans="1:10" x14ac:dyDescent="0.3">
      <c r="A60">
        <v>58</v>
      </c>
      <c r="B60">
        <v>1195</v>
      </c>
      <c r="C60" t="b">
        <v>1</v>
      </c>
      <c r="D60">
        <v>8054</v>
      </c>
      <c r="E60">
        <v>8111</v>
      </c>
      <c r="F60">
        <v>239.8</v>
      </c>
      <c r="G60">
        <v>207.06666999999999</v>
      </c>
      <c r="H60">
        <v>1.1580812</v>
      </c>
      <c r="I60">
        <v>-0.15808116</v>
      </c>
      <c r="J60">
        <v>0.46337460000000003</v>
      </c>
    </row>
    <row r="61" spans="1:10" x14ac:dyDescent="0.3">
      <c r="A61">
        <v>59</v>
      </c>
      <c r="B61">
        <v>1211</v>
      </c>
      <c r="C61" t="b">
        <v>1</v>
      </c>
      <c r="D61">
        <v>8023</v>
      </c>
      <c r="E61">
        <v>8111</v>
      </c>
      <c r="F61">
        <v>238.26666</v>
      </c>
      <c r="G61">
        <v>207.06666999999999</v>
      </c>
      <c r="H61">
        <v>1.1506761000000001</v>
      </c>
      <c r="I61">
        <v>-0.15067610000000001</v>
      </c>
      <c r="J61">
        <v>0.46497008000000001</v>
      </c>
    </row>
    <row r="62" spans="1:10" x14ac:dyDescent="0.3">
      <c r="A62">
        <v>60</v>
      </c>
      <c r="B62">
        <v>1227</v>
      </c>
      <c r="C62" t="b">
        <v>1</v>
      </c>
      <c r="D62">
        <v>8077</v>
      </c>
      <c r="E62">
        <v>8129</v>
      </c>
      <c r="F62">
        <v>236.73334</v>
      </c>
      <c r="G62">
        <v>207.06666999999999</v>
      </c>
      <c r="H62">
        <v>1.1432711</v>
      </c>
      <c r="I62">
        <v>-0.14327112</v>
      </c>
      <c r="J62">
        <v>0.46657654999999998</v>
      </c>
    </row>
    <row r="63" spans="1:10" x14ac:dyDescent="0.3">
      <c r="A63">
        <v>61</v>
      </c>
      <c r="B63">
        <v>1243</v>
      </c>
      <c r="C63" t="b">
        <v>1</v>
      </c>
      <c r="D63">
        <v>8088</v>
      </c>
      <c r="E63">
        <v>8123</v>
      </c>
      <c r="F63">
        <v>235.2</v>
      </c>
      <c r="G63">
        <v>207.06666999999999</v>
      </c>
      <c r="H63">
        <v>1.135866</v>
      </c>
      <c r="I63">
        <v>-0.13586606000000001</v>
      </c>
      <c r="J63">
        <v>0.46819416000000003</v>
      </c>
    </row>
    <row r="64" spans="1:10" x14ac:dyDescent="0.3">
      <c r="A64">
        <v>62</v>
      </c>
      <c r="B64">
        <v>1258</v>
      </c>
      <c r="C64" t="b">
        <v>1</v>
      </c>
      <c r="D64">
        <v>8117</v>
      </c>
      <c r="E64">
        <v>8117</v>
      </c>
      <c r="F64">
        <v>234.8</v>
      </c>
      <c r="G64">
        <v>206.26666</v>
      </c>
      <c r="H64">
        <v>1.1383322</v>
      </c>
      <c r="I64">
        <v>-0.13833229</v>
      </c>
      <c r="J64">
        <v>0.46765416999999998</v>
      </c>
    </row>
    <row r="65" spans="1:10" x14ac:dyDescent="0.3">
      <c r="A65">
        <v>63</v>
      </c>
      <c r="B65">
        <v>1274</v>
      </c>
      <c r="C65" t="b">
        <v>1</v>
      </c>
      <c r="D65">
        <v>8106</v>
      </c>
      <c r="E65">
        <v>8111</v>
      </c>
      <c r="F65">
        <v>235.13333</v>
      </c>
      <c r="G65">
        <v>207.06666999999999</v>
      </c>
      <c r="H65">
        <v>1.1355440999999999</v>
      </c>
      <c r="I65">
        <v>-0.1355441</v>
      </c>
      <c r="J65">
        <v>0.46826473000000002</v>
      </c>
    </row>
    <row r="66" spans="1:10" x14ac:dyDescent="0.3">
      <c r="A66">
        <v>64</v>
      </c>
      <c r="B66">
        <v>1290</v>
      </c>
      <c r="C66" t="b">
        <v>1</v>
      </c>
      <c r="D66">
        <v>8042</v>
      </c>
      <c r="E66">
        <v>8146</v>
      </c>
      <c r="F66">
        <v>235.46665999999999</v>
      </c>
      <c r="G66">
        <v>208.26666</v>
      </c>
      <c r="H66">
        <v>1.1306018</v>
      </c>
      <c r="I66">
        <v>-0.13060178</v>
      </c>
      <c r="J66">
        <v>0.46935093</v>
      </c>
    </row>
    <row r="67" spans="1:10" x14ac:dyDescent="0.3">
      <c r="A67">
        <v>65</v>
      </c>
      <c r="B67">
        <v>1306</v>
      </c>
      <c r="C67" t="b">
        <v>1</v>
      </c>
      <c r="D67">
        <v>8077</v>
      </c>
      <c r="E67">
        <v>8099</v>
      </c>
      <c r="F67">
        <v>235.8</v>
      </c>
      <c r="G67">
        <v>207.13333</v>
      </c>
      <c r="H67">
        <v>1.1383972</v>
      </c>
      <c r="I67">
        <v>-0.13839719</v>
      </c>
      <c r="J67">
        <v>0.46763995000000003</v>
      </c>
    </row>
    <row r="68" spans="1:10" x14ac:dyDescent="0.3">
      <c r="A68">
        <v>66</v>
      </c>
      <c r="B68">
        <v>1322</v>
      </c>
      <c r="C68" t="b">
        <v>1</v>
      </c>
      <c r="D68">
        <v>8037</v>
      </c>
      <c r="E68">
        <v>8129</v>
      </c>
      <c r="F68">
        <v>235.4</v>
      </c>
      <c r="G68">
        <v>206</v>
      </c>
      <c r="H68">
        <v>1.1427183999999999</v>
      </c>
      <c r="I68">
        <v>-0.14271842000000001</v>
      </c>
      <c r="J68">
        <v>0.46669690000000003</v>
      </c>
    </row>
    <row r="69" spans="1:10" x14ac:dyDescent="0.3">
      <c r="A69">
        <v>67</v>
      </c>
      <c r="B69">
        <v>1337</v>
      </c>
      <c r="C69" t="b">
        <v>1</v>
      </c>
      <c r="D69">
        <v>8030</v>
      </c>
      <c r="E69">
        <v>8105</v>
      </c>
      <c r="F69">
        <v>232.66667000000001</v>
      </c>
      <c r="G69">
        <v>204.8</v>
      </c>
      <c r="H69">
        <v>1.1360676999999999</v>
      </c>
      <c r="I69">
        <v>-0.13606772</v>
      </c>
      <c r="J69">
        <v>0.46814995999999998</v>
      </c>
    </row>
    <row r="70" spans="1:10" x14ac:dyDescent="0.3">
      <c r="A70">
        <v>68</v>
      </c>
      <c r="B70">
        <v>1353</v>
      </c>
      <c r="C70" t="b">
        <v>1</v>
      </c>
      <c r="D70">
        <v>8100</v>
      </c>
      <c r="E70">
        <v>8140</v>
      </c>
      <c r="F70">
        <v>229.93333000000001</v>
      </c>
      <c r="G70">
        <v>204.8</v>
      </c>
      <c r="H70">
        <v>1.1227213</v>
      </c>
      <c r="I70">
        <v>-0.122721344</v>
      </c>
      <c r="J70">
        <v>0.4710934</v>
      </c>
    </row>
    <row r="71" spans="1:10" x14ac:dyDescent="0.3">
      <c r="A71">
        <v>69</v>
      </c>
      <c r="B71">
        <v>1369</v>
      </c>
      <c r="C71" t="b">
        <v>1</v>
      </c>
      <c r="D71">
        <v>8083</v>
      </c>
      <c r="E71">
        <v>8146</v>
      </c>
      <c r="F71">
        <v>229.53334000000001</v>
      </c>
      <c r="G71">
        <v>205.6</v>
      </c>
      <c r="H71">
        <v>1.1164073000000001</v>
      </c>
      <c r="I71">
        <v>-0.11640726999999999</v>
      </c>
      <c r="J71">
        <v>0.47249882999999998</v>
      </c>
    </row>
    <row r="72" spans="1:10" x14ac:dyDescent="0.3">
      <c r="A72">
        <v>70</v>
      </c>
      <c r="B72">
        <v>1401</v>
      </c>
      <c r="C72" t="b">
        <v>1</v>
      </c>
      <c r="D72">
        <v>8054</v>
      </c>
      <c r="E72">
        <v>8158</v>
      </c>
      <c r="F72">
        <v>228</v>
      </c>
      <c r="G72">
        <v>207.13333</v>
      </c>
      <c r="H72">
        <v>1.1007403</v>
      </c>
      <c r="I72">
        <v>-0.10074028</v>
      </c>
      <c r="J72">
        <v>0.47602265999999999</v>
      </c>
    </row>
    <row r="73" spans="1:10" x14ac:dyDescent="0.3">
      <c r="A73">
        <v>71</v>
      </c>
      <c r="B73">
        <v>1432</v>
      </c>
      <c r="C73" t="b">
        <v>1</v>
      </c>
      <c r="D73">
        <v>8054</v>
      </c>
      <c r="E73">
        <v>8117</v>
      </c>
      <c r="F73">
        <v>226.06666999999999</v>
      </c>
      <c r="G73">
        <v>208.66667000000001</v>
      </c>
      <c r="H73">
        <v>1.0833865</v>
      </c>
      <c r="I73">
        <v>-8.3386550000000004E-2</v>
      </c>
      <c r="J73">
        <v>0.47998774</v>
      </c>
    </row>
    <row r="74" spans="1:10" x14ac:dyDescent="0.3">
      <c r="A74">
        <v>72</v>
      </c>
      <c r="B74">
        <v>1448</v>
      </c>
      <c r="C74" t="b">
        <v>1</v>
      </c>
      <c r="D74">
        <v>8017</v>
      </c>
      <c r="E74">
        <v>8152</v>
      </c>
      <c r="F74">
        <v>224.53334000000001</v>
      </c>
      <c r="G74">
        <v>210.2</v>
      </c>
      <c r="H74">
        <v>1.0681890000000001</v>
      </c>
      <c r="I74">
        <v>-6.8189079999999999E-2</v>
      </c>
      <c r="J74">
        <v>0.48351480000000002</v>
      </c>
    </row>
    <row r="75" spans="1:10" x14ac:dyDescent="0.3">
      <c r="A75">
        <v>73</v>
      </c>
      <c r="B75">
        <v>1480</v>
      </c>
      <c r="C75" t="b">
        <v>1</v>
      </c>
      <c r="D75">
        <v>8083</v>
      </c>
      <c r="E75">
        <v>8093</v>
      </c>
      <c r="F75">
        <v>223.8</v>
      </c>
      <c r="G75">
        <v>211.73334</v>
      </c>
      <c r="H75">
        <v>1.0569899</v>
      </c>
      <c r="I75">
        <v>-5.6989919999999999E-2</v>
      </c>
      <c r="J75">
        <v>0.48614728000000001</v>
      </c>
    </row>
    <row r="76" spans="1:10" x14ac:dyDescent="0.3">
      <c r="A76">
        <v>74</v>
      </c>
      <c r="B76">
        <v>1496</v>
      </c>
      <c r="C76" t="b">
        <v>1</v>
      </c>
      <c r="D76">
        <v>8054</v>
      </c>
      <c r="E76">
        <v>8123</v>
      </c>
      <c r="F76">
        <v>223.8</v>
      </c>
      <c r="G76">
        <v>211.73334</v>
      </c>
      <c r="H76">
        <v>1.0569899</v>
      </c>
      <c r="I76">
        <v>-5.6989919999999999E-2</v>
      </c>
      <c r="J76">
        <v>0.48614728000000001</v>
      </c>
    </row>
    <row r="77" spans="1:10" x14ac:dyDescent="0.3">
      <c r="A77">
        <v>75</v>
      </c>
      <c r="B77">
        <v>1512</v>
      </c>
      <c r="C77" t="b">
        <v>1</v>
      </c>
      <c r="D77">
        <v>8037</v>
      </c>
      <c r="E77">
        <v>8134</v>
      </c>
      <c r="F77">
        <v>223.8</v>
      </c>
      <c r="G77">
        <v>211.73334</v>
      </c>
      <c r="H77">
        <v>1.0569899</v>
      </c>
      <c r="I77">
        <v>-5.6989919999999999E-2</v>
      </c>
      <c r="J77">
        <v>0.48614728000000001</v>
      </c>
    </row>
    <row r="78" spans="1:10" x14ac:dyDescent="0.3">
      <c r="A78">
        <v>76</v>
      </c>
      <c r="B78">
        <v>1529</v>
      </c>
      <c r="C78" t="b">
        <v>1</v>
      </c>
      <c r="D78">
        <v>8065</v>
      </c>
      <c r="E78">
        <v>8146</v>
      </c>
      <c r="F78">
        <v>223.8</v>
      </c>
      <c r="G78">
        <v>212.46665999999999</v>
      </c>
      <c r="H78">
        <v>1.0533417</v>
      </c>
      <c r="I78">
        <v>-5.334175E-2</v>
      </c>
      <c r="J78">
        <v>0.48701100000000003</v>
      </c>
    </row>
    <row r="79" spans="1:10" x14ac:dyDescent="0.3">
      <c r="A79">
        <v>77</v>
      </c>
      <c r="B79">
        <v>1544</v>
      </c>
      <c r="C79" t="b">
        <v>1</v>
      </c>
      <c r="D79">
        <v>8030</v>
      </c>
      <c r="E79">
        <v>8123</v>
      </c>
      <c r="F79">
        <v>222.26666</v>
      </c>
      <c r="G79">
        <v>212.86667</v>
      </c>
      <c r="H79">
        <v>1.0441590000000001</v>
      </c>
      <c r="I79">
        <v>-4.4159070000000002E-2</v>
      </c>
      <c r="J79">
        <v>0.48919869999999999</v>
      </c>
    </row>
    <row r="80" spans="1:10" x14ac:dyDescent="0.3">
      <c r="A80">
        <v>78</v>
      </c>
      <c r="B80">
        <v>1560</v>
      </c>
      <c r="C80" t="b">
        <v>1</v>
      </c>
      <c r="D80">
        <v>8094</v>
      </c>
      <c r="E80">
        <v>8129</v>
      </c>
      <c r="F80">
        <v>220</v>
      </c>
      <c r="G80">
        <v>213.66667000000001</v>
      </c>
      <c r="H80">
        <v>1.0296411999999999</v>
      </c>
      <c r="I80">
        <v>-2.964116E-2</v>
      </c>
      <c r="J80">
        <v>0.49269792000000001</v>
      </c>
    </row>
    <row r="81" spans="1:10" x14ac:dyDescent="0.3">
      <c r="A81">
        <v>79</v>
      </c>
      <c r="B81">
        <v>1576</v>
      </c>
      <c r="C81" t="b">
        <v>1</v>
      </c>
      <c r="D81">
        <v>8088</v>
      </c>
      <c r="E81">
        <v>8134</v>
      </c>
      <c r="F81">
        <v>218.46665999999999</v>
      </c>
      <c r="G81">
        <v>214.4</v>
      </c>
      <c r="H81">
        <v>1.0189676000000001</v>
      </c>
      <c r="I81">
        <v>-1.8967657999999998E-2</v>
      </c>
      <c r="J81">
        <v>0.49530265000000001</v>
      </c>
    </row>
    <row r="82" spans="1:10" x14ac:dyDescent="0.3">
      <c r="A82">
        <v>80</v>
      </c>
      <c r="B82">
        <v>1592</v>
      </c>
      <c r="C82" t="b">
        <v>1</v>
      </c>
      <c r="D82">
        <v>8094</v>
      </c>
      <c r="E82">
        <v>8129</v>
      </c>
      <c r="F82">
        <v>218.46665999999999</v>
      </c>
      <c r="G82">
        <v>215.2</v>
      </c>
      <c r="H82">
        <v>1.0151796</v>
      </c>
      <c r="I82">
        <v>-1.5179659E-2</v>
      </c>
      <c r="J82">
        <v>0.49623367000000002</v>
      </c>
    </row>
    <row r="83" spans="1:10" x14ac:dyDescent="0.3">
      <c r="A83">
        <v>81</v>
      </c>
      <c r="B83">
        <v>1608</v>
      </c>
      <c r="C83" t="b">
        <v>1</v>
      </c>
      <c r="D83">
        <v>8077</v>
      </c>
      <c r="E83">
        <v>8129</v>
      </c>
      <c r="F83">
        <v>219.2</v>
      </c>
      <c r="G83">
        <v>216</v>
      </c>
      <c r="H83">
        <v>1.0148149</v>
      </c>
      <c r="I83">
        <v>-1.4814801000000001E-2</v>
      </c>
      <c r="J83">
        <v>0.49632353000000001</v>
      </c>
    </row>
    <row r="84" spans="1:10" x14ac:dyDescent="0.3">
      <c r="A84">
        <v>82</v>
      </c>
      <c r="B84">
        <v>1624</v>
      </c>
      <c r="C84" t="b">
        <v>1</v>
      </c>
      <c r="D84">
        <v>8065</v>
      </c>
      <c r="E84">
        <v>8129</v>
      </c>
      <c r="F84">
        <v>222.26666</v>
      </c>
      <c r="G84">
        <v>217.2</v>
      </c>
      <c r="H84">
        <v>1.0233272</v>
      </c>
      <c r="I84">
        <v>-2.3327190000000001E-2</v>
      </c>
      <c r="J84">
        <v>0.49423542999999998</v>
      </c>
    </row>
    <row r="85" spans="1:10" x14ac:dyDescent="0.3">
      <c r="A85">
        <v>83</v>
      </c>
      <c r="B85">
        <v>1640</v>
      </c>
      <c r="C85" t="b">
        <v>1</v>
      </c>
      <c r="D85">
        <v>8054</v>
      </c>
      <c r="E85">
        <v>8117</v>
      </c>
      <c r="F85">
        <v>224.6</v>
      </c>
      <c r="G85">
        <v>217.2</v>
      </c>
      <c r="H85">
        <v>1.03407</v>
      </c>
      <c r="I85">
        <v>-3.4070021999999998E-2</v>
      </c>
      <c r="J85">
        <v>0.49162519999999998</v>
      </c>
    </row>
    <row r="86" spans="1:10" x14ac:dyDescent="0.3">
      <c r="A86">
        <v>84</v>
      </c>
      <c r="B86">
        <v>1656</v>
      </c>
      <c r="C86" t="b">
        <v>1</v>
      </c>
      <c r="D86">
        <v>8111</v>
      </c>
      <c r="E86">
        <v>8129</v>
      </c>
      <c r="F86">
        <v>224.6</v>
      </c>
      <c r="G86">
        <v>217.2</v>
      </c>
      <c r="H86">
        <v>1.03407</v>
      </c>
      <c r="I86">
        <v>-3.4070021999999998E-2</v>
      </c>
      <c r="J86">
        <v>0.49162519999999998</v>
      </c>
    </row>
    <row r="87" spans="1:10" x14ac:dyDescent="0.3">
      <c r="A87">
        <v>85</v>
      </c>
      <c r="B87">
        <v>1671</v>
      </c>
      <c r="C87" t="b">
        <v>1</v>
      </c>
      <c r="D87">
        <v>8048</v>
      </c>
      <c r="E87">
        <v>8134</v>
      </c>
      <c r="F87">
        <v>225.33332999999999</v>
      </c>
      <c r="G87">
        <v>216.46665999999999</v>
      </c>
      <c r="H87">
        <v>1.0409609</v>
      </c>
      <c r="I87">
        <v>-4.0960897000000003E-2</v>
      </c>
      <c r="J87">
        <v>0.48996529999999999</v>
      </c>
    </row>
    <row r="88" spans="1:10" x14ac:dyDescent="0.3">
      <c r="A88">
        <v>86</v>
      </c>
      <c r="B88">
        <v>1687</v>
      </c>
      <c r="C88" t="b">
        <v>1</v>
      </c>
      <c r="D88">
        <v>8071</v>
      </c>
      <c r="E88">
        <v>8134</v>
      </c>
      <c r="F88">
        <v>226.06666999999999</v>
      </c>
      <c r="G88">
        <v>215.73334</v>
      </c>
      <c r="H88">
        <v>1.0478987</v>
      </c>
      <c r="I88">
        <v>-4.7898616999999998E-2</v>
      </c>
      <c r="J88">
        <v>0.48830544999999997</v>
      </c>
    </row>
    <row r="89" spans="1:10" x14ac:dyDescent="0.3">
      <c r="A89">
        <v>87</v>
      </c>
      <c r="B89">
        <v>1703</v>
      </c>
      <c r="C89" t="b">
        <v>1</v>
      </c>
      <c r="D89">
        <v>8042</v>
      </c>
      <c r="E89">
        <v>8123</v>
      </c>
      <c r="F89">
        <v>226.06666999999999</v>
      </c>
      <c r="G89">
        <v>214.6</v>
      </c>
      <c r="H89">
        <v>1.0534327000000001</v>
      </c>
      <c r="I89">
        <v>-5.3432707000000003E-2</v>
      </c>
      <c r="J89">
        <v>0.48698940000000002</v>
      </c>
    </row>
    <row r="90" spans="1:10" x14ac:dyDescent="0.3">
      <c r="A90">
        <v>88</v>
      </c>
      <c r="B90">
        <v>1719</v>
      </c>
      <c r="C90" t="b">
        <v>1</v>
      </c>
      <c r="D90">
        <v>8077</v>
      </c>
      <c r="E90">
        <v>8117</v>
      </c>
      <c r="F90">
        <v>227.2</v>
      </c>
      <c r="G90">
        <v>213.46665999999999</v>
      </c>
      <c r="H90">
        <v>1.0643349</v>
      </c>
      <c r="I90">
        <v>-6.4334810000000006E-2</v>
      </c>
      <c r="J90">
        <v>0.48441756000000002</v>
      </c>
    </row>
    <row r="91" spans="1:10" x14ac:dyDescent="0.3">
      <c r="A91">
        <v>89</v>
      </c>
      <c r="B91">
        <v>1735</v>
      </c>
      <c r="C91" t="b">
        <v>1</v>
      </c>
      <c r="D91">
        <v>8065</v>
      </c>
      <c r="E91">
        <v>8117</v>
      </c>
      <c r="F91">
        <v>227.93333000000001</v>
      </c>
      <c r="G91">
        <v>213.46665999999999</v>
      </c>
      <c r="H91">
        <v>1.0677702</v>
      </c>
      <c r="I91">
        <v>-6.7770179999999999E-2</v>
      </c>
      <c r="J91">
        <v>0.48361274999999998</v>
      </c>
    </row>
    <row r="92" spans="1:10" x14ac:dyDescent="0.3">
      <c r="A92">
        <v>90</v>
      </c>
      <c r="B92">
        <v>1767</v>
      </c>
      <c r="C92" t="b">
        <v>1</v>
      </c>
      <c r="D92">
        <v>8065</v>
      </c>
      <c r="E92">
        <v>8111</v>
      </c>
      <c r="F92">
        <v>228.66667000000001</v>
      </c>
      <c r="G92">
        <v>213.06666999999999</v>
      </c>
      <c r="H92">
        <v>1.0732166000000001</v>
      </c>
      <c r="I92">
        <v>-7.3216550000000005E-2</v>
      </c>
      <c r="J92">
        <v>0.48234227000000002</v>
      </c>
    </row>
    <row r="93" spans="1:10" x14ac:dyDescent="0.3">
      <c r="A93">
        <v>91</v>
      </c>
      <c r="B93">
        <v>1798</v>
      </c>
      <c r="C93" t="b">
        <v>1</v>
      </c>
      <c r="D93">
        <v>8054</v>
      </c>
      <c r="E93">
        <v>8117</v>
      </c>
      <c r="F93">
        <v>229.4</v>
      </c>
      <c r="G93">
        <v>211.93333000000001</v>
      </c>
      <c r="H93">
        <v>1.0824157999999999</v>
      </c>
      <c r="I93">
        <v>-8.2415820000000001E-2</v>
      </c>
      <c r="J93">
        <v>0.48021150000000001</v>
      </c>
    </row>
    <row r="94" spans="1:10" x14ac:dyDescent="0.3">
      <c r="A94">
        <v>92</v>
      </c>
      <c r="B94">
        <v>1814</v>
      </c>
      <c r="C94" t="b">
        <v>1</v>
      </c>
      <c r="D94">
        <v>8065</v>
      </c>
      <c r="E94">
        <v>8117</v>
      </c>
      <c r="F94">
        <v>230.13333</v>
      </c>
      <c r="G94">
        <v>211.53334000000001</v>
      </c>
      <c r="H94">
        <v>1.0879293999999999</v>
      </c>
      <c r="I94">
        <v>-8.7929359999999998E-2</v>
      </c>
      <c r="J94">
        <v>0.47894337999999997</v>
      </c>
    </row>
    <row r="95" spans="1:10" x14ac:dyDescent="0.3">
      <c r="A95">
        <v>93</v>
      </c>
      <c r="B95">
        <v>1830</v>
      </c>
      <c r="C95" t="b">
        <v>1</v>
      </c>
      <c r="D95">
        <v>8083</v>
      </c>
      <c r="E95">
        <v>8111</v>
      </c>
      <c r="F95">
        <v>230.86667</v>
      </c>
      <c r="G95">
        <v>210.73334</v>
      </c>
      <c r="H95">
        <v>1.0955393</v>
      </c>
      <c r="I95">
        <v>-9.5539375999999995E-2</v>
      </c>
      <c r="J95">
        <v>0.47720410000000002</v>
      </c>
    </row>
    <row r="96" spans="1:10" x14ac:dyDescent="0.3">
      <c r="A96">
        <v>94</v>
      </c>
      <c r="B96">
        <v>1846</v>
      </c>
      <c r="C96" t="b">
        <v>1</v>
      </c>
      <c r="D96">
        <v>8083</v>
      </c>
      <c r="E96">
        <v>8123</v>
      </c>
      <c r="F96">
        <v>230.86667</v>
      </c>
      <c r="G96">
        <v>209.6</v>
      </c>
      <c r="H96">
        <v>1.1014630999999999</v>
      </c>
      <c r="I96">
        <v>-0.10146308</v>
      </c>
      <c r="J96">
        <v>0.47585896</v>
      </c>
    </row>
    <row r="97" spans="1:10" x14ac:dyDescent="0.3">
      <c r="A97">
        <v>95</v>
      </c>
      <c r="B97">
        <v>1861</v>
      </c>
      <c r="C97" t="b">
        <v>1</v>
      </c>
      <c r="D97">
        <v>8083</v>
      </c>
      <c r="E97">
        <v>8123</v>
      </c>
      <c r="F97">
        <v>230.53334000000001</v>
      </c>
      <c r="G97">
        <v>208.8</v>
      </c>
      <c r="H97">
        <v>1.1040869</v>
      </c>
      <c r="I97">
        <v>-0.10408686</v>
      </c>
      <c r="J97">
        <v>0.47526555999999998</v>
      </c>
    </row>
    <row r="98" spans="1:10" x14ac:dyDescent="0.3">
      <c r="A98">
        <v>96</v>
      </c>
      <c r="B98">
        <v>1878</v>
      </c>
      <c r="C98" t="b">
        <v>1</v>
      </c>
      <c r="D98">
        <v>8071</v>
      </c>
      <c r="E98">
        <v>8105</v>
      </c>
      <c r="F98">
        <v>230.2</v>
      </c>
      <c r="G98">
        <v>208</v>
      </c>
      <c r="H98">
        <v>1.1067307</v>
      </c>
      <c r="I98">
        <v>-0.10673075</v>
      </c>
      <c r="J98">
        <v>0.47466910000000001</v>
      </c>
    </row>
    <row r="99" spans="1:10" x14ac:dyDescent="0.3">
      <c r="A99">
        <v>97</v>
      </c>
      <c r="B99">
        <v>1893</v>
      </c>
      <c r="C99" t="b">
        <v>1</v>
      </c>
      <c r="D99">
        <v>8071</v>
      </c>
      <c r="E99">
        <v>8123</v>
      </c>
      <c r="F99">
        <v>229.86667</v>
      </c>
      <c r="G99">
        <v>207.6</v>
      </c>
      <c r="H99">
        <v>1.1072575</v>
      </c>
      <c r="I99">
        <v>-0.10725752</v>
      </c>
      <c r="J99">
        <v>0.47455046000000001</v>
      </c>
    </row>
    <row r="100" spans="1:10" x14ac:dyDescent="0.3">
      <c r="A100">
        <v>98</v>
      </c>
      <c r="B100">
        <v>1909</v>
      </c>
      <c r="C100" t="b">
        <v>1</v>
      </c>
      <c r="D100">
        <v>8037</v>
      </c>
      <c r="E100">
        <v>8093</v>
      </c>
      <c r="F100">
        <v>229.46665999999999</v>
      </c>
      <c r="G100">
        <v>207.2</v>
      </c>
      <c r="H100">
        <v>1.1074645999999999</v>
      </c>
      <c r="I100">
        <v>-0.10746459</v>
      </c>
      <c r="J100">
        <v>0.47450382000000002</v>
      </c>
    </row>
    <row r="101" spans="1:10" x14ac:dyDescent="0.3">
      <c r="A101">
        <v>99</v>
      </c>
      <c r="B101">
        <v>1941</v>
      </c>
      <c r="C101" t="b">
        <v>1</v>
      </c>
      <c r="D101">
        <v>8065</v>
      </c>
      <c r="E101">
        <v>8093</v>
      </c>
      <c r="F101">
        <v>229.06666999999999</v>
      </c>
      <c r="G101">
        <v>205.6</v>
      </c>
      <c r="H101">
        <v>1.1141373999999999</v>
      </c>
      <c r="I101">
        <v>-0.11413745</v>
      </c>
      <c r="J101">
        <v>0.47300613000000002</v>
      </c>
    </row>
    <row r="102" spans="1:10" x14ac:dyDescent="0.3">
      <c r="A102">
        <v>100</v>
      </c>
      <c r="B102">
        <v>1957</v>
      </c>
      <c r="C102" t="b">
        <v>1</v>
      </c>
      <c r="D102">
        <v>8042</v>
      </c>
      <c r="E102">
        <v>8129</v>
      </c>
      <c r="F102">
        <v>229.06666999999999</v>
      </c>
      <c r="G102">
        <v>204</v>
      </c>
      <c r="H102">
        <v>1.1228758000000001</v>
      </c>
      <c r="I102">
        <v>-0.12287581</v>
      </c>
      <c r="J102">
        <v>0.47105913999999999</v>
      </c>
    </row>
    <row r="103" spans="1:10" x14ac:dyDescent="0.3">
      <c r="A103">
        <v>101</v>
      </c>
      <c r="B103">
        <v>1972</v>
      </c>
      <c r="C103" t="b">
        <v>1</v>
      </c>
      <c r="D103">
        <v>8054</v>
      </c>
      <c r="E103">
        <v>8117</v>
      </c>
      <c r="F103">
        <v>228.33332999999999</v>
      </c>
      <c r="G103">
        <v>203.2</v>
      </c>
      <c r="H103">
        <v>1.1236876</v>
      </c>
      <c r="I103">
        <v>-0.12368765499999999</v>
      </c>
      <c r="J103">
        <v>0.47087905000000002</v>
      </c>
    </row>
    <row r="104" spans="1:10" x14ac:dyDescent="0.3">
      <c r="A104">
        <v>102</v>
      </c>
      <c r="B104">
        <v>1988</v>
      </c>
      <c r="C104" t="b">
        <v>1</v>
      </c>
      <c r="D104">
        <v>8088</v>
      </c>
      <c r="E104">
        <v>8129</v>
      </c>
      <c r="F104">
        <v>228.33332999999999</v>
      </c>
      <c r="G104">
        <v>202.4</v>
      </c>
      <c r="H104">
        <v>1.1281291</v>
      </c>
      <c r="I104">
        <v>-0.12812912000000001</v>
      </c>
      <c r="J104">
        <v>0.46989629999999999</v>
      </c>
    </row>
    <row r="105" spans="1:10" x14ac:dyDescent="0.3">
      <c r="A105">
        <v>103</v>
      </c>
      <c r="B105">
        <v>2004</v>
      </c>
      <c r="C105" t="b">
        <v>1</v>
      </c>
      <c r="D105">
        <v>8094</v>
      </c>
      <c r="E105">
        <v>8099</v>
      </c>
      <c r="F105">
        <v>227.93333000000001</v>
      </c>
      <c r="G105">
        <v>201.6</v>
      </c>
      <c r="H105">
        <v>1.1306217000000001</v>
      </c>
      <c r="I105">
        <v>-0.13062166</v>
      </c>
      <c r="J105">
        <v>0.4693466</v>
      </c>
    </row>
    <row r="106" spans="1:10" x14ac:dyDescent="0.3">
      <c r="A106">
        <v>104</v>
      </c>
      <c r="B106">
        <v>2020</v>
      </c>
      <c r="C106" t="b">
        <v>1</v>
      </c>
      <c r="D106">
        <v>8054</v>
      </c>
      <c r="E106">
        <v>8140</v>
      </c>
      <c r="F106">
        <v>227.2</v>
      </c>
      <c r="G106">
        <v>202</v>
      </c>
      <c r="H106">
        <v>1.1247524</v>
      </c>
      <c r="I106">
        <v>-0.12475246</v>
      </c>
      <c r="J106">
        <v>0.47064304000000001</v>
      </c>
    </row>
    <row r="107" spans="1:10" x14ac:dyDescent="0.3">
      <c r="A107">
        <v>105</v>
      </c>
      <c r="B107">
        <v>2037</v>
      </c>
      <c r="C107" t="b">
        <v>1</v>
      </c>
      <c r="D107">
        <v>8083</v>
      </c>
      <c r="E107">
        <v>8105</v>
      </c>
      <c r="F107">
        <v>228.4</v>
      </c>
      <c r="G107">
        <v>202</v>
      </c>
      <c r="H107">
        <v>1.1306931</v>
      </c>
      <c r="I107">
        <v>-0.13069302999999999</v>
      </c>
      <c r="J107">
        <v>0.46933085000000002</v>
      </c>
    </row>
    <row r="108" spans="1:10" x14ac:dyDescent="0.3">
      <c r="A108">
        <v>106</v>
      </c>
      <c r="B108">
        <v>2069</v>
      </c>
      <c r="C108" t="b">
        <v>1</v>
      </c>
      <c r="D108">
        <v>8054</v>
      </c>
      <c r="E108">
        <v>8123</v>
      </c>
      <c r="F108">
        <v>229.6</v>
      </c>
      <c r="G108">
        <v>202.4</v>
      </c>
      <c r="H108">
        <v>1.1343874</v>
      </c>
      <c r="I108">
        <v>-0.13438742000000001</v>
      </c>
      <c r="J108">
        <v>0.4685185</v>
      </c>
    </row>
    <row r="109" spans="1:10" x14ac:dyDescent="0.3">
      <c r="A109">
        <v>107</v>
      </c>
      <c r="B109">
        <v>2100</v>
      </c>
      <c r="C109" t="b">
        <v>1</v>
      </c>
      <c r="D109">
        <v>8111</v>
      </c>
      <c r="E109">
        <v>8129</v>
      </c>
      <c r="F109">
        <v>230.8</v>
      </c>
      <c r="G109">
        <v>202.8</v>
      </c>
      <c r="H109">
        <v>1.1380669999999999</v>
      </c>
      <c r="I109">
        <v>-0.13806705</v>
      </c>
      <c r="J109">
        <v>0.46771215999999999</v>
      </c>
    </row>
    <row r="110" spans="1:10" x14ac:dyDescent="0.3">
      <c r="A110">
        <v>108</v>
      </c>
      <c r="B110">
        <v>2131</v>
      </c>
      <c r="C110" t="b">
        <v>1</v>
      </c>
      <c r="D110">
        <v>8065</v>
      </c>
      <c r="E110">
        <v>8099</v>
      </c>
      <c r="F110">
        <v>230.8</v>
      </c>
      <c r="G110">
        <v>203.2</v>
      </c>
      <c r="H110">
        <v>1.1358268</v>
      </c>
      <c r="I110">
        <v>-0.1358268</v>
      </c>
      <c r="J110">
        <v>0.46820276999999999</v>
      </c>
    </row>
    <row r="111" spans="1:10" x14ac:dyDescent="0.3">
      <c r="A111">
        <v>109</v>
      </c>
      <c r="B111">
        <v>2163</v>
      </c>
      <c r="C111" t="b">
        <v>1</v>
      </c>
      <c r="D111">
        <v>8037</v>
      </c>
      <c r="E111">
        <v>8158</v>
      </c>
      <c r="F111">
        <v>230.8</v>
      </c>
      <c r="G111">
        <v>203.6</v>
      </c>
      <c r="H111">
        <v>1.1335952</v>
      </c>
      <c r="I111">
        <v>-0.13359526999999999</v>
      </c>
      <c r="J111">
        <v>0.46869244999999998</v>
      </c>
    </row>
    <row r="112" spans="1:10" x14ac:dyDescent="0.3">
      <c r="A112">
        <v>110</v>
      </c>
      <c r="B112">
        <v>2179</v>
      </c>
      <c r="C112" t="b">
        <v>1</v>
      </c>
      <c r="D112">
        <v>8060</v>
      </c>
      <c r="E112">
        <v>8129</v>
      </c>
      <c r="F112">
        <v>229.26666</v>
      </c>
      <c r="G112">
        <v>204.4</v>
      </c>
      <c r="H112">
        <v>1.1216569000000001</v>
      </c>
      <c r="I112">
        <v>-0.121656895</v>
      </c>
      <c r="J112">
        <v>0.47132974999999999</v>
      </c>
    </row>
    <row r="113" spans="1:10" x14ac:dyDescent="0.3">
      <c r="A113">
        <v>111</v>
      </c>
      <c r="B113">
        <v>2195</v>
      </c>
      <c r="C113" t="b">
        <v>1</v>
      </c>
      <c r="D113">
        <v>8083</v>
      </c>
      <c r="E113">
        <v>8140</v>
      </c>
      <c r="F113">
        <v>228.06666999999999</v>
      </c>
      <c r="G113">
        <v>205.2</v>
      </c>
      <c r="H113">
        <v>1.1114360000000001</v>
      </c>
      <c r="I113">
        <v>-0.11143601</v>
      </c>
      <c r="J113">
        <v>0.47361133</v>
      </c>
    </row>
    <row r="114" spans="1:10" x14ac:dyDescent="0.3">
      <c r="A114">
        <v>112</v>
      </c>
      <c r="B114">
        <v>2211</v>
      </c>
      <c r="C114" t="b">
        <v>1</v>
      </c>
      <c r="D114">
        <v>8094</v>
      </c>
      <c r="E114">
        <v>8105</v>
      </c>
      <c r="F114">
        <v>226.86667</v>
      </c>
      <c r="G114">
        <v>205.6</v>
      </c>
      <c r="H114">
        <v>1.1034371000000001</v>
      </c>
      <c r="I114">
        <v>-0.10343707000000001</v>
      </c>
      <c r="J114">
        <v>0.47541236999999997</v>
      </c>
    </row>
    <row r="115" spans="1:10" x14ac:dyDescent="0.3">
      <c r="A115">
        <v>113</v>
      </c>
      <c r="B115">
        <v>2227</v>
      </c>
      <c r="C115" t="b">
        <v>1</v>
      </c>
      <c r="D115">
        <v>8083</v>
      </c>
      <c r="E115">
        <v>8111</v>
      </c>
      <c r="F115">
        <v>227.66667000000001</v>
      </c>
      <c r="G115">
        <v>206</v>
      </c>
      <c r="H115">
        <v>1.105178</v>
      </c>
      <c r="I115">
        <v>-0.10517802</v>
      </c>
      <c r="J115">
        <v>0.47501919999999997</v>
      </c>
    </row>
    <row r="116" spans="1:10" x14ac:dyDescent="0.3">
      <c r="A116">
        <v>114</v>
      </c>
      <c r="B116">
        <v>2243</v>
      </c>
      <c r="C116" t="b">
        <v>1</v>
      </c>
      <c r="D116">
        <v>8048</v>
      </c>
      <c r="E116">
        <v>8129</v>
      </c>
      <c r="F116">
        <v>228.46665999999999</v>
      </c>
      <c r="G116">
        <v>207.6</v>
      </c>
      <c r="H116">
        <v>1.1005137</v>
      </c>
      <c r="I116">
        <v>-0.10051374</v>
      </c>
      <c r="J116">
        <v>0.47607403999999998</v>
      </c>
    </row>
    <row r="117" spans="1:10" x14ac:dyDescent="0.3">
      <c r="A117">
        <v>115</v>
      </c>
      <c r="B117">
        <v>2259</v>
      </c>
      <c r="C117" t="b">
        <v>1</v>
      </c>
      <c r="D117">
        <v>8083</v>
      </c>
      <c r="E117">
        <v>8105</v>
      </c>
      <c r="F117">
        <v>229.66667000000001</v>
      </c>
      <c r="G117">
        <v>208</v>
      </c>
      <c r="H117">
        <v>1.1041666999999999</v>
      </c>
      <c r="I117">
        <v>-0.104166694</v>
      </c>
      <c r="J117">
        <v>0.47524749999999999</v>
      </c>
    </row>
    <row r="118" spans="1:10" x14ac:dyDescent="0.3">
      <c r="A118">
        <v>116</v>
      </c>
      <c r="B118">
        <v>2274</v>
      </c>
      <c r="C118" t="b">
        <v>1</v>
      </c>
      <c r="D118">
        <v>8123</v>
      </c>
      <c r="E118">
        <v>8146</v>
      </c>
      <c r="F118">
        <v>231.6</v>
      </c>
      <c r="G118">
        <v>207.6</v>
      </c>
      <c r="H118">
        <v>1.1156069</v>
      </c>
      <c r="I118">
        <v>-0.11560693399999999</v>
      </c>
      <c r="J118">
        <v>0.47267759999999998</v>
      </c>
    </row>
    <row r="119" spans="1:10" x14ac:dyDescent="0.3">
      <c r="A119">
        <v>117</v>
      </c>
      <c r="B119">
        <v>2290</v>
      </c>
      <c r="C119" t="b">
        <v>1</v>
      </c>
      <c r="D119">
        <v>8060</v>
      </c>
      <c r="E119">
        <v>8105</v>
      </c>
      <c r="F119">
        <v>233.53334000000001</v>
      </c>
      <c r="G119">
        <v>207.2</v>
      </c>
      <c r="H119">
        <v>1.1270914000000001</v>
      </c>
      <c r="I119">
        <v>-0.12709142000000001</v>
      </c>
      <c r="J119">
        <v>0.47012553000000001</v>
      </c>
    </row>
    <row r="120" spans="1:10" x14ac:dyDescent="0.3">
      <c r="A120">
        <v>118</v>
      </c>
      <c r="B120">
        <v>2306</v>
      </c>
      <c r="C120" t="b">
        <v>1</v>
      </c>
      <c r="D120">
        <v>8048</v>
      </c>
      <c r="E120">
        <v>8087</v>
      </c>
      <c r="F120">
        <v>233.2</v>
      </c>
      <c r="G120">
        <v>206.4</v>
      </c>
      <c r="H120">
        <v>1.129845</v>
      </c>
      <c r="I120">
        <v>-0.12984498</v>
      </c>
      <c r="J120">
        <v>0.46951777</v>
      </c>
    </row>
    <row r="121" spans="1:10" x14ac:dyDescent="0.3">
      <c r="A121">
        <v>119</v>
      </c>
      <c r="B121">
        <v>2322</v>
      </c>
      <c r="C121" t="b">
        <v>1</v>
      </c>
      <c r="D121">
        <v>8054</v>
      </c>
      <c r="E121">
        <v>8105</v>
      </c>
      <c r="F121">
        <v>233.6</v>
      </c>
      <c r="G121">
        <v>204.8</v>
      </c>
      <c r="H121">
        <v>1.140625</v>
      </c>
      <c r="I121">
        <v>-0.14062500999999999</v>
      </c>
      <c r="J121">
        <v>0.46715325000000002</v>
      </c>
    </row>
    <row r="122" spans="1:10" x14ac:dyDescent="0.3">
      <c r="A122">
        <v>120</v>
      </c>
      <c r="B122">
        <v>2338</v>
      </c>
      <c r="C122" t="b">
        <v>1</v>
      </c>
      <c r="D122">
        <v>8060</v>
      </c>
      <c r="E122">
        <v>8123</v>
      </c>
      <c r="F122">
        <v>232.06666999999999</v>
      </c>
      <c r="G122">
        <v>204</v>
      </c>
      <c r="H122">
        <v>1.1375816999999999</v>
      </c>
      <c r="I122">
        <v>-0.13758169000000001</v>
      </c>
      <c r="J122">
        <v>0.46781837999999998</v>
      </c>
    </row>
    <row r="123" spans="1:10" x14ac:dyDescent="0.3">
      <c r="A123">
        <v>121</v>
      </c>
      <c r="B123">
        <v>2354</v>
      </c>
      <c r="C123" t="b">
        <v>1</v>
      </c>
      <c r="D123">
        <v>8094</v>
      </c>
      <c r="E123">
        <v>8129</v>
      </c>
      <c r="F123">
        <v>230.53334000000001</v>
      </c>
      <c r="G123">
        <v>202.8</v>
      </c>
      <c r="H123">
        <v>1.1367521</v>
      </c>
      <c r="I123">
        <v>-0.13675216000000001</v>
      </c>
      <c r="J123">
        <v>0.46800000000000003</v>
      </c>
    </row>
    <row r="124" spans="1:10" x14ac:dyDescent="0.3">
      <c r="A124">
        <v>122</v>
      </c>
      <c r="B124">
        <v>2370</v>
      </c>
      <c r="C124" t="b">
        <v>1</v>
      </c>
      <c r="D124">
        <v>8077</v>
      </c>
      <c r="E124">
        <v>8140</v>
      </c>
      <c r="F124">
        <v>229</v>
      </c>
      <c r="G124">
        <v>202.8</v>
      </c>
      <c r="H124">
        <v>1.1291913</v>
      </c>
      <c r="I124">
        <v>-0.12919131</v>
      </c>
      <c r="J124">
        <v>0.46966190000000002</v>
      </c>
    </row>
    <row r="125" spans="1:10" x14ac:dyDescent="0.3">
      <c r="A125">
        <v>123</v>
      </c>
      <c r="B125">
        <v>2386</v>
      </c>
      <c r="C125" t="b">
        <v>1</v>
      </c>
      <c r="D125">
        <v>8094</v>
      </c>
      <c r="E125">
        <v>8105</v>
      </c>
      <c r="F125">
        <v>229.8</v>
      </c>
      <c r="G125">
        <v>202.8</v>
      </c>
      <c r="H125">
        <v>1.1331359999999999</v>
      </c>
      <c r="I125">
        <v>-0.13313610000000001</v>
      </c>
      <c r="J125">
        <v>0.46879333000000001</v>
      </c>
    </row>
    <row r="126" spans="1:10" x14ac:dyDescent="0.3">
      <c r="A126">
        <v>124</v>
      </c>
      <c r="B126">
        <v>2402</v>
      </c>
      <c r="C126" t="b">
        <v>1</v>
      </c>
      <c r="D126">
        <v>8111</v>
      </c>
      <c r="E126">
        <v>8123</v>
      </c>
      <c r="F126">
        <v>231.73334</v>
      </c>
      <c r="G126">
        <v>202.8</v>
      </c>
      <c r="H126">
        <v>1.1426693000000001</v>
      </c>
      <c r="I126">
        <v>-0.1426693</v>
      </c>
      <c r="J126">
        <v>0.4667076</v>
      </c>
    </row>
    <row r="127" spans="1:10" x14ac:dyDescent="0.3">
      <c r="A127">
        <v>125</v>
      </c>
      <c r="B127">
        <v>2419</v>
      </c>
      <c r="C127" t="b">
        <v>1</v>
      </c>
      <c r="D127">
        <v>8054</v>
      </c>
      <c r="E127">
        <v>8140</v>
      </c>
      <c r="F127">
        <v>234</v>
      </c>
      <c r="G127">
        <v>202.8</v>
      </c>
      <c r="H127">
        <v>1.1538461</v>
      </c>
      <c r="I127">
        <v>-0.15384613</v>
      </c>
      <c r="J127">
        <v>0.46428573000000001</v>
      </c>
    </row>
    <row r="128" spans="1:10" x14ac:dyDescent="0.3">
      <c r="A128">
        <v>126</v>
      </c>
      <c r="B128">
        <v>2450</v>
      </c>
      <c r="C128" t="b">
        <v>1</v>
      </c>
      <c r="D128">
        <v>8071</v>
      </c>
      <c r="E128">
        <v>8117</v>
      </c>
      <c r="F128">
        <v>234.8</v>
      </c>
      <c r="G128">
        <v>202.4</v>
      </c>
      <c r="H128">
        <v>1.1600790999999999</v>
      </c>
      <c r="I128">
        <v>-0.1600791</v>
      </c>
      <c r="J128">
        <v>0.46294600000000002</v>
      </c>
    </row>
    <row r="129" spans="1:10" x14ac:dyDescent="0.3">
      <c r="A129">
        <v>127</v>
      </c>
      <c r="B129">
        <v>2482</v>
      </c>
      <c r="C129" t="b">
        <v>1</v>
      </c>
      <c r="D129">
        <v>8071</v>
      </c>
      <c r="E129">
        <v>8146</v>
      </c>
      <c r="F129">
        <v>235.2</v>
      </c>
      <c r="G129">
        <v>202</v>
      </c>
      <c r="H129">
        <v>1.1643565</v>
      </c>
      <c r="I129">
        <v>-0.16435643</v>
      </c>
      <c r="J129">
        <v>0.46203109999999997</v>
      </c>
    </row>
    <row r="130" spans="1:10" x14ac:dyDescent="0.3">
      <c r="A130">
        <v>128</v>
      </c>
      <c r="B130">
        <v>2498</v>
      </c>
      <c r="C130" t="b">
        <v>1</v>
      </c>
      <c r="D130">
        <v>8077</v>
      </c>
      <c r="E130">
        <v>8140</v>
      </c>
      <c r="F130">
        <v>234.4</v>
      </c>
      <c r="G130">
        <v>202.73334</v>
      </c>
      <c r="H130">
        <v>1.1561986</v>
      </c>
      <c r="I130">
        <v>-0.15619855999999999</v>
      </c>
      <c r="J130">
        <v>0.46377918000000001</v>
      </c>
    </row>
    <row r="131" spans="1:10" x14ac:dyDescent="0.3">
      <c r="A131">
        <v>129</v>
      </c>
      <c r="B131">
        <v>2514</v>
      </c>
      <c r="C131" t="b">
        <v>1</v>
      </c>
      <c r="D131">
        <v>8083</v>
      </c>
      <c r="E131">
        <v>8129</v>
      </c>
      <c r="F131">
        <v>233.6</v>
      </c>
      <c r="G131">
        <v>203.46665999999999</v>
      </c>
      <c r="H131">
        <v>1.1480996999999999</v>
      </c>
      <c r="I131">
        <v>-0.14809968000000001</v>
      </c>
      <c r="J131">
        <v>0.46552777000000001</v>
      </c>
    </row>
    <row r="132" spans="1:10" x14ac:dyDescent="0.3">
      <c r="A132">
        <v>130</v>
      </c>
      <c r="B132">
        <v>2546</v>
      </c>
      <c r="C132" t="b">
        <v>1</v>
      </c>
      <c r="D132">
        <v>8071</v>
      </c>
      <c r="E132">
        <v>8140</v>
      </c>
      <c r="F132">
        <v>232.8</v>
      </c>
      <c r="G132">
        <v>205.4</v>
      </c>
      <c r="H132">
        <v>1.1333983000000001</v>
      </c>
      <c r="I132">
        <v>-0.1333983</v>
      </c>
      <c r="J132">
        <v>0.46873572000000002</v>
      </c>
    </row>
    <row r="133" spans="1:10" x14ac:dyDescent="0.3">
      <c r="A133">
        <v>131</v>
      </c>
      <c r="B133">
        <v>2561</v>
      </c>
      <c r="C133" t="b">
        <v>1</v>
      </c>
      <c r="D133">
        <v>8094</v>
      </c>
      <c r="E133">
        <v>8111</v>
      </c>
      <c r="F133">
        <v>232.4</v>
      </c>
      <c r="G133">
        <v>207.33332999999999</v>
      </c>
      <c r="H133">
        <v>1.1209003</v>
      </c>
      <c r="I133">
        <v>-0.12090032000000001</v>
      </c>
      <c r="J133">
        <v>0.47149785999999999</v>
      </c>
    </row>
    <row r="134" spans="1:10" x14ac:dyDescent="0.3">
      <c r="A134">
        <v>132</v>
      </c>
      <c r="B134">
        <v>2577</v>
      </c>
      <c r="C134" t="b">
        <v>1</v>
      </c>
      <c r="D134">
        <v>8048</v>
      </c>
      <c r="E134">
        <v>8134</v>
      </c>
      <c r="F134">
        <v>232</v>
      </c>
      <c r="G134">
        <v>208.86667</v>
      </c>
      <c r="H134">
        <v>1.1107564000000001</v>
      </c>
      <c r="I134">
        <v>-0.11075645000000001</v>
      </c>
      <c r="J134">
        <v>0.47376380000000001</v>
      </c>
    </row>
    <row r="135" spans="1:10" x14ac:dyDescent="0.3">
      <c r="A135">
        <v>133</v>
      </c>
      <c r="B135">
        <v>2593</v>
      </c>
      <c r="C135" t="b">
        <v>1</v>
      </c>
      <c r="D135">
        <v>8037</v>
      </c>
      <c r="E135">
        <v>8117</v>
      </c>
      <c r="F135">
        <v>232.73334</v>
      </c>
      <c r="G135">
        <v>210.46665999999999</v>
      </c>
      <c r="H135">
        <v>1.1057967</v>
      </c>
      <c r="I135">
        <v>-0.10579669999999999</v>
      </c>
      <c r="J135">
        <v>0.47487962</v>
      </c>
    </row>
    <row r="136" spans="1:10" x14ac:dyDescent="0.3">
      <c r="A136">
        <v>134</v>
      </c>
      <c r="B136">
        <v>2609</v>
      </c>
      <c r="C136" t="b">
        <v>1</v>
      </c>
      <c r="D136">
        <v>8083</v>
      </c>
      <c r="E136">
        <v>8129</v>
      </c>
      <c r="F136">
        <v>233.46665999999999</v>
      </c>
      <c r="G136">
        <v>212.06666999999999</v>
      </c>
      <c r="H136">
        <v>1.1009116000000001</v>
      </c>
      <c r="I136">
        <v>-0.10091163</v>
      </c>
      <c r="J136">
        <v>0.47598385999999998</v>
      </c>
    </row>
    <row r="137" spans="1:10" x14ac:dyDescent="0.3">
      <c r="A137">
        <v>135</v>
      </c>
      <c r="B137">
        <v>2625</v>
      </c>
      <c r="C137" t="b">
        <v>1</v>
      </c>
      <c r="D137">
        <v>8054</v>
      </c>
      <c r="E137">
        <v>8134</v>
      </c>
      <c r="F137">
        <v>233.06666999999999</v>
      </c>
      <c r="G137">
        <v>213.66667000000001</v>
      </c>
      <c r="H137">
        <v>1.0907956000000001</v>
      </c>
      <c r="I137">
        <v>-9.0795600000000004E-2</v>
      </c>
      <c r="J137">
        <v>0.47828683</v>
      </c>
    </row>
    <row r="138" spans="1:10" x14ac:dyDescent="0.3">
      <c r="A138">
        <v>136</v>
      </c>
      <c r="B138">
        <v>2657</v>
      </c>
      <c r="C138" t="b">
        <v>1</v>
      </c>
      <c r="D138">
        <v>8065</v>
      </c>
      <c r="E138">
        <v>8158</v>
      </c>
      <c r="F138">
        <v>232.66667000000001</v>
      </c>
      <c r="G138">
        <v>215.6</v>
      </c>
      <c r="H138">
        <v>1.0791588999999999</v>
      </c>
      <c r="I138">
        <v>-7.9158930000000002E-2</v>
      </c>
      <c r="J138">
        <v>0.48096373999999997</v>
      </c>
    </row>
    <row r="139" spans="1:10" x14ac:dyDescent="0.3">
      <c r="A139">
        <v>137</v>
      </c>
      <c r="B139">
        <v>2688</v>
      </c>
      <c r="C139" t="b">
        <v>1</v>
      </c>
      <c r="D139">
        <v>8094</v>
      </c>
      <c r="E139">
        <v>8105</v>
      </c>
      <c r="F139">
        <v>233</v>
      </c>
      <c r="G139">
        <v>216</v>
      </c>
      <c r="H139">
        <v>1.0787038</v>
      </c>
      <c r="I139">
        <v>-7.8703700000000001E-2</v>
      </c>
      <c r="J139">
        <v>0.48106903000000001</v>
      </c>
    </row>
    <row r="140" spans="1:10" x14ac:dyDescent="0.3">
      <c r="A140">
        <v>138</v>
      </c>
      <c r="B140">
        <v>2704</v>
      </c>
      <c r="C140" t="b">
        <v>1</v>
      </c>
      <c r="D140">
        <v>8106</v>
      </c>
      <c r="E140">
        <v>8111</v>
      </c>
      <c r="F140">
        <v>233.4</v>
      </c>
      <c r="G140">
        <v>216.4</v>
      </c>
      <c r="H140">
        <v>1.0785582</v>
      </c>
      <c r="I140">
        <v>-7.8558230000000007E-2</v>
      </c>
      <c r="J140">
        <v>0.48110269999999999</v>
      </c>
    </row>
    <row r="141" spans="1:10" x14ac:dyDescent="0.3">
      <c r="A141">
        <v>139</v>
      </c>
      <c r="B141">
        <v>2720</v>
      </c>
      <c r="C141" t="b">
        <v>1</v>
      </c>
      <c r="D141">
        <v>8071</v>
      </c>
      <c r="E141">
        <v>8134</v>
      </c>
      <c r="F141">
        <v>231.86667</v>
      </c>
      <c r="G141">
        <v>217.13333</v>
      </c>
      <c r="H141">
        <v>1.0678539</v>
      </c>
      <c r="I141">
        <v>-6.7853874999999994E-2</v>
      </c>
      <c r="J141">
        <v>0.48359317000000002</v>
      </c>
    </row>
    <row r="142" spans="1:10" x14ac:dyDescent="0.3">
      <c r="A142">
        <v>140</v>
      </c>
      <c r="B142">
        <v>2752</v>
      </c>
      <c r="C142" t="b">
        <v>1</v>
      </c>
      <c r="D142">
        <v>8048</v>
      </c>
      <c r="E142">
        <v>8129</v>
      </c>
      <c r="F142">
        <v>230.33332999999999</v>
      </c>
      <c r="G142">
        <v>217.13333</v>
      </c>
      <c r="H142">
        <v>1.0607921</v>
      </c>
      <c r="I142">
        <v>-6.0792126000000002E-2</v>
      </c>
      <c r="J142">
        <v>0.48525030000000002</v>
      </c>
    </row>
    <row r="143" spans="1:10" x14ac:dyDescent="0.3">
      <c r="A143">
        <v>141</v>
      </c>
      <c r="B143">
        <v>2768</v>
      </c>
      <c r="C143" t="b">
        <v>1</v>
      </c>
      <c r="D143">
        <v>8071</v>
      </c>
      <c r="E143">
        <v>8129</v>
      </c>
      <c r="F143">
        <v>229.93333000000001</v>
      </c>
      <c r="G143">
        <v>217.53334000000001</v>
      </c>
      <c r="H143">
        <v>1.0570028</v>
      </c>
      <c r="I143">
        <v>-5.7002727000000003E-2</v>
      </c>
      <c r="J143">
        <v>0.48614420000000003</v>
      </c>
    </row>
    <row r="144" spans="1:10" x14ac:dyDescent="0.3">
      <c r="A144">
        <v>142</v>
      </c>
      <c r="B144">
        <v>2799</v>
      </c>
      <c r="C144" t="b">
        <v>1</v>
      </c>
      <c r="D144">
        <v>8071</v>
      </c>
      <c r="E144">
        <v>8134</v>
      </c>
      <c r="F144">
        <v>229.93333000000001</v>
      </c>
      <c r="G144">
        <v>217.93333000000001</v>
      </c>
      <c r="H144">
        <v>1.0550626999999999</v>
      </c>
      <c r="I144">
        <v>-5.5062710000000001E-2</v>
      </c>
      <c r="J144">
        <v>0.48660316999999997</v>
      </c>
    </row>
    <row r="145" spans="1:10" x14ac:dyDescent="0.3">
      <c r="A145">
        <v>143</v>
      </c>
      <c r="B145">
        <v>2831</v>
      </c>
      <c r="C145" t="b">
        <v>1</v>
      </c>
      <c r="D145">
        <v>8048</v>
      </c>
      <c r="E145">
        <v>8134</v>
      </c>
      <c r="F145">
        <v>229.93333000000001</v>
      </c>
      <c r="G145">
        <v>217.53334000000001</v>
      </c>
      <c r="H145">
        <v>1.0570028</v>
      </c>
      <c r="I145">
        <v>-5.7002727000000003E-2</v>
      </c>
      <c r="J145">
        <v>0.48614420000000003</v>
      </c>
    </row>
    <row r="146" spans="1:10" x14ac:dyDescent="0.3">
      <c r="A146">
        <v>144</v>
      </c>
      <c r="B146">
        <v>2847</v>
      </c>
      <c r="C146" t="b">
        <v>1</v>
      </c>
      <c r="D146">
        <v>8083</v>
      </c>
      <c r="E146">
        <v>8111</v>
      </c>
      <c r="F146">
        <v>229.93333000000001</v>
      </c>
      <c r="G146">
        <v>216.8</v>
      </c>
      <c r="H146">
        <v>1.0605781000000001</v>
      </c>
      <c r="I146">
        <v>-6.0578096999999997E-2</v>
      </c>
      <c r="J146">
        <v>0.48530069999999997</v>
      </c>
    </row>
    <row r="147" spans="1:10" x14ac:dyDescent="0.3">
      <c r="A147">
        <v>145</v>
      </c>
      <c r="B147">
        <v>2878</v>
      </c>
      <c r="C147" t="b">
        <v>1</v>
      </c>
      <c r="D147">
        <v>8071</v>
      </c>
      <c r="E147">
        <v>8117</v>
      </c>
      <c r="F147">
        <v>229.93333000000001</v>
      </c>
      <c r="G147">
        <v>216.06666999999999</v>
      </c>
      <c r="H147">
        <v>1.0641778</v>
      </c>
      <c r="I147">
        <v>-6.4177730000000002E-2</v>
      </c>
      <c r="J147">
        <v>0.48445440000000001</v>
      </c>
    </row>
    <row r="148" spans="1:10" x14ac:dyDescent="0.3">
      <c r="A148">
        <v>146</v>
      </c>
      <c r="B148">
        <v>2894</v>
      </c>
      <c r="C148" t="b">
        <v>1</v>
      </c>
      <c r="D148">
        <v>8054</v>
      </c>
      <c r="E148">
        <v>8152</v>
      </c>
      <c r="F148">
        <v>229.53334000000001</v>
      </c>
      <c r="G148">
        <v>215.66667000000001</v>
      </c>
      <c r="H148">
        <v>1.0642967000000001</v>
      </c>
      <c r="I148">
        <v>-6.4296759999999994E-2</v>
      </c>
      <c r="J148">
        <v>0.48442647</v>
      </c>
    </row>
    <row r="149" spans="1:10" x14ac:dyDescent="0.3">
      <c r="A149">
        <v>147</v>
      </c>
      <c r="B149">
        <v>2910</v>
      </c>
      <c r="C149" t="b">
        <v>1</v>
      </c>
      <c r="D149">
        <v>8054</v>
      </c>
      <c r="E149">
        <v>8105</v>
      </c>
      <c r="F149">
        <v>228</v>
      </c>
      <c r="G149">
        <v>214.53334000000001</v>
      </c>
      <c r="H149">
        <v>1.0627719</v>
      </c>
      <c r="I149">
        <v>-6.2771869999999994E-2</v>
      </c>
      <c r="J149">
        <v>0.48478460000000001</v>
      </c>
    </row>
    <row r="150" spans="1:10" x14ac:dyDescent="0.3">
      <c r="A150">
        <v>148</v>
      </c>
      <c r="B150">
        <v>2943</v>
      </c>
      <c r="C150" t="b">
        <v>1</v>
      </c>
      <c r="D150">
        <v>8060</v>
      </c>
      <c r="E150">
        <v>8170</v>
      </c>
      <c r="F150">
        <v>227.26666</v>
      </c>
      <c r="G150">
        <v>213.73334</v>
      </c>
      <c r="H150">
        <v>1.0633187</v>
      </c>
      <c r="I150">
        <v>-6.3318739999999998E-2</v>
      </c>
      <c r="J150">
        <v>0.48465609999999998</v>
      </c>
    </row>
    <row r="151" spans="1:10" x14ac:dyDescent="0.3">
      <c r="A151">
        <v>149</v>
      </c>
      <c r="B151">
        <v>2975</v>
      </c>
      <c r="C151" t="b">
        <v>1</v>
      </c>
      <c r="D151">
        <v>8071</v>
      </c>
      <c r="E151">
        <v>8170</v>
      </c>
      <c r="F151">
        <v>226.53334000000001</v>
      </c>
      <c r="G151">
        <v>215.26666</v>
      </c>
      <c r="H151">
        <v>1.0523381999999999</v>
      </c>
      <c r="I151">
        <v>-5.2338240000000001E-2</v>
      </c>
      <c r="J151">
        <v>0.48724914000000003</v>
      </c>
    </row>
    <row r="152" spans="1:10" x14ac:dyDescent="0.3">
      <c r="A152">
        <v>150</v>
      </c>
      <c r="B152">
        <v>2990</v>
      </c>
      <c r="C152" t="b">
        <v>1</v>
      </c>
      <c r="D152">
        <v>8077</v>
      </c>
      <c r="E152">
        <v>8146</v>
      </c>
      <c r="F152">
        <v>226.93333000000001</v>
      </c>
      <c r="G152">
        <v>216.8</v>
      </c>
      <c r="H152">
        <v>1.0467404</v>
      </c>
      <c r="I152">
        <v>-4.6740456999999999E-2</v>
      </c>
      <c r="J152">
        <v>0.48858174999999998</v>
      </c>
    </row>
    <row r="153" spans="1:10" x14ac:dyDescent="0.3">
      <c r="A153">
        <v>151</v>
      </c>
      <c r="B153">
        <v>3006</v>
      </c>
      <c r="C153" t="b">
        <v>1</v>
      </c>
      <c r="D153">
        <v>8054</v>
      </c>
      <c r="E153">
        <v>8134</v>
      </c>
      <c r="F153">
        <v>227.33332999999999</v>
      </c>
      <c r="G153">
        <v>217.6</v>
      </c>
      <c r="H153">
        <v>1.0447302999999999</v>
      </c>
      <c r="I153">
        <v>-4.473034E-2</v>
      </c>
      <c r="J153">
        <v>0.48906203999999998</v>
      </c>
    </row>
    <row r="154" spans="1:10" x14ac:dyDescent="0.3">
      <c r="A154">
        <v>152</v>
      </c>
      <c r="B154">
        <v>3038</v>
      </c>
      <c r="C154" t="b">
        <v>1</v>
      </c>
      <c r="D154">
        <v>8060</v>
      </c>
      <c r="E154">
        <v>8099</v>
      </c>
      <c r="F154">
        <v>227</v>
      </c>
      <c r="G154">
        <v>218.73334</v>
      </c>
      <c r="H154">
        <v>1.0377932999999999</v>
      </c>
      <c r="I154">
        <v>-3.7793334999999997E-2</v>
      </c>
      <c r="J154">
        <v>0.49072690000000002</v>
      </c>
    </row>
    <row r="155" spans="1:10" x14ac:dyDescent="0.3">
      <c r="A155">
        <v>153</v>
      </c>
      <c r="B155">
        <v>3054</v>
      </c>
      <c r="C155" t="b">
        <v>1</v>
      </c>
      <c r="D155">
        <v>8054</v>
      </c>
      <c r="E155">
        <v>8134</v>
      </c>
      <c r="F155">
        <v>225.46665999999999</v>
      </c>
      <c r="G155">
        <v>219.06666999999999</v>
      </c>
      <c r="H155">
        <v>1.0292148999999999</v>
      </c>
      <c r="I155">
        <v>-2.9214824E-2</v>
      </c>
      <c r="J155">
        <v>0.49280146000000002</v>
      </c>
    </row>
    <row r="156" spans="1:10" x14ac:dyDescent="0.3">
      <c r="A156">
        <v>154</v>
      </c>
      <c r="B156">
        <v>3069</v>
      </c>
      <c r="C156" t="b">
        <v>1</v>
      </c>
      <c r="D156">
        <v>8054</v>
      </c>
      <c r="E156">
        <v>8111</v>
      </c>
      <c r="F156">
        <v>224.33332999999999</v>
      </c>
      <c r="G156">
        <v>219.06666999999999</v>
      </c>
      <c r="H156">
        <v>1.0240414</v>
      </c>
      <c r="I156">
        <v>-2.4041369999999999E-2</v>
      </c>
      <c r="J156">
        <v>0.49406105</v>
      </c>
    </row>
    <row r="157" spans="1:10" x14ac:dyDescent="0.3">
      <c r="A157">
        <v>155</v>
      </c>
      <c r="B157">
        <v>3085</v>
      </c>
      <c r="C157" t="b">
        <v>1</v>
      </c>
      <c r="D157">
        <v>8100</v>
      </c>
      <c r="E157">
        <v>8111</v>
      </c>
      <c r="F157">
        <v>223.2</v>
      </c>
      <c r="G157">
        <v>217.86667</v>
      </c>
      <c r="H157">
        <v>1.0244797000000001</v>
      </c>
      <c r="I157">
        <v>-2.447978E-2</v>
      </c>
      <c r="J157">
        <v>0.49395405999999997</v>
      </c>
    </row>
    <row r="158" spans="1:10" x14ac:dyDescent="0.3">
      <c r="A158">
        <v>156</v>
      </c>
      <c r="B158">
        <v>3102</v>
      </c>
      <c r="C158" t="b">
        <v>1</v>
      </c>
      <c r="D158">
        <v>8048</v>
      </c>
      <c r="E158">
        <v>8134</v>
      </c>
      <c r="F158">
        <v>222.06666999999999</v>
      </c>
      <c r="G158">
        <v>216.66667000000001</v>
      </c>
      <c r="H158">
        <v>1.0249231000000001</v>
      </c>
      <c r="I158">
        <v>-2.4923048999999999E-2</v>
      </c>
      <c r="J158">
        <v>0.49384593999999998</v>
      </c>
    </row>
    <row r="159" spans="1:10" x14ac:dyDescent="0.3">
      <c r="A159">
        <v>157</v>
      </c>
      <c r="B159">
        <v>3133</v>
      </c>
      <c r="C159" t="b">
        <v>1</v>
      </c>
      <c r="D159">
        <v>8083</v>
      </c>
      <c r="E159">
        <v>8158</v>
      </c>
      <c r="F159">
        <v>220.93333000000001</v>
      </c>
      <c r="G159">
        <v>217</v>
      </c>
      <c r="H159">
        <v>1.0181260000000001</v>
      </c>
      <c r="I159">
        <v>-1.8125964000000001E-2</v>
      </c>
      <c r="J159">
        <v>0.49550917999999999</v>
      </c>
    </row>
    <row r="160" spans="1:10" x14ac:dyDescent="0.3">
      <c r="A160">
        <v>158</v>
      </c>
      <c r="B160">
        <v>3165</v>
      </c>
      <c r="C160" t="b">
        <v>1</v>
      </c>
      <c r="D160">
        <v>8088</v>
      </c>
      <c r="E160">
        <v>8111</v>
      </c>
      <c r="F160">
        <v>221.73334</v>
      </c>
      <c r="G160">
        <v>215.46665999999999</v>
      </c>
      <c r="H160">
        <v>1.0290842</v>
      </c>
      <c r="I160">
        <v>-2.9084210999999999E-2</v>
      </c>
      <c r="J160">
        <v>0.49283314</v>
      </c>
    </row>
    <row r="161" spans="1:10" x14ac:dyDescent="0.3">
      <c r="A161">
        <v>159</v>
      </c>
      <c r="B161">
        <v>3181</v>
      </c>
      <c r="C161" t="b">
        <v>1</v>
      </c>
      <c r="D161">
        <v>8083</v>
      </c>
      <c r="E161">
        <v>8129</v>
      </c>
      <c r="F161">
        <v>222.53334000000001</v>
      </c>
      <c r="G161">
        <v>215.46665999999999</v>
      </c>
      <c r="H161">
        <v>1.0327971</v>
      </c>
      <c r="I161">
        <v>-3.2797100000000003E-2</v>
      </c>
      <c r="J161">
        <v>0.49193302</v>
      </c>
    </row>
    <row r="162" spans="1:10" x14ac:dyDescent="0.3">
      <c r="A162">
        <v>160</v>
      </c>
      <c r="B162">
        <v>3197</v>
      </c>
      <c r="C162" t="b">
        <v>1</v>
      </c>
      <c r="D162">
        <v>8071</v>
      </c>
      <c r="E162">
        <v>8134</v>
      </c>
      <c r="F162">
        <v>223.33332999999999</v>
      </c>
      <c r="G162">
        <v>215.8</v>
      </c>
      <c r="H162">
        <v>1.0349088</v>
      </c>
      <c r="I162">
        <v>-3.4908827000000003E-2</v>
      </c>
      <c r="J162">
        <v>0.49142249999999998</v>
      </c>
    </row>
    <row r="163" spans="1:10" x14ac:dyDescent="0.3">
      <c r="A163">
        <v>161</v>
      </c>
      <c r="B163">
        <v>3213</v>
      </c>
      <c r="C163" t="b">
        <v>1</v>
      </c>
      <c r="D163">
        <v>8048</v>
      </c>
      <c r="E163">
        <v>8117</v>
      </c>
      <c r="F163">
        <v>224.13333</v>
      </c>
      <c r="G163">
        <v>215.46665999999999</v>
      </c>
      <c r="H163">
        <v>1.0402228</v>
      </c>
      <c r="I163">
        <v>-4.0222797999999997E-2</v>
      </c>
      <c r="J163">
        <v>0.49014255000000001</v>
      </c>
    </row>
    <row r="164" spans="1:10" x14ac:dyDescent="0.3">
      <c r="A164">
        <v>162</v>
      </c>
      <c r="B164">
        <v>3229</v>
      </c>
      <c r="C164" t="b">
        <v>1</v>
      </c>
      <c r="D164">
        <v>8088</v>
      </c>
      <c r="E164">
        <v>8129</v>
      </c>
      <c r="F164">
        <v>226.06666999999999</v>
      </c>
      <c r="G164">
        <v>216.26666</v>
      </c>
      <c r="H164">
        <v>1.0453144000000001</v>
      </c>
      <c r="I164">
        <v>-4.5314442000000003E-2</v>
      </c>
      <c r="J164">
        <v>0.48892239999999998</v>
      </c>
    </row>
    <row r="165" spans="1:10" x14ac:dyDescent="0.3">
      <c r="A165">
        <v>163</v>
      </c>
      <c r="B165">
        <v>3245</v>
      </c>
      <c r="C165" t="b">
        <v>1</v>
      </c>
      <c r="D165">
        <v>8060</v>
      </c>
      <c r="E165">
        <v>8146</v>
      </c>
      <c r="F165">
        <v>226.8</v>
      </c>
      <c r="G165">
        <v>217.06666999999999</v>
      </c>
      <c r="H165">
        <v>1.0448402999999999</v>
      </c>
      <c r="I165">
        <v>-4.4840313E-2</v>
      </c>
      <c r="J165">
        <v>0.48903575999999999</v>
      </c>
    </row>
    <row r="166" spans="1:10" x14ac:dyDescent="0.3">
      <c r="A166">
        <v>164</v>
      </c>
      <c r="B166">
        <v>3261</v>
      </c>
      <c r="C166" t="b">
        <v>1</v>
      </c>
      <c r="D166">
        <v>8048</v>
      </c>
      <c r="E166">
        <v>8117</v>
      </c>
      <c r="F166">
        <v>226.8</v>
      </c>
      <c r="G166">
        <v>215.53334000000001</v>
      </c>
      <c r="H166">
        <v>1.0522734</v>
      </c>
      <c r="I166">
        <v>-5.2273409999999999E-2</v>
      </c>
      <c r="J166">
        <v>0.48726449999999999</v>
      </c>
    </row>
    <row r="167" spans="1:10" x14ac:dyDescent="0.3">
      <c r="A167">
        <v>165</v>
      </c>
      <c r="B167">
        <v>3277</v>
      </c>
      <c r="C167" t="b">
        <v>1</v>
      </c>
      <c r="D167">
        <v>8083</v>
      </c>
      <c r="E167">
        <v>8140</v>
      </c>
      <c r="F167">
        <v>226.8</v>
      </c>
      <c r="G167">
        <v>214</v>
      </c>
      <c r="H167">
        <v>1.0598131</v>
      </c>
      <c r="I167">
        <v>-5.9813097000000003E-2</v>
      </c>
      <c r="J167">
        <v>0.48548096000000002</v>
      </c>
    </row>
    <row r="168" spans="1:10" x14ac:dyDescent="0.3">
      <c r="A168">
        <v>166</v>
      </c>
      <c r="B168">
        <v>3293</v>
      </c>
      <c r="C168" t="b">
        <v>1</v>
      </c>
      <c r="D168">
        <v>8042</v>
      </c>
      <c r="E168">
        <v>8105</v>
      </c>
      <c r="F168">
        <v>226.8</v>
      </c>
      <c r="G168">
        <v>212.86667</v>
      </c>
      <c r="H168">
        <v>1.0654557</v>
      </c>
      <c r="I168">
        <v>-6.5455689999999997E-2</v>
      </c>
      <c r="J168">
        <v>0.48415464000000002</v>
      </c>
    </row>
    <row r="169" spans="1:10" x14ac:dyDescent="0.3">
      <c r="A169">
        <v>167</v>
      </c>
      <c r="B169">
        <v>3309</v>
      </c>
      <c r="C169" t="b">
        <v>1</v>
      </c>
      <c r="D169">
        <v>8071</v>
      </c>
      <c r="E169">
        <v>8123</v>
      </c>
      <c r="F169">
        <v>226.8</v>
      </c>
      <c r="G169">
        <v>211.33332999999999</v>
      </c>
      <c r="H169">
        <v>1.0731862000000001</v>
      </c>
      <c r="I169">
        <v>-7.318616E-2</v>
      </c>
      <c r="J169">
        <v>0.48234937</v>
      </c>
    </row>
    <row r="170" spans="1:10" x14ac:dyDescent="0.3">
      <c r="A170">
        <v>168</v>
      </c>
      <c r="B170">
        <v>3325</v>
      </c>
      <c r="C170" t="b">
        <v>1</v>
      </c>
      <c r="D170">
        <v>8060</v>
      </c>
      <c r="E170">
        <v>8140</v>
      </c>
      <c r="F170">
        <v>226.8</v>
      </c>
      <c r="G170">
        <v>210.6</v>
      </c>
      <c r="H170">
        <v>1.0769230000000001</v>
      </c>
      <c r="I170">
        <v>-7.6923060000000001E-2</v>
      </c>
      <c r="J170">
        <v>0.48148146000000003</v>
      </c>
    </row>
    <row r="171" spans="1:10" x14ac:dyDescent="0.3">
      <c r="A171">
        <v>169</v>
      </c>
      <c r="B171">
        <v>3340</v>
      </c>
      <c r="C171" t="b">
        <v>1</v>
      </c>
      <c r="D171">
        <v>8094</v>
      </c>
      <c r="E171">
        <v>8105</v>
      </c>
      <c r="F171">
        <v>227.93333000000001</v>
      </c>
      <c r="G171">
        <v>209.86667</v>
      </c>
      <c r="H171">
        <v>1.0860863999999999</v>
      </c>
      <c r="I171">
        <v>-8.6086399999999993E-2</v>
      </c>
      <c r="J171">
        <v>0.47936654000000001</v>
      </c>
    </row>
    <row r="172" spans="1:10" x14ac:dyDescent="0.3">
      <c r="A172">
        <v>170</v>
      </c>
      <c r="B172">
        <v>3356</v>
      </c>
      <c r="C172" t="b">
        <v>1</v>
      </c>
      <c r="D172">
        <v>8054</v>
      </c>
      <c r="E172">
        <v>8146</v>
      </c>
      <c r="F172">
        <v>228.33332999999999</v>
      </c>
      <c r="G172">
        <v>210.66667000000001</v>
      </c>
      <c r="H172">
        <v>1.0838608000000001</v>
      </c>
      <c r="I172">
        <v>-8.3860710000000005E-2</v>
      </c>
      <c r="J172">
        <v>0.47987851999999998</v>
      </c>
    </row>
    <row r="173" spans="1:10" x14ac:dyDescent="0.3">
      <c r="A173">
        <v>171</v>
      </c>
      <c r="B173">
        <v>3372</v>
      </c>
      <c r="C173" t="b">
        <v>1</v>
      </c>
      <c r="D173">
        <v>8048</v>
      </c>
      <c r="E173">
        <v>8164</v>
      </c>
      <c r="F173">
        <v>228.73334</v>
      </c>
      <c r="G173">
        <v>212.6</v>
      </c>
      <c r="H173">
        <v>1.0758859000000001</v>
      </c>
      <c r="I173">
        <v>-7.5885850000000005E-2</v>
      </c>
      <c r="J173">
        <v>0.48172206000000001</v>
      </c>
    </row>
    <row r="174" spans="1:10" x14ac:dyDescent="0.3">
      <c r="A174">
        <v>172</v>
      </c>
      <c r="B174">
        <v>3388</v>
      </c>
      <c r="C174" t="b">
        <v>1</v>
      </c>
      <c r="D174">
        <v>8060</v>
      </c>
      <c r="E174">
        <v>8140</v>
      </c>
      <c r="F174">
        <v>229.13333</v>
      </c>
      <c r="G174">
        <v>213</v>
      </c>
      <c r="H174">
        <v>1.0757433000000001</v>
      </c>
      <c r="I174">
        <v>-7.5743340000000006E-2</v>
      </c>
      <c r="J174">
        <v>0.48175514000000003</v>
      </c>
    </row>
    <row r="175" spans="1:10" x14ac:dyDescent="0.3">
      <c r="A175">
        <v>173</v>
      </c>
      <c r="B175">
        <v>3404</v>
      </c>
      <c r="C175" t="b">
        <v>1</v>
      </c>
      <c r="D175">
        <v>8111</v>
      </c>
      <c r="E175">
        <v>8123</v>
      </c>
      <c r="F175">
        <v>227.6</v>
      </c>
      <c r="G175">
        <v>214.93333000000001</v>
      </c>
      <c r="H175">
        <v>1.0589329999999999</v>
      </c>
      <c r="I175">
        <v>-5.8933026999999999E-2</v>
      </c>
      <c r="J175">
        <v>0.48568847999999998</v>
      </c>
    </row>
    <row r="176" spans="1:10" x14ac:dyDescent="0.3">
      <c r="A176">
        <v>174</v>
      </c>
      <c r="B176">
        <v>3419</v>
      </c>
      <c r="C176" t="b">
        <v>1</v>
      </c>
      <c r="D176">
        <v>8054</v>
      </c>
      <c r="E176">
        <v>8111</v>
      </c>
      <c r="F176">
        <v>225.66667000000001</v>
      </c>
      <c r="G176">
        <v>215.66667000000001</v>
      </c>
      <c r="H176">
        <v>1.0463678999999999</v>
      </c>
      <c r="I176">
        <v>-4.6367850000000002E-2</v>
      </c>
      <c r="J176">
        <v>0.48867070000000001</v>
      </c>
    </row>
    <row r="177" spans="1:10" x14ac:dyDescent="0.3">
      <c r="A177">
        <v>175</v>
      </c>
      <c r="B177">
        <v>3435</v>
      </c>
      <c r="C177" t="b">
        <v>1</v>
      </c>
      <c r="D177">
        <v>8023</v>
      </c>
      <c r="E177">
        <v>8123</v>
      </c>
      <c r="F177">
        <v>223.73334</v>
      </c>
      <c r="G177">
        <v>214.93333000000001</v>
      </c>
      <c r="H177">
        <v>1.0409428999999999</v>
      </c>
      <c r="I177">
        <v>-4.0942939999999997E-2</v>
      </c>
      <c r="J177">
        <v>0.48996958000000002</v>
      </c>
    </row>
    <row r="178" spans="1:10" x14ac:dyDescent="0.3">
      <c r="A178">
        <v>176</v>
      </c>
      <c r="B178">
        <v>3467</v>
      </c>
      <c r="C178" t="b">
        <v>1</v>
      </c>
      <c r="D178">
        <v>8060</v>
      </c>
      <c r="E178">
        <v>8117</v>
      </c>
      <c r="F178">
        <v>222.2</v>
      </c>
      <c r="G178">
        <v>214.53334000000001</v>
      </c>
      <c r="H178">
        <v>1.0357364</v>
      </c>
      <c r="I178">
        <v>-3.5736433999999997E-2</v>
      </c>
      <c r="J178">
        <v>0.49122273999999999</v>
      </c>
    </row>
    <row r="179" spans="1:10" x14ac:dyDescent="0.3">
      <c r="A179">
        <v>177</v>
      </c>
      <c r="B179">
        <v>3499</v>
      </c>
      <c r="C179" t="b">
        <v>1</v>
      </c>
      <c r="D179">
        <v>8060</v>
      </c>
      <c r="E179">
        <v>8093</v>
      </c>
      <c r="F179">
        <v>220.66667000000001</v>
      </c>
      <c r="G179">
        <v>213.73334</v>
      </c>
      <c r="H179">
        <v>1.0324392</v>
      </c>
      <c r="I179">
        <v>-3.2439179999999998E-2</v>
      </c>
      <c r="J179">
        <v>0.49201961999999999</v>
      </c>
    </row>
    <row r="180" spans="1:10" x14ac:dyDescent="0.3">
      <c r="A180">
        <v>178</v>
      </c>
      <c r="B180">
        <v>3514</v>
      </c>
      <c r="C180" t="b">
        <v>1</v>
      </c>
      <c r="D180">
        <v>8100</v>
      </c>
      <c r="E180">
        <v>8146</v>
      </c>
      <c r="F180">
        <v>219.93333000000001</v>
      </c>
      <c r="G180">
        <v>212.93333000000001</v>
      </c>
      <c r="H180">
        <v>1.0328740999999999</v>
      </c>
      <c r="I180">
        <v>-3.2874136999999998E-2</v>
      </c>
      <c r="J180">
        <v>0.49191435999999999</v>
      </c>
    </row>
    <row r="181" spans="1:10" x14ac:dyDescent="0.3">
      <c r="A181">
        <v>179</v>
      </c>
      <c r="B181">
        <v>3530</v>
      </c>
      <c r="C181" t="b">
        <v>1</v>
      </c>
      <c r="D181">
        <v>8060</v>
      </c>
      <c r="E181">
        <v>8093</v>
      </c>
      <c r="F181">
        <v>219.93333000000001</v>
      </c>
      <c r="G181">
        <v>212.13333</v>
      </c>
      <c r="H181">
        <v>1.0367694000000001</v>
      </c>
      <c r="I181">
        <v>-3.6769339999999998E-2</v>
      </c>
      <c r="J181">
        <v>0.49097362</v>
      </c>
    </row>
    <row r="182" spans="1:10" x14ac:dyDescent="0.3">
      <c r="A182">
        <v>180</v>
      </c>
      <c r="B182">
        <v>3546</v>
      </c>
      <c r="C182" t="b">
        <v>1</v>
      </c>
      <c r="D182">
        <v>8042</v>
      </c>
      <c r="E182">
        <v>8164</v>
      </c>
      <c r="F182">
        <v>219.93333000000001</v>
      </c>
      <c r="G182">
        <v>211.33332999999999</v>
      </c>
      <c r="H182">
        <v>1.040694</v>
      </c>
      <c r="I182">
        <v>-4.0694036000000003E-2</v>
      </c>
      <c r="J182">
        <v>0.49002936000000002</v>
      </c>
    </row>
    <row r="183" spans="1:10" x14ac:dyDescent="0.3">
      <c r="A183">
        <v>181</v>
      </c>
      <c r="B183">
        <v>3562</v>
      </c>
      <c r="C183" t="b">
        <v>1</v>
      </c>
      <c r="D183">
        <v>8060</v>
      </c>
      <c r="E183">
        <v>8146</v>
      </c>
      <c r="F183">
        <v>219.93333000000001</v>
      </c>
      <c r="G183">
        <v>212.46665999999999</v>
      </c>
      <c r="H183">
        <v>1.0351428</v>
      </c>
      <c r="I183">
        <v>-3.5142804999999999E-2</v>
      </c>
      <c r="J183">
        <v>0.49136600000000002</v>
      </c>
    </row>
    <row r="184" spans="1:10" x14ac:dyDescent="0.3">
      <c r="A184">
        <v>182</v>
      </c>
      <c r="B184">
        <v>3578</v>
      </c>
      <c r="C184" t="b">
        <v>1</v>
      </c>
      <c r="D184">
        <v>8065</v>
      </c>
      <c r="E184">
        <v>8123</v>
      </c>
      <c r="F184">
        <v>219.93333000000001</v>
      </c>
      <c r="G184">
        <v>214</v>
      </c>
      <c r="H184">
        <v>1.0277258</v>
      </c>
      <c r="I184">
        <v>-2.7725862E-2</v>
      </c>
      <c r="J184">
        <v>0.49316330000000003</v>
      </c>
    </row>
    <row r="185" spans="1:10" x14ac:dyDescent="0.3">
      <c r="A185">
        <v>183</v>
      </c>
      <c r="B185">
        <v>3594</v>
      </c>
      <c r="C185" t="b">
        <v>1</v>
      </c>
      <c r="D185">
        <v>8060</v>
      </c>
      <c r="E185">
        <v>8123</v>
      </c>
      <c r="F185">
        <v>219.93333000000001</v>
      </c>
      <c r="G185">
        <v>214</v>
      </c>
      <c r="H185">
        <v>1.0277258</v>
      </c>
      <c r="I185">
        <v>-2.7725862E-2</v>
      </c>
      <c r="J185">
        <v>0.49316330000000003</v>
      </c>
    </row>
    <row r="186" spans="1:10" x14ac:dyDescent="0.3">
      <c r="A186">
        <v>184</v>
      </c>
      <c r="B186">
        <v>3609</v>
      </c>
      <c r="C186" t="b">
        <v>1</v>
      </c>
      <c r="D186">
        <v>8094</v>
      </c>
      <c r="E186">
        <v>8129</v>
      </c>
      <c r="F186">
        <v>219.2</v>
      </c>
      <c r="G186">
        <v>214.4</v>
      </c>
      <c r="H186">
        <v>1.0223880999999999</v>
      </c>
      <c r="I186">
        <v>-2.2388075E-2</v>
      </c>
      <c r="J186">
        <v>0.49446496000000001</v>
      </c>
    </row>
    <row r="187" spans="1:10" x14ac:dyDescent="0.3">
      <c r="A187">
        <v>185</v>
      </c>
      <c r="B187">
        <v>3625</v>
      </c>
      <c r="C187" t="b">
        <v>1</v>
      </c>
      <c r="D187">
        <v>8083</v>
      </c>
      <c r="E187">
        <v>8164</v>
      </c>
      <c r="F187">
        <v>219.53334000000001</v>
      </c>
      <c r="G187">
        <v>214.8</v>
      </c>
      <c r="H187">
        <v>1.0220361</v>
      </c>
      <c r="I187">
        <v>-2.2036021999999999E-2</v>
      </c>
      <c r="J187">
        <v>0.49455103</v>
      </c>
    </row>
    <row r="188" spans="1:10" x14ac:dyDescent="0.3">
      <c r="A188">
        <v>186</v>
      </c>
      <c r="B188">
        <v>3641</v>
      </c>
      <c r="C188" t="b">
        <v>1</v>
      </c>
      <c r="D188">
        <v>8042</v>
      </c>
      <c r="E188">
        <v>8129</v>
      </c>
      <c r="F188">
        <v>219.86667</v>
      </c>
      <c r="G188">
        <v>214.06666999999999</v>
      </c>
      <c r="H188">
        <v>1.0270944</v>
      </c>
      <c r="I188">
        <v>-2.7094376999999999E-2</v>
      </c>
      <c r="J188">
        <v>0.49331691999999999</v>
      </c>
    </row>
    <row r="189" spans="1:10" x14ac:dyDescent="0.3">
      <c r="A189">
        <v>187</v>
      </c>
      <c r="B189">
        <v>3657</v>
      </c>
      <c r="C189" t="b">
        <v>1</v>
      </c>
      <c r="D189">
        <v>8060</v>
      </c>
      <c r="E189">
        <v>8129</v>
      </c>
      <c r="F189">
        <v>219.86667</v>
      </c>
      <c r="G189">
        <v>213.33332999999999</v>
      </c>
      <c r="H189">
        <v>1.0306249999999999</v>
      </c>
      <c r="I189">
        <v>-3.0625033999999999E-2</v>
      </c>
      <c r="J189">
        <v>0.49245918</v>
      </c>
    </row>
    <row r="190" spans="1:10" x14ac:dyDescent="0.3">
      <c r="A190">
        <v>188</v>
      </c>
      <c r="B190">
        <v>3673</v>
      </c>
      <c r="C190" t="b">
        <v>1</v>
      </c>
      <c r="D190">
        <v>8048</v>
      </c>
      <c r="E190">
        <v>8134</v>
      </c>
      <c r="F190">
        <v>219.86667</v>
      </c>
      <c r="G190">
        <v>212.6</v>
      </c>
      <c r="H190">
        <v>1.0341799</v>
      </c>
      <c r="I190">
        <v>-3.4179974000000002E-2</v>
      </c>
      <c r="J190">
        <v>0.49159858000000001</v>
      </c>
    </row>
    <row r="191" spans="1:10" x14ac:dyDescent="0.3">
      <c r="A191">
        <v>189</v>
      </c>
      <c r="B191">
        <v>3689</v>
      </c>
      <c r="C191" t="b">
        <v>1</v>
      </c>
      <c r="D191">
        <v>8100</v>
      </c>
      <c r="E191">
        <v>8146</v>
      </c>
      <c r="F191">
        <v>220.26666</v>
      </c>
      <c r="G191">
        <v>212.2</v>
      </c>
      <c r="H191">
        <v>1.0380144</v>
      </c>
      <c r="I191">
        <v>-3.8014449999999998E-2</v>
      </c>
      <c r="J191">
        <v>0.49067363000000003</v>
      </c>
    </row>
    <row r="192" spans="1:10" x14ac:dyDescent="0.3">
      <c r="A192">
        <v>190</v>
      </c>
      <c r="B192">
        <v>3720</v>
      </c>
      <c r="C192" t="b">
        <v>1</v>
      </c>
      <c r="D192">
        <v>8048</v>
      </c>
      <c r="E192">
        <v>8117</v>
      </c>
      <c r="F192">
        <v>219.86667</v>
      </c>
      <c r="G192">
        <v>212.6</v>
      </c>
      <c r="H192">
        <v>1.0341799</v>
      </c>
      <c r="I192">
        <v>-3.4179974000000002E-2</v>
      </c>
      <c r="J192">
        <v>0.49159858000000001</v>
      </c>
    </row>
    <row r="193" spans="1:10" x14ac:dyDescent="0.3">
      <c r="A193">
        <v>191</v>
      </c>
      <c r="B193">
        <v>3752</v>
      </c>
      <c r="C193" t="b">
        <v>1</v>
      </c>
      <c r="D193">
        <v>8083</v>
      </c>
      <c r="E193">
        <v>8117</v>
      </c>
      <c r="F193">
        <v>219.86667</v>
      </c>
      <c r="G193">
        <v>213</v>
      </c>
      <c r="H193">
        <v>1.0322378999999999</v>
      </c>
      <c r="I193">
        <v>-3.2237879999999997E-2</v>
      </c>
      <c r="J193">
        <v>0.49206838000000003</v>
      </c>
    </row>
    <row r="194" spans="1:10" x14ac:dyDescent="0.3">
      <c r="A194">
        <v>192</v>
      </c>
      <c r="B194">
        <v>3768</v>
      </c>
      <c r="C194" t="b">
        <v>1</v>
      </c>
      <c r="D194">
        <v>8060</v>
      </c>
      <c r="E194">
        <v>8099</v>
      </c>
      <c r="F194">
        <v>219.86667</v>
      </c>
      <c r="G194">
        <v>213</v>
      </c>
      <c r="H194">
        <v>1.0322378999999999</v>
      </c>
      <c r="I194">
        <v>-3.2237879999999997E-2</v>
      </c>
      <c r="J194">
        <v>0.49206838000000003</v>
      </c>
    </row>
    <row r="195" spans="1:10" x14ac:dyDescent="0.3">
      <c r="A195">
        <v>193</v>
      </c>
      <c r="B195">
        <v>3784</v>
      </c>
      <c r="C195" t="b">
        <v>1</v>
      </c>
      <c r="D195">
        <v>8042</v>
      </c>
      <c r="E195">
        <v>8123</v>
      </c>
      <c r="F195">
        <v>219.86667</v>
      </c>
      <c r="G195">
        <v>213</v>
      </c>
      <c r="H195">
        <v>1.0322378999999999</v>
      </c>
      <c r="I195">
        <v>-3.2237879999999997E-2</v>
      </c>
      <c r="J195">
        <v>0.49206838000000003</v>
      </c>
    </row>
    <row r="196" spans="1:10" x14ac:dyDescent="0.3">
      <c r="A196">
        <v>194</v>
      </c>
      <c r="B196">
        <v>3799</v>
      </c>
      <c r="C196" t="b">
        <v>1</v>
      </c>
      <c r="D196">
        <v>8030</v>
      </c>
      <c r="E196">
        <v>8123</v>
      </c>
      <c r="F196">
        <v>219.06666999999999</v>
      </c>
      <c r="G196">
        <v>213</v>
      </c>
      <c r="H196">
        <v>1.0284819999999999</v>
      </c>
      <c r="I196">
        <v>-2.8481998000000001E-2</v>
      </c>
      <c r="J196">
        <v>0.49297950000000001</v>
      </c>
    </row>
    <row r="197" spans="1:10" x14ac:dyDescent="0.3">
      <c r="A197">
        <v>195</v>
      </c>
      <c r="B197">
        <v>3831</v>
      </c>
      <c r="C197" t="b">
        <v>1</v>
      </c>
      <c r="D197">
        <v>8065</v>
      </c>
      <c r="E197">
        <v>8111</v>
      </c>
      <c r="F197">
        <v>219.06666999999999</v>
      </c>
      <c r="G197">
        <v>213</v>
      </c>
      <c r="H197">
        <v>1.0284819999999999</v>
      </c>
      <c r="I197">
        <v>-2.8481998000000001E-2</v>
      </c>
      <c r="J197">
        <v>0.49297950000000001</v>
      </c>
    </row>
    <row r="198" spans="1:10" x14ac:dyDescent="0.3">
      <c r="A198">
        <v>196</v>
      </c>
      <c r="B198">
        <v>3847</v>
      </c>
      <c r="C198" t="b">
        <v>1</v>
      </c>
      <c r="D198">
        <v>8094</v>
      </c>
      <c r="E198">
        <v>8087</v>
      </c>
      <c r="F198">
        <v>219.06666999999999</v>
      </c>
      <c r="G198">
        <v>210.66667000000001</v>
      </c>
      <c r="H198">
        <v>1.0398734000000001</v>
      </c>
      <c r="I198">
        <v>-3.9873388000000003E-2</v>
      </c>
      <c r="J198">
        <v>0.49022650000000001</v>
      </c>
    </row>
    <row r="199" spans="1:10" x14ac:dyDescent="0.3">
      <c r="A199">
        <v>197</v>
      </c>
      <c r="B199">
        <v>3863</v>
      </c>
      <c r="C199" t="b">
        <v>1</v>
      </c>
      <c r="D199">
        <v>8060</v>
      </c>
      <c r="E199">
        <v>8105</v>
      </c>
      <c r="F199">
        <v>219.06666999999999</v>
      </c>
      <c r="G199">
        <v>208.33332999999999</v>
      </c>
      <c r="H199">
        <v>1.05152</v>
      </c>
      <c r="I199">
        <v>-5.152002E-2</v>
      </c>
      <c r="J199">
        <v>0.48744345</v>
      </c>
    </row>
    <row r="200" spans="1:10" x14ac:dyDescent="0.3">
      <c r="A200">
        <v>198</v>
      </c>
      <c r="B200">
        <v>3879</v>
      </c>
      <c r="C200" t="b">
        <v>1</v>
      </c>
      <c r="D200">
        <v>8065</v>
      </c>
      <c r="E200">
        <v>8140</v>
      </c>
      <c r="F200">
        <v>219.4</v>
      </c>
      <c r="G200">
        <v>207.53334000000001</v>
      </c>
      <c r="H200">
        <v>1.0571794999999999</v>
      </c>
      <c r="I200">
        <v>-5.7179503E-2</v>
      </c>
      <c r="J200">
        <v>0.48610242999999997</v>
      </c>
    </row>
    <row r="201" spans="1:10" x14ac:dyDescent="0.3">
      <c r="A201">
        <v>199</v>
      </c>
      <c r="B201">
        <v>3895</v>
      </c>
      <c r="C201" t="b">
        <v>1</v>
      </c>
      <c r="D201">
        <v>8071</v>
      </c>
      <c r="E201">
        <v>8111</v>
      </c>
      <c r="F201">
        <v>219.73334</v>
      </c>
      <c r="G201">
        <v>206.33332999999999</v>
      </c>
      <c r="H201">
        <v>1.0649436000000001</v>
      </c>
      <c r="I201">
        <v>-6.4943500000000001E-2</v>
      </c>
      <c r="J201">
        <v>0.48427477000000002</v>
      </c>
    </row>
    <row r="202" spans="1:10" x14ac:dyDescent="0.3">
      <c r="A202">
        <v>200</v>
      </c>
      <c r="B202">
        <v>3911</v>
      </c>
      <c r="C202" t="b">
        <v>1</v>
      </c>
      <c r="D202">
        <v>8000</v>
      </c>
      <c r="E202">
        <v>8140</v>
      </c>
      <c r="F202">
        <v>219.73334</v>
      </c>
      <c r="G202">
        <v>205.13333</v>
      </c>
      <c r="H202">
        <v>1.0711733000000001</v>
      </c>
      <c r="I202">
        <v>-7.1173249999999993E-2</v>
      </c>
      <c r="J202">
        <v>0.48281813000000001</v>
      </c>
    </row>
    <row r="203" spans="1:10" x14ac:dyDescent="0.3">
      <c r="A203">
        <v>201</v>
      </c>
      <c r="B203">
        <v>3926</v>
      </c>
      <c r="C203" t="b">
        <v>1</v>
      </c>
      <c r="D203">
        <v>8077</v>
      </c>
      <c r="E203">
        <v>8111</v>
      </c>
      <c r="F203">
        <v>219.73334</v>
      </c>
      <c r="G203">
        <v>203.93333000000001</v>
      </c>
      <c r="H203">
        <v>1.0774763000000001</v>
      </c>
      <c r="I203">
        <v>-7.7476315000000004E-2</v>
      </c>
      <c r="J203">
        <v>0.48135325000000001</v>
      </c>
    </row>
    <row r="204" spans="1:10" x14ac:dyDescent="0.3">
      <c r="A204">
        <v>202</v>
      </c>
      <c r="B204">
        <v>3942</v>
      </c>
      <c r="C204" t="b">
        <v>1</v>
      </c>
      <c r="D204">
        <v>8100</v>
      </c>
      <c r="E204">
        <v>8140</v>
      </c>
      <c r="F204">
        <v>220.46665999999999</v>
      </c>
      <c r="G204">
        <v>204.66667000000001</v>
      </c>
      <c r="H204">
        <v>1.0771986</v>
      </c>
      <c r="I204">
        <v>-7.7198630000000004E-2</v>
      </c>
      <c r="J204">
        <v>0.4814176</v>
      </c>
    </row>
    <row r="205" spans="1:10" x14ac:dyDescent="0.3">
      <c r="A205">
        <v>203</v>
      </c>
      <c r="B205">
        <v>3974</v>
      </c>
      <c r="C205" t="b">
        <v>1</v>
      </c>
      <c r="D205">
        <v>8054</v>
      </c>
      <c r="E205">
        <v>8105</v>
      </c>
      <c r="F205">
        <v>221.2</v>
      </c>
      <c r="G205">
        <v>203.46665999999999</v>
      </c>
      <c r="H205">
        <v>1.0871559</v>
      </c>
      <c r="I205">
        <v>-8.7155979999999994E-2</v>
      </c>
      <c r="J205">
        <v>0.47912088000000003</v>
      </c>
    </row>
    <row r="206" spans="1:10" x14ac:dyDescent="0.3">
      <c r="A206">
        <v>204</v>
      </c>
      <c r="B206">
        <v>4005</v>
      </c>
      <c r="C206" t="b">
        <v>1</v>
      </c>
      <c r="D206">
        <v>8071</v>
      </c>
      <c r="E206">
        <v>8188</v>
      </c>
      <c r="F206">
        <v>221.93333000000001</v>
      </c>
      <c r="G206">
        <v>203.86667</v>
      </c>
      <c r="H206">
        <v>1.0886201</v>
      </c>
      <c r="I206">
        <v>-8.8620009999999999E-2</v>
      </c>
      <c r="J206">
        <v>0.47878504</v>
      </c>
    </row>
    <row r="207" spans="1:10" x14ac:dyDescent="0.3">
      <c r="A207">
        <v>205</v>
      </c>
      <c r="B207">
        <v>4021</v>
      </c>
      <c r="C207" t="b">
        <v>1</v>
      </c>
      <c r="D207">
        <v>8060</v>
      </c>
      <c r="E207">
        <v>8170</v>
      </c>
      <c r="F207">
        <v>223.46665999999999</v>
      </c>
      <c r="G207">
        <v>204.6</v>
      </c>
      <c r="H207">
        <v>1.0922124</v>
      </c>
      <c r="I207">
        <v>-9.2212379999999997E-2</v>
      </c>
      <c r="J207">
        <v>0.47796296999999999</v>
      </c>
    </row>
    <row r="208" spans="1:10" x14ac:dyDescent="0.3">
      <c r="A208">
        <v>206</v>
      </c>
      <c r="B208">
        <v>4037</v>
      </c>
      <c r="C208" t="b">
        <v>1</v>
      </c>
      <c r="D208">
        <v>8111</v>
      </c>
      <c r="E208">
        <v>8123</v>
      </c>
      <c r="F208">
        <v>224.2</v>
      </c>
      <c r="G208">
        <v>205.33332999999999</v>
      </c>
      <c r="H208">
        <v>1.0918832000000001</v>
      </c>
      <c r="I208">
        <v>-9.1883129999999993E-2</v>
      </c>
      <c r="J208">
        <v>0.47803820000000002</v>
      </c>
    </row>
    <row r="209" spans="1:10" x14ac:dyDescent="0.3">
      <c r="A209">
        <v>207</v>
      </c>
      <c r="B209">
        <v>4053</v>
      </c>
      <c r="C209" t="b">
        <v>1</v>
      </c>
      <c r="D209">
        <v>8094</v>
      </c>
      <c r="E209">
        <v>8099</v>
      </c>
      <c r="F209">
        <v>224.93333000000001</v>
      </c>
      <c r="G209">
        <v>205.73334</v>
      </c>
      <c r="H209">
        <v>1.0933246999999999</v>
      </c>
      <c r="I209">
        <v>-9.3324675999999995E-2</v>
      </c>
      <c r="J209">
        <v>0.47770897000000001</v>
      </c>
    </row>
    <row r="210" spans="1:10" x14ac:dyDescent="0.3">
      <c r="A210">
        <v>208</v>
      </c>
      <c r="B210">
        <v>4069</v>
      </c>
      <c r="C210" t="b">
        <v>1</v>
      </c>
      <c r="D210">
        <v>8106</v>
      </c>
      <c r="E210">
        <v>8129</v>
      </c>
      <c r="F210">
        <v>227.2</v>
      </c>
      <c r="G210">
        <v>206.53334000000001</v>
      </c>
      <c r="H210">
        <v>1.1000645</v>
      </c>
      <c r="I210">
        <v>-0.10006451</v>
      </c>
      <c r="J210">
        <v>0.47617584000000002</v>
      </c>
    </row>
    <row r="211" spans="1:10" x14ac:dyDescent="0.3">
      <c r="A211">
        <v>209</v>
      </c>
      <c r="B211">
        <v>4085</v>
      </c>
      <c r="C211" t="b">
        <v>1</v>
      </c>
      <c r="D211">
        <v>8071</v>
      </c>
      <c r="E211">
        <v>8111</v>
      </c>
      <c r="F211">
        <v>230.26666</v>
      </c>
      <c r="G211">
        <v>206.93333000000001</v>
      </c>
      <c r="H211">
        <v>1.1127577</v>
      </c>
      <c r="I211">
        <v>-0.112757705</v>
      </c>
      <c r="J211">
        <v>0.47331503000000003</v>
      </c>
    </row>
    <row r="212" spans="1:10" x14ac:dyDescent="0.3">
      <c r="A212">
        <v>210</v>
      </c>
      <c r="B212">
        <v>4101</v>
      </c>
      <c r="C212" t="b">
        <v>1</v>
      </c>
      <c r="D212">
        <v>8048</v>
      </c>
      <c r="E212">
        <v>8140</v>
      </c>
      <c r="F212">
        <v>232.53334000000001</v>
      </c>
      <c r="G212">
        <v>207.33332999999999</v>
      </c>
      <c r="H212">
        <v>1.1215435</v>
      </c>
      <c r="I212">
        <v>-0.12154347</v>
      </c>
      <c r="J212">
        <v>0.47135493000000001</v>
      </c>
    </row>
    <row r="213" spans="1:10" x14ac:dyDescent="0.3">
      <c r="A213">
        <v>211</v>
      </c>
      <c r="B213">
        <v>4133</v>
      </c>
      <c r="C213" t="b">
        <v>1</v>
      </c>
      <c r="D213">
        <v>8083</v>
      </c>
      <c r="E213">
        <v>8134</v>
      </c>
      <c r="F213">
        <v>234.06666999999999</v>
      </c>
      <c r="G213">
        <v>208.53334000000001</v>
      </c>
      <c r="H213">
        <v>1.1224424</v>
      </c>
      <c r="I213">
        <v>-0.12244241</v>
      </c>
      <c r="J213">
        <v>0.47115531999999999</v>
      </c>
    </row>
    <row r="214" spans="1:10" x14ac:dyDescent="0.3">
      <c r="A214">
        <v>212</v>
      </c>
      <c r="B214">
        <v>4149</v>
      </c>
      <c r="C214" t="b">
        <v>1</v>
      </c>
      <c r="D214">
        <v>8083</v>
      </c>
      <c r="E214">
        <v>8129</v>
      </c>
      <c r="F214">
        <v>235.6</v>
      </c>
      <c r="G214">
        <v>209.73334</v>
      </c>
      <c r="H214">
        <v>1.1233312</v>
      </c>
      <c r="I214">
        <v>-0.12333122000000001</v>
      </c>
      <c r="J214">
        <v>0.47095808</v>
      </c>
    </row>
    <row r="215" spans="1:10" x14ac:dyDescent="0.3">
      <c r="A215">
        <v>213</v>
      </c>
      <c r="B215">
        <v>4181</v>
      </c>
      <c r="C215" t="b">
        <v>1</v>
      </c>
      <c r="D215">
        <v>8071</v>
      </c>
      <c r="E215">
        <v>8134</v>
      </c>
      <c r="F215">
        <v>236</v>
      </c>
      <c r="G215">
        <v>211.26666</v>
      </c>
      <c r="H215">
        <v>1.1170716000000001</v>
      </c>
      <c r="I215">
        <v>-0.11707165</v>
      </c>
      <c r="J215">
        <v>0.47235057000000003</v>
      </c>
    </row>
    <row r="216" spans="1:10" x14ac:dyDescent="0.3">
      <c r="A216">
        <v>214</v>
      </c>
      <c r="B216">
        <v>4197</v>
      </c>
      <c r="C216" t="b">
        <v>1</v>
      </c>
      <c r="D216">
        <v>8071</v>
      </c>
      <c r="E216">
        <v>8123</v>
      </c>
      <c r="F216">
        <v>236.4</v>
      </c>
      <c r="G216">
        <v>212.8</v>
      </c>
      <c r="H216">
        <v>1.1109022</v>
      </c>
      <c r="I216">
        <v>-0.11090221</v>
      </c>
      <c r="J216">
        <v>0.47373106999999998</v>
      </c>
    </row>
    <row r="217" spans="1:10" x14ac:dyDescent="0.3">
      <c r="A217">
        <v>215</v>
      </c>
      <c r="B217">
        <v>4213</v>
      </c>
      <c r="C217" t="b">
        <v>1</v>
      </c>
      <c r="D217">
        <v>8071</v>
      </c>
      <c r="E217">
        <v>8129</v>
      </c>
      <c r="F217">
        <v>236.8</v>
      </c>
      <c r="G217">
        <v>214</v>
      </c>
      <c r="H217">
        <v>1.1065421</v>
      </c>
      <c r="I217">
        <v>-0.10654207</v>
      </c>
      <c r="J217">
        <v>0.47471163</v>
      </c>
    </row>
    <row r="218" spans="1:10" x14ac:dyDescent="0.3">
      <c r="A218">
        <v>216</v>
      </c>
      <c r="B218">
        <v>4228</v>
      </c>
      <c r="C218" t="b">
        <v>1</v>
      </c>
      <c r="D218">
        <v>8054</v>
      </c>
      <c r="E218">
        <v>8117</v>
      </c>
      <c r="F218">
        <v>237.2</v>
      </c>
      <c r="G218">
        <v>215.2</v>
      </c>
      <c r="H218">
        <v>1.1022304000000001</v>
      </c>
      <c r="I218">
        <v>-0.10223048</v>
      </c>
      <c r="J218">
        <v>0.47568524000000001</v>
      </c>
    </row>
    <row r="219" spans="1:10" x14ac:dyDescent="0.3">
      <c r="A219">
        <v>217</v>
      </c>
      <c r="B219">
        <v>4244</v>
      </c>
      <c r="C219" t="b">
        <v>1</v>
      </c>
      <c r="D219">
        <v>8011</v>
      </c>
      <c r="E219">
        <v>8146</v>
      </c>
      <c r="F219">
        <v>237.2</v>
      </c>
      <c r="G219">
        <v>214.46665999999999</v>
      </c>
      <c r="H219">
        <v>1.1059994</v>
      </c>
      <c r="I219">
        <v>-0.10599939999999999</v>
      </c>
      <c r="J219">
        <v>0.47483394000000001</v>
      </c>
    </row>
    <row r="220" spans="1:10" x14ac:dyDescent="0.3">
      <c r="A220">
        <v>218</v>
      </c>
      <c r="B220">
        <v>4260</v>
      </c>
      <c r="C220" t="b">
        <v>1</v>
      </c>
      <c r="D220">
        <v>8042</v>
      </c>
      <c r="E220">
        <v>8134</v>
      </c>
      <c r="F220">
        <v>236.06666999999999</v>
      </c>
      <c r="G220">
        <v>215.66667000000001</v>
      </c>
      <c r="H220">
        <v>1.0945904</v>
      </c>
      <c r="I220">
        <v>-9.4590389999999996E-2</v>
      </c>
      <c r="J220">
        <v>0.47742030000000002</v>
      </c>
    </row>
    <row r="221" spans="1:10" x14ac:dyDescent="0.3">
      <c r="A221">
        <v>219</v>
      </c>
      <c r="B221">
        <v>4276</v>
      </c>
      <c r="C221" t="b">
        <v>1</v>
      </c>
      <c r="D221">
        <v>8065</v>
      </c>
      <c r="E221">
        <v>8158</v>
      </c>
      <c r="F221">
        <v>234.93333000000001</v>
      </c>
      <c r="G221">
        <v>215.26666</v>
      </c>
      <c r="H221">
        <v>1.0913596000000001</v>
      </c>
      <c r="I221">
        <v>-9.1359579999999996E-2</v>
      </c>
      <c r="J221">
        <v>0.47815785</v>
      </c>
    </row>
    <row r="222" spans="1:10" x14ac:dyDescent="0.3">
      <c r="A222">
        <v>220</v>
      </c>
      <c r="B222">
        <v>4298</v>
      </c>
      <c r="C222" t="b">
        <v>1</v>
      </c>
      <c r="D222">
        <v>8094</v>
      </c>
      <c r="E222">
        <v>8111</v>
      </c>
      <c r="F222">
        <v>233.8</v>
      </c>
      <c r="G222">
        <v>214.86667</v>
      </c>
      <c r="H222">
        <v>1.0881166</v>
      </c>
      <c r="I222">
        <v>-8.8116669999999994E-2</v>
      </c>
      <c r="J222">
        <v>0.47890042999999999</v>
      </c>
    </row>
    <row r="223" spans="1:10" x14ac:dyDescent="0.3">
      <c r="A223">
        <v>221</v>
      </c>
      <c r="B223">
        <v>4314</v>
      </c>
      <c r="C223" t="b">
        <v>1</v>
      </c>
      <c r="D223">
        <v>8123</v>
      </c>
      <c r="E223">
        <v>8134</v>
      </c>
      <c r="F223">
        <v>233.4</v>
      </c>
      <c r="G223">
        <v>214.46665999999999</v>
      </c>
      <c r="H223">
        <v>1.0882810000000001</v>
      </c>
      <c r="I223">
        <v>-8.8281009999999993E-2</v>
      </c>
      <c r="J223">
        <v>0.47886276</v>
      </c>
    </row>
    <row r="224" spans="1:10" x14ac:dyDescent="0.3">
      <c r="A224">
        <v>222</v>
      </c>
      <c r="B224">
        <v>4329</v>
      </c>
      <c r="C224" t="b">
        <v>1</v>
      </c>
      <c r="D224">
        <v>8088</v>
      </c>
      <c r="E224">
        <v>8123</v>
      </c>
      <c r="F224">
        <v>234.53334000000001</v>
      </c>
      <c r="G224">
        <v>215.2</v>
      </c>
      <c r="H224">
        <v>1.089839</v>
      </c>
      <c r="I224">
        <v>-8.9838959999999995E-2</v>
      </c>
      <c r="J224">
        <v>0.47850576</v>
      </c>
    </row>
    <row r="225" spans="1:10" x14ac:dyDescent="0.3">
      <c r="A225">
        <v>223</v>
      </c>
      <c r="B225">
        <v>4345</v>
      </c>
      <c r="C225" t="b">
        <v>1</v>
      </c>
      <c r="D225">
        <v>8100</v>
      </c>
      <c r="E225">
        <v>8134</v>
      </c>
      <c r="F225">
        <v>234.53334000000001</v>
      </c>
      <c r="G225">
        <v>215.53334000000001</v>
      </c>
      <c r="H225">
        <v>1.0881533999999999</v>
      </c>
      <c r="I225">
        <v>-8.8153413999999999E-2</v>
      </c>
      <c r="J225">
        <v>0.47889203000000002</v>
      </c>
    </row>
    <row r="226" spans="1:10" x14ac:dyDescent="0.3">
      <c r="A226">
        <v>224</v>
      </c>
      <c r="B226">
        <v>4361</v>
      </c>
      <c r="C226" t="b">
        <v>1</v>
      </c>
      <c r="D226">
        <v>8088</v>
      </c>
      <c r="E226">
        <v>8111</v>
      </c>
      <c r="F226">
        <v>234.53334000000001</v>
      </c>
      <c r="G226">
        <v>215.53334000000001</v>
      </c>
      <c r="H226">
        <v>1.0881533999999999</v>
      </c>
      <c r="I226">
        <v>-8.8153413999999999E-2</v>
      </c>
      <c r="J226">
        <v>0.47889203000000002</v>
      </c>
    </row>
    <row r="227" spans="1:10" x14ac:dyDescent="0.3">
      <c r="A227">
        <v>225</v>
      </c>
      <c r="B227">
        <v>4393</v>
      </c>
      <c r="C227" t="b">
        <v>1</v>
      </c>
      <c r="D227">
        <v>8048</v>
      </c>
      <c r="E227">
        <v>8111</v>
      </c>
      <c r="F227">
        <v>234.13333</v>
      </c>
      <c r="G227">
        <v>215.53334000000001</v>
      </c>
      <c r="H227">
        <v>1.0862974999999999</v>
      </c>
      <c r="I227">
        <v>-8.6297509999999994E-2</v>
      </c>
      <c r="J227">
        <v>0.47931800000000002</v>
      </c>
    </row>
    <row r="228" spans="1:10" x14ac:dyDescent="0.3">
      <c r="A228">
        <v>226</v>
      </c>
      <c r="B228">
        <v>4424</v>
      </c>
      <c r="C228" t="b">
        <v>1</v>
      </c>
      <c r="D228">
        <v>8077</v>
      </c>
      <c r="E228">
        <v>8152</v>
      </c>
      <c r="F228">
        <v>234.46665999999999</v>
      </c>
      <c r="G228">
        <v>215.13333</v>
      </c>
      <c r="H228">
        <v>1.0898668</v>
      </c>
      <c r="I228">
        <v>-8.9866730000000006E-2</v>
      </c>
      <c r="J228">
        <v>0.47849944</v>
      </c>
    </row>
    <row r="229" spans="1:10" x14ac:dyDescent="0.3">
      <c r="A229">
        <v>227</v>
      </c>
      <c r="B229">
        <v>4440</v>
      </c>
      <c r="C229" t="b">
        <v>1</v>
      </c>
      <c r="D229">
        <v>8088</v>
      </c>
      <c r="E229">
        <v>8129</v>
      </c>
      <c r="F229">
        <v>234.8</v>
      </c>
      <c r="G229">
        <v>215.13333</v>
      </c>
      <c r="H229">
        <v>1.0914162000000001</v>
      </c>
      <c r="I229">
        <v>-9.1416200000000003E-2</v>
      </c>
      <c r="J229">
        <v>0.47814487999999999</v>
      </c>
    </row>
    <row r="230" spans="1:10" x14ac:dyDescent="0.3">
      <c r="A230">
        <v>228</v>
      </c>
      <c r="B230">
        <v>4456</v>
      </c>
      <c r="C230" t="b">
        <v>1</v>
      </c>
      <c r="D230">
        <v>8083</v>
      </c>
      <c r="E230">
        <v>8129</v>
      </c>
      <c r="F230">
        <v>235.6</v>
      </c>
      <c r="G230">
        <v>214.8</v>
      </c>
      <c r="H230">
        <v>1.0968343</v>
      </c>
      <c r="I230">
        <v>-9.6834279999999995E-2</v>
      </c>
      <c r="J230">
        <v>0.47690939999999998</v>
      </c>
    </row>
    <row r="231" spans="1:10" x14ac:dyDescent="0.3">
      <c r="A231">
        <v>229</v>
      </c>
      <c r="B231">
        <v>4472</v>
      </c>
      <c r="C231" t="b">
        <v>1</v>
      </c>
      <c r="D231">
        <v>8065</v>
      </c>
      <c r="E231">
        <v>8129</v>
      </c>
      <c r="F231">
        <v>236</v>
      </c>
      <c r="G231">
        <v>214.46665999999999</v>
      </c>
      <c r="H231">
        <v>1.1004041</v>
      </c>
      <c r="I231">
        <v>-0.10040414</v>
      </c>
      <c r="J231">
        <v>0.47609884000000002</v>
      </c>
    </row>
    <row r="232" spans="1:10" x14ac:dyDescent="0.3">
      <c r="A232">
        <v>230</v>
      </c>
      <c r="B232">
        <v>4488</v>
      </c>
      <c r="C232" t="b">
        <v>1</v>
      </c>
      <c r="D232">
        <v>8065</v>
      </c>
      <c r="E232">
        <v>8129</v>
      </c>
      <c r="F232">
        <v>236.4</v>
      </c>
      <c r="G232">
        <v>214.46665999999999</v>
      </c>
      <c r="H232">
        <v>1.1022692000000001</v>
      </c>
      <c r="I232">
        <v>-0.1022692</v>
      </c>
      <c r="J232">
        <v>0.47567648000000001</v>
      </c>
    </row>
    <row r="233" spans="1:10" x14ac:dyDescent="0.3">
      <c r="A233">
        <v>231</v>
      </c>
      <c r="B233">
        <v>4504</v>
      </c>
      <c r="C233" t="b">
        <v>1</v>
      </c>
      <c r="D233">
        <v>8060</v>
      </c>
      <c r="E233">
        <v>8123</v>
      </c>
      <c r="F233">
        <v>236</v>
      </c>
      <c r="G233">
        <v>214.46665999999999</v>
      </c>
      <c r="H233">
        <v>1.1004041</v>
      </c>
      <c r="I233">
        <v>-0.10040414</v>
      </c>
      <c r="J233">
        <v>0.47609884000000002</v>
      </c>
    </row>
    <row r="234" spans="1:10" x14ac:dyDescent="0.3">
      <c r="A234">
        <v>232</v>
      </c>
      <c r="B234">
        <v>4519</v>
      </c>
      <c r="C234" t="b">
        <v>1</v>
      </c>
      <c r="D234">
        <v>8083</v>
      </c>
      <c r="E234">
        <v>8117</v>
      </c>
      <c r="F234">
        <v>235.6</v>
      </c>
      <c r="G234">
        <v>214.46665999999999</v>
      </c>
      <c r="H234">
        <v>1.0985391</v>
      </c>
      <c r="I234">
        <v>-9.8539080000000001E-2</v>
      </c>
      <c r="J234">
        <v>0.476522</v>
      </c>
    </row>
    <row r="235" spans="1:10" x14ac:dyDescent="0.3">
      <c r="A235">
        <v>233</v>
      </c>
      <c r="B235">
        <v>4536</v>
      </c>
      <c r="C235" t="b">
        <v>1</v>
      </c>
      <c r="D235">
        <v>8065</v>
      </c>
      <c r="E235">
        <v>8099</v>
      </c>
      <c r="F235">
        <v>236.33332999999999</v>
      </c>
      <c r="G235">
        <v>214.06666999999999</v>
      </c>
      <c r="H235">
        <v>1.1040174</v>
      </c>
      <c r="I235">
        <v>-0.10401742</v>
      </c>
      <c r="J235">
        <v>0.47528123999999999</v>
      </c>
    </row>
    <row r="236" spans="1:10" x14ac:dyDescent="0.3">
      <c r="A236">
        <v>234</v>
      </c>
      <c r="B236">
        <v>4552</v>
      </c>
      <c r="C236" t="b">
        <v>1</v>
      </c>
      <c r="D236">
        <v>8054</v>
      </c>
      <c r="E236">
        <v>8140</v>
      </c>
      <c r="F236">
        <v>237.06666999999999</v>
      </c>
      <c r="G236">
        <v>213.33332999999999</v>
      </c>
      <c r="H236">
        <v>1.1112500000000001</v>
      </c>
      <c r="I236">
        <v>-0.11125002000000001</v>
      </c>
      <c r="J236">
        <v>0.47365305000000002</v>
      </c>
    </row>
    <row r="237" spans="1:10" x14ac:dyDescent="0.3">
      <c r="A237">
        <v>235</v>
      </c>
      <c r="B237">
        <v>4583</v>
      </c>
      <c r="C237" t="b">
        <v>1</v>
      </c>
      <c r="D237">
        <v>8060</v>
      </c>
      <c r="E237">
        <v>8129</v>
      </c>
      <c r="F237">
        <v>237.46665999999999</v>
      </c>
      <c r="G237">
        <v>212.6</v>
      </c>
      <c r="H237">
        <v>1.1169644999999999</v>
      </c>
      <c r="I237">
        <v>-0.1169645</v>
      </c>
      <c r="J237">
        <v>0.47237449999999997</v>
      </c>
    </row>
    <row r="238" spans="1:10" x14ac:dyDescent="0.3">
      <c r="A238">
        <v>236</v>
      </c>
      <c r="B238">
        <v>4615</v>
      </c>
      <c r="C238" t="b">
        <v>1</v>
      </c>
      <c r="D238">
        <v>8054</v>
      </c>
      <c r="E238">
        <v>8152</v>
      </c>
      <c r="F238">
        <v>237.13333</v>
      </c>
      <c r="G238">
        <v>212.26666</v>
      </c>
      <c r="H238">
        <v>1.1171483</v>
      </c>
      <c r="I238">
        <v>-0.11714825</v>
      </c>
      <c r="J238">
        <v>0.47233350000000002</v>
      </c>
    </row>
    <row r="239" spans="1:10" x14ac:dyDescent="0.3">
      <c r="A239">
        <v>237</v>
      </c>
      <c r="B239">
        <v>4630</v>
      </c>
      <c r="C239" t="b">
        <v>1</v>
      </c>
      <c r="D239">
        <v>8037</v>
      </c>
      <c r="E239">
        <v>8152</v>
      </c>
      <c r="F239">
        <v>234.86667</v>
      </c>
      <c r="G239">
        <v>212.66667000000001</v>
      </c>
      <c r="H239">
        <v>1.1043886999999999</v>
      </c>
      <c r="I239">
        <v>-0.1043887</v>
      </c>
      <c r="J239">
        <v>0.47519739999999999</v>
      </c>
    </row>
    <row r="240" spans="1:10" x14ac:dyDescent="0.3">
      <c r="A240">
        <v>238</v>
      </c>
      <c r="B240">
        <v>4646</v>
      </c>
      <c r="C240" t="b">
        <v>1</v>
      </c>
      <c r="D240">
        <v>8054</v>
      </c>
      <c r="E240">
        <v>8111</v>
      </c>
      <c r="F240">
        <v>232.2</v>
      </c>
      <c r="G240">
        <v>213.06666999999999</v>
      </c>
      <c r="H240">
        <v>1.0897998</v>
      </c>
      <c r="I240">
        <v>-8.9799740000000003E-2</v>
      </c>
      <c r="J240">
        <v>0.47851475999999998</v>
      </c>
    </row>
    <row r="241" spans="1:10" x14ac:dyDescent="0.3">
      <c r="A241">
        <v>239</v>
      </c>
      <c r="B241">
        <v>4662</v>
      </c>
      <c r="C241" t="b">
        <v>1</v>
      </c>
      <c r="D241">
        <v>8060</v>
      </c>
      <c r="E241">
        <v>8123</v>
      </c>
      <c r="F241">
        <v>229.53334000000001</v>
      </c>
      <c r="G241">
        <v>213.46665999999999</v>
      </c>
      <c r="H241">
        <v>1.0752655</v>
      </c>
      <c r="I241">
        <v>-7.5265529999999997E-2</v>
      </c>
      <c r="J241">
        <v>0.48186605999999998</v>
      </c>
    </row>
    <row r="242" spans="1:10" x14ac:dyDescent="0.3">
      <c r="A242">
        <v>240</v>
      </c>
      <c r="B242">
        <v>4678</v>
      </c>
      <c r="C242" t="b">
        <v>1</v>
      </c>
      <c r="D242">
        <v>8094</v>
      </c>
      <c r="E242">
        <v>8146</v>
      </c>
      <c r="F242">
        <v>227.26666</v>
      </c>
      <c r="G242">
        <v>215</v>
      </c>
      <c r="H242">
        <v>1.0570542999999999</v>
      </c>
      <c r="I242">
        <v>-5.7054243999999997E-2</v>
      </c>
      <c r="J242">
        <v>0.48613205999999998</v>
      </c>
    </row>
    <row r="243" spans="1:10" x14ac:dyDescent="0.3">
      <c r="A243">
        <v>241</v>
      </c>
      <c r="B243">
        <v>4694</v>
      </c>
      <c r="C243" t="b">
        <v>1</v>
      </c>
      <c r="D243">
        <v>8071</v>
      </c>
      <c r="E243">
        <v>8129</v>
      </c>
      <c r="F243">
        <v>225.4</v>
      </c>
      <c r="G243">
        <v>215.4</v>
      </c>
      <c r="H243">
        <v>1.0464252000000001</v>
      </c>
      <c r="I243">
        <v>-4.6425256999999998E-2</v>
      </c>
      <c r="J243">
        <v>0.48865700000000001</v>
      </c>
    </row>
    <row r="244" spans="1:10" x14ac:dyDescent="0.3">
      <c r="A244">
        <v>242</v>
      </c>
      <c r="B244">
        <v>4710</v>
      </c>
      <c r="C244" t="b">
        <v>1</v>
      </c>
      <c r="D244">
        <v>8060</v>
      </c>
      <c r="E244">
        <v>8117</v>
      </c>
      <c r="F244">
        <v>223.53334000000001</v>
      </c>
      <c r="G244">
        <v>215</v>
      </c>
      <c r="H244">
        <v>1.0396898999999999</v>
      </c>
      <c r="I244">
        <v>-3.9689954E-2</v>
      </c>
      <c r="J244">
        <v>0.4902706</v>
      </c>
    </row>
    <row r="245" spans="1:10" x14ac:dyDescent="0.3">
      <c r="A245">
        <v>243</v>
      </c>
      <c r="B245">
        <v>4725</v>
      </c>
      <c r="C245" t="b">
        <v>1</v>
      </c>
      <c r="D245">
        <v>8100</v>
      </c>
      <c r="E245">
        <v>8117</v>
      </c>
      <c r="F245">
        <v>222.73334</v>
      </c>
      <c r="G245">
        <v>214.6</v>
      </c>
      <c r="H245">
        <v>1.0379</v>
      </c>
      <c r="I245">
        <v>-3.7899960000000003E-2</v>
      </c>
      <c r="J245">
        <v>0.49070122999999999</v>
      </c>
    </row>
    <row r="246" spans="1:10" x14ac:dyDescent="0.3">
      <c r="A246">
        <v>244</v>
      </c>
      <c r="B246">
        <v>4741</v>
      </c>
      <c r="C246" t="b">
        <v>1</v>
      </c>
      <c r="D246">
        <v>8077</v>
      </c>
      <c r="E246">
        <v>8123</v>
      </c>
      <c r="F246">
        <v>222.73334</v>
      </c>
      <c r="G246">
        <v>214.2</v>
      </c>
      <c r="H246">
        <v>1.0398381999999999</v>
      </c>
      <c r="I246">
        <v>-3.9838190000000002E-2</v>
      </c>
      <c r="J246">
        <v>0.49023494000000001</v>
      </c>
    </row>
    <row r="247" spans="1:10" x14ac:dyDescent="0.3">
      <c r="A247">
        <v>245</v>
      </c>
      <c r="B247">
        <v>4757</v>
      </c>
      <c r="C247" t="b">
        <v>1</v>
      </c>
      <c r="D247">
        <v>8054</v>
      </c>
      <c r="E247">
        <v>8123</v>
      </c>
      <c r="F247">
        <v>222.33332999999999</v>
      </c>
      <c r="G247">
        <v>213.8</v>
      </c>
      <c r="H247">
        <v>1.0399126999999999</v>
      </c>
      <c r="I247">
        <v>-3.9912652E-2</v>
      </c>
      <c r="J247">
        <v>0.49021705999999998</v>
      </c>
    </row>
    <row r="248" spans="1:10" x14ac:dyDescent="0.3">
      <c r="A248">
        <v>246</v>
      </c>
      <c r="B248">
        <v>4773</v>
      </c>
      <c r="C248" t="b">
        <v>1</v>
      </c>
      <c r="D248">
        <v>8060</v>
      </c>
      <c r="E248">
        <v>8093</v>
      </c>
      <c r="F248">
        <v>222</v>
      </c>
      <c r="G248">
        <v>213</v>
      </c>
      <c r="H248">
        <v>1.0422534999999999</v>
      </c>
      <c r="I248">
        <v>-4.2253520000000003E-2</v>
      </c>
      <c r="J248">
        <v>0.48965516999999997</v>
      </c>
    </row>
    <row r="249" spans="1:10" x14ac:dyDescent="0.3">
      <c r="A249">
        <v>247</v>
      </c>
      <c r="B249">
        <v>4789</v>
      </c>
      <c r="C249" t="b">
        <v>1</v>
      </c>
      <c r="D249">
        <v>8042</v>
      </c>
      <c r="E249">
        <v>8117</v>
      </c>
      <c r="F249">
        <v>221.66667000000001</v>
      </c>
      <c r="G249">
        <v>212.2</v>
      </c>
      <c r="H249">
        <v>1.0446120000000001</v>
      </c>
      <c r="I249">
        <v>-4.4612039999999999E-2</v>
      </c>
      <c r="J249">
        <v>0.48909035000000001</v>
      </c>
    </row>
    <row r="250" spans="1:10" x14ac:dyDescent="0.3">
      <c r="A250">
        <v>248</v>
      </c>
      <c r="B250">
        <v>4805</v>
      </c>
      <c r="C250" t="b">
        <v>1</v>
      </c>
      <c r="D250">
        <v>8065</v>
      </c>
      <c r="E250">
        <v>8129</v>
      </c>
      <c r="F250">
        <v>221.33332999999999</v>
      </c>
      <c r="G250">
        <v>212.2</v>
      </c>
      <c r="H250">
        <v>1.0430410999999999</v>
      </c>
      <c r="I250">
        <v>-4.3041147000000002E-2</v>
      </c>
      <c r="J250">
        <v>0.48946640000000002</v>
      </c>
    </row>
    <row r="251" spans="1:10" x14ac:dyDescent="0.3">
      <c r="A251">
        <v>249</v>
      </c>
      <c r="B251">
        <v>4836</v>
      </c>
      <c r="C251" t="b">
        <v>1</v>
      </c>
      <c r="D251">
        <v>8065</v>
      </c>
      <c r="E251">
        <v>8123</v>
      </c>
      <c r="F251">
        <v>221</v>
      </c>
      <c r="G251">
        <v>212.2</v>
      </c>
      <c r="H251">
        <v>1.0414703000000001</v>
      </c>
      <c r="I251">
        <v>-4.1470326000000002E-2</v>
      </c>
      <c r="J251">
        <v>0.48984299999999997</v>
      </c>
    </row>
    <row r="252" spans="1:10" x14ac:dyDescent="0.3">
      <c r="A252">
        <v>250</v>
      </c>
      <c r="B252">
        <v>4852</v>
      </c>
      <c r="C252" t="b">
        <v>1</v>
      </c>
      <c r="D252">
        <v>8083</v>
      </c>
      <c r="E252">
        <v>8117</v>
      </c>
      <c r="F252">
        <v>221.33332999999999</v>
      </c>
      <c r="G252">
        <v>211.8</v>
      </c>
      <c r="H252">
        <v>1.0450109000000001</v>
      </c>
      <c r="I252">
        <v>-4.5010976000000001E-2</v>
      </c>
      <c r="J252">
        <v>0.48899492999999999</v>
      </c>
    </row>
    <row r="253" spans="1:10" x14ac:dyDescent="0.3">
      <c r="A253">
        <v>251</v>
      </c>
      <c r="B253">
        <v>4868</v>
      </c>
      <c r="C253" t="b">
        <v>1</v>
      </c>
      <c r="D253">
        <v>8054</v>
      </c>
      <c r="E253">
        <v>8129</v>
      </c>
      <c r="F253">
        <v>221.66667000000001</v>
      </c>
      <c r="G253">
        <v>211.4</v>
      </c>
      <c r="H253">
        <v>1.0485651</v>
      </c>
      <c r="I253">
        <v>-4.8565175000000002E-2</v>
      </c>
      <c r="J253">
        <v>0.48814654000000002</v>
      </c>
    </row>
    <row r="254" spans="1:10" x14ac:dyDescent="0.3">
      <c r="A254">
        <v>252</v>
      </c>
      <c r="B254">
        <v>4884</v>
      </c>
      <c r="C254" t="b">
        <v>1</v>
      </c>
      <c r="D254">
        <v>8060</v>
      </c>
      <c r="E254">
        <v>8140</v>
      </c>
      <c r="F254">
        <v>222.4</v>
      </c>
      <c r="G254">
        <v>210.66667000000001</v>
      </c>
      <c r="H254">
        <v>1.0556961</v>
      </c>
      <c r="I254">
        <v>-5.569615E-2</v>
      </c>
      <c r="J254">
        <v>0.48645324000000001</v>
      </c>
    </row>
    <row r="255" spans="1:10" x14ac:dyDescent="0.3">
      <c r="A255">
        <v>253</v>
      </c>
      <c r="B255">
        <v>4915</v>
      </c>
      <c r="C255" t="b">
        <v>1</v>
      </c>
      <c r="D255">
        <v>8065</v>
      </c>
      <c r="E255">
        <v>8111</v>
      </c>
      <c r="F255">
        <v>223.13333</v>
      </c>
      <c r="G255">
        <v>209.53334000000001</v>
      </c>
      <c r="H255">
        <v>1.0649061</v>
      </c>
      <c r="I255">
        <v>-6.4906099999999994E-2</v>
      </c>
      <c r="J255">
        <v>0.48428349999999998</v>
      </c>
    </row>
    <row r="256" spans="1:10" x14ac:dyDescent="0.3">
      <c r="A256">
        <v>254</v>
      </c>
      <c r="B256">
        <v>4931</v>
      </c>
      <c r="C256" t="b">
        <v>1</v>
      </c>
      <c r="D256">
        <v>8077</v>
      </c>
      <c r="E256">
        <v>8123</v>
      </c>
      <c r="F256">
        <v>223.86667</v>
      </c>
      <c r="G256">
        <v>209.13333</v>
      </c>
      <c r="H256">
        <v>1.0704495000000001</v>
      </c>
      <c r="I256">
        <v>-7.0449494000000001E-2</v>
      </c>
      <c r="J256">
        <v>0.4829869</v>
      </c>
    </row>
    <row r="257" spans="1:10" x14ac:dyDescent="0.3">
      <c r="A257">
        <v>255</v>
      </c>
      <c r="B257">
        <v>4963</v>
      </c>
      <c r="C257" t="b">
        <v>1</v>
      </c>
      <c r="D257">
        <v>8048</v>
      </c>
      <c r="E257">
        <v>8134</v>
      </c>
      <c r="F257">
        <v>224.26666</v>
      </c>
      <c r="G257">
        <v>208</v>
      </c>
      <c r="H257">
        <v>1.0782050999999999</v>
      </c>
      <c r="I257">
        <v>-7.8205109999999994E-2</v>
      </c>
      <c r="J257">
        <v>0.48118444999999999</v>
      </c>
    </row>
    <row r="258" spans="1:10" x14ac:dyDescent="0.3">
      <c r="A258">
        <v>256</v>
      </c>
      <c r="B258">
        <v>4979</v>
      </c>
      <c r="C258" t="b">
        <v>1</v>
      </c>
      <c r="D258">
        <v>8117</v>
      </c>
      <c r="E258">
        <v>8129</v>
      </c>
      <c r="F258">
        <v>224.6</v>
      </c>
      <c r="G258">
        <v>208</v>
      </c>
      <c r="H258">
        <v>1.0798078</v>
      </c>
      <c r="I258">
        <v>-7.9807719999999999E-2</v>
      </c>
      <c r="J258">
        <v>0.48081368000000002</v>
      </c>
    </row>
    <row r="259" spans="1:10" x14ac:dyDescent="0.3">
      <c r="A259">
        <v>257</v>
      </c>
      <c r="B259">
        <v>4995</v>
      </c>
      <c r="C259" t="b">
        <v>1</v>
      </c>
      <c r="D259">
        <v>8065</v>
      </c>
      <c r="E259">
        <v>8123</v>
      </c>
      <c r="F259">
        <v>224.93333000000001</v>
      </c>
      <c r="G259">
        <v>208</v>
      </c>
      <c r="H259">
        <v>1.0814102999999999</v>
      </c>
      <c r="I259">
        <v>-8.1410259999999998E-2</v>
      </c>
      <c r="J259">
        <v>0.48044347999999998</v>
      </c>
    </row>
    <row r="260" spans="1:10" x14ac:dyDescent="0.3">
      <c r="A260">
        <v>258</v>
      </c>
      <c r="B260">
        <v>5011</v>
      </c>
      <c r="C260" t="b">
        <v>1</v>
      </c>
      <c r="D260">
        <v>8083</v>
      </c>
      <c r="E260">
        <v>8146</v>
      </c>
      <c r="F260">
        <v>225.33332999999999</v>
      </c>
      <c r="G260">
        <v>208.4</v>
      </c>
      <c r="H260">
        <v>1.0812539999999999</v>
      </c>
      <c r="I260">
        <v>-8.1254005000000004E-2</v>
      </c>
      <c r="J260">
        <v>0.48047953999999998</v>
      </c>
    </row>
    <row r="261" spans="1:10" x14ac:dyDescent="0.3">
      <c r="A261">
        <v>259</v>
      </c>
      <c r="B261">
        <v>5027</v>
      </c>
      <c r="C261" t="b">
        <v>1</v>
      </c>
      <c r="D261">
        <v>8048</v>
      </c>
      <c r="E261">
        <v>8123</v>
      </c>
      <c r="F261">
        <v>224.53334000000001</v>
      </c>
      <c r="G261">
        <v>208.8</v>
      </c>
      <c r="H261">
        <v>1.0753512000000001</v>
      </c>
      <c r="I261">
        <v>-7.5351230000000005E-2</v>
      </c>
      <c r="J261">
        <v>0.48184614999999997</v>
      </c>
    </row>
    <row r="262" spans="1:10" x14ac:dyDescent="0.3">
      <c r="A262">
        <v>260</v>
      </c>
      <c r="B262">
        <v>5043</v>
      </c>
      <c r="C262" t="b">
        <v>1</v>
      </c>
      <c r="D262">
        <v>8060</v>
      </c>
      <c r="E262">
        <v>8146</v>
      </c>
      <c r="F262">
        <v>224.13333</v>
      </c>
      <c r="G262">
        <v>209.2</v>
      </c>
      <c r="H262">
        <v>1.071383</v>
      </c>
      <c r="I262">
        <v>-7.1383050000000003E-2</v>
      </c>
      <c r="J262">
        <v>0.48276924999999998</v>
      </c>
    </row>
    <row r="263" spans="1:10" x14ac:dyDescent="0.3">
      <c r="A263">
        <v>261</v>
      </c>
      <c r="B263">
        <v>5058</v>
      </c>
      <c r="C263" t="b">
        <v>1</v>
      </c>
      <c r="D263">
        <v>8037</v>
      </c>
      <c r="E263">
        <v>8140</v>
      </c>
      <c r="F263">
        <v>224.13333</v>
      </c>
      <c r="G263">
        <v>210.73334</v>
      </c>
      <c r="H263">
        <v>1.0635874000000001</v>
      </c>
      <c r="I263">
        <v>-6.3587439999999995E-2</v>
      </c>
      <c r="J263">
        <v>0.48459297000000001</v>
      </c>
    </row>
    <row r="264" spans="1:10" x14ac:dyDescent="0.3">
      <c r="A264">
        <v>262</v>
      </c>
      <c r="B264">
        <v>5074</v>
      </c>
      <c r="C264" t="b">
        <v>1</v>
      </c>
      <c r="D264">
        <v>8060</v>
      </c>
      <c r="E264">
        <v>8134</v>
      </c>
      <c r="F264">
        <v>224.13333</v>
      </c>
      <c r="G264">
        <v>212.26666</v>
      </c>
      <c r="H264">
        <v>1.0559045</v>
      </c>
      <c r="I264">
        <v>-5.5904533999999999E-2</v>
      </c>
      <c r="J264">
        <v>0.4864039</v>
      </c>
    </row>
    <row r="265" spans="1:10" x14ac:dyDescent="0.3">
      <c r="A265">
        <v>263</v>
      </c>
      <c r="B265">
        <v>5090</v>
      </c>
      <c r="C265" t="b">
        <v>1</v>
      </c>
      <c r="D265">
        <v>8071</v>
      </c>
      <c r="E265">
        <v>8140</v>
      </c>
      <c r="F265">
        <v>224.13333</v>
      </c>
      <c r="G265">
        <v>213.4</v>
      </c>
      <c r="H265">
        <v>1.0502967999999999</v>
      </c>
      <c r="I265">
        <v>-5.0296802000000002E-2</v>
      </c>
      <c r="J265">
        <v>0.48773425999999998</v>
      </c>
    </row>
    <row r="266" spans="1:10" x14ac:dyDescent="0.3">
      <c r="A266">
        <v>264</v>
      </c>
      <c r="B266">
        <v>5106</v>
      </c>
      <c r="C266" t="b">
        <v>1</v>
      </c>
      <c r="D266">
        <v>8071</v>
      </c>
      <c r="E266">
        <v>8111</v>
      </c>
      <c r="F266">
        <v>224.13333</v>
      </c>
      <c r="G266">
        <v>214.53334000000001</v>
      </c>
      <c r="H266">
        <v>1.0447483</v>
      </c>
      <c r="I266">
        <v>-4.4748246999999998E-2</v>
      </c>
      <c r="J266">
        <v>0.48905775000000001</v>
      </c>
    </row>
    <row r="267" spans="1:10" x14ac:dyDescent="0.3">
      <c r="A267">
        <v>265</v>
      </c>
      <c r="B267">
        <v>5122</v>
      </c>
      <c r="C267" t="b">
        <v>1</v>
      </c>
      <c r="D267">
        <v>8083</v>
      </c>
      <c r="E267">
        <v>8123</v>
      </c>
      <c r="F267">
        <v>224.53334000000001</v>
      </c>
      <c r="G267">
        <v>215.66667000000001</v>
      </c>
      <c r="H267">
        <v>1.0411128000000001</v>
      </c>
      <c r="I267">
        <v>-4.1112836E-2</v>
      </c>
      <c r="J267">
        <v>0.4899288</v>
      </c>
    </row>
    <row r="268" spans="1:10" x14ac:dyDescent="0.3">
      <c r="A268">
        <v>266</v>
      </c>
      <c r="B268">
        <v>5138</v>
      </c>
      <c r="C268" t="b">
        <v>1</v>
      </c>
      <c r="D268">
        <v>8083</v>
      </c>
      <c r="E268">
        <v>8129</v>
      </c>
      <c r="F268">
        <v>224.93333000000001</v>
      </c>
      <c r="G268">
        <v>216.06666999999999</v>
      </c>
      <c r="H268">
        <v>1.0410367</v>
      </c>
      <c r="I268">
        <v>-4.1036725000000003E-2</v>
      </c>
      <c r="J268">
        <v>0.48994707999999998</v>
      </c>
    </row>
    <row r="269" spans="1:10" x14ac:dyDescent="0.3">
      <c r="A269">
        <v>267</v>
      </c>
      <c r="B269">
        <v>5154</v>
      </c>
      <c r="C269" t="b">
        <v>1</v>
      </c>
      <c r="D269">
        <v>8088</v>
      </c>
      <c r="E269">
        <v>8134</v>
      </c>
      <c r="F269">
        <v>226.13333</v>
      </c>
      <c r="G269">
        <v>216.06666999999999</v>
      </c>
      <c r="H269">
        <v>1.0465906</v>
      </c>
      <c r="I269">
        <v>-4.6590554999999999E-2</v>
      </c>
      <c r="J269">
        <v>0.48861749999999998</v>
      </c>
    </row>
    <row r="270" spans="1:10" x14ac:dyDescent="0.3">
      <c r="A270">
        <v>268</v>
      </c>
      <c r="B270">
        <v>5170</v>
      </c>
      <c r="C270" t="b">
        <v>1</v>
      </c>
      <c r="D270">
        <v>8071</v>
      </c>
      <c r="E270">
        <v>8140</v>
      </c>
      <c r="F270">
        <v>227.33332999999999</v>
      </c>
      <c r="G270">
        <v>216.46665999999999</v>
      </c>
      <c r="H270">
        <v>1.0502001999999999</v>
      </c>
      <c r="I270">
        <v>-5.0200193999999997E-2</v>
      </c>
      <c r="J270">
        <v>0.48775723999999998</v>
      </c>
    </row>
    <row r="271" spans="1:10" x14ac:dyDescent="0.3">
      <c r="A271">
        <v>269</v>
      </c>
      <c r="B271">
        <v>5186</v>
      </c>
      <c r="C271" t="b">
        <v>1</v>
      </c>
      <c r="D271">
        <v>8054</v>
      </c>
      <c r="E271">
        <v>8146</v>
      </c>
      <c r="F271">
        <v>228.53334000000001</v>
      </c>
      <c r="G271">
        <v>217.2</v>
      </c>
      <c r="H271">
        <v>1.0521792999999999</v>
      </c>
      <c r="I271">
        <v>-5.2179299999999998E-2</v>
      </c>
      <c r="J271">
        <v>0.48728686999999998</v>
      </c>
    </row>
    <row r="272" spans="1:10" x14ac:dyDescent="0.3">
      <c r="A272">
        <v>270</v>
      </c>
      <c r="B272">
        <v>5202</v>
      </c>
      <c r="C272" t="b">
        <v>1</v>
      </c>
      <c r="D272">
        <v>8042</v>
      </c>
      <c r="E272">
        <v>8129</v>
      </c>
      <c r="F272">
        <v>229.26666</v>
      </c>
      <c r="G272">
        <v>217.53334000000001</v>
      </c>
      <c r="H272">
        <v>1.053938</v>
      </c>
      <c r="I272">
        <v>-5.3938041999999999E-2</v>
      </c>
      <c r="J272">
        <v>0.48686963</v>
      </c>
    </row>
    <row r="273" spans="1:10" x14ac:dyDescent="0.3">
      <c r="A273">
        <v>271</v>
      </c>
      <c r="B273">
        <v>5234</v>
      </c>
      <c r="C273" t="b">
        <v>1</v>
      </c>
      <c r="D273">
        <v>8094</v>
      </c>
      <c r="E273">
        <v>8111</v>
      </c>
      <c r="F273">
        <v>229.66667000000001</v>
      </c>
      <c r="G273">
        <v>217.86667</v>
      </c>
      <c r="H273">
        <v>1.0541615</v>
      </c>
      <c r="I273">
        <v>-5.4161580000000001E-2</v>
      </c>
      <c r="J273">
        <v>0.48681664000000002</v>
      </c>
    </row>
    <row r="274" spans="1:10" x14ac:dyDescent="0.3">
      <c r="A274">
        <v>272</v>
      </c>
      <c r="B274">
        <v>5250</v>
      </c>
      <c r="C274" t="b">
        <v>1</v>
      </c>
      <c r="D274">
        <v>8083</v>
      </c>
      <c r="E274">
        <v>8123</v>
      </c>
      <c r="F274">
        <v>230.06666999999999</v>
      </c>
      <c r="G274">
        <v>218.26666</v>
      </c>
      <c r="H274">
        <v>1.0540624000000001</v>
      </c>
      <c r="I274">
        <v>-5.4062326000000001E-2</v>
      </c>
      <c r="J274">
        <v>0.48684016000000002</v>
      </c>
    </row>
    <row r="275" spans="1:10" x14ac:dyDescent="0.3">
      <c r="A275">
        <v>273</v>
      </c>
      <c r="B275">
        <v>5265</v>
      </c>
      <c r="C275" t="b">
        <v>1</v>
      </c>
      <c r="D275">
        <v>8042</v>
      </c>
      <c r="E275">
        <v>8105</v>
      </c>
      <c r="F275">
        <v>228.53334000000001</v>
      </c>
      <c r="G275">
        <v>217.86667</v>
      </c>
      <c r="H275">
        <v>1.0489596000000001</v>
      </c>
      <c r="I275">
        <v>-4.8959629999999997E-2</v>
      </c>
      <c r="J275">
        <v>0.48805254999999997</v>
      </c>
    </row>
    <row r="276" spans="1:10" x14ac:dyDescent="0.3">
      <c r="A276">
        <v>274</v>
      </c>
      <c r="B276">
        <v>5281</v>
      </c>
      <c r="C276" t="b">
        <v>1</v>
      </c>
      <c r="D276">
        <v>8077</v>
      </c>
      <c r="E276">
        <v>8117</v>
      </c>
      <c r="F276">
        <v>229.33332999999999</v>
      </c>
      <c r="G276">
        <v>217.06666999999999</v>
      </c>
      <c r="H276">
        <v>1.056511</v>
      </c>
      <c r="I276">
        <v>-5.6511037E-2</v>
      </c>
      <c r="J276">
        <v>0.48626044000000002</v>
      </c>
    </row>
    <row r="277" spans="1:10" x14ac:dyDescent="0.3">
      <c r="A277">
        <v>275</v>
      </c>
      <c r="B277">
        <v>5314</v>
      </c>
      <c r="C277" t="b">
        <v>1</v>
      </c>
      <c r="D277">
        <v>8065</v>
      </c>
      <c r="E277">
        <v>8123</v>
      </c>
      <c r="F277">
        <v>230.13333</v>
      </c>
      <c r="G277">
        <v>216.26666</v>
      </c>
      <c r="H277">
        <v>1.0641183999999999</v>
      </c>
      <c r="I277">
        <v>-6.4118385E-2</v>
      </c>
      <c r="J277">
        <v>0.48446834</v>
      </c>
    </row>
    <row r="278" spans="1:10" x14ac:dyDescent="0.3">
      <c r="A278">
        <v>276</v>
      </c>
      <c r="B278">
        <v>5329</v>
      </c>
      <c r="C278" t="b">
        <v>1</v>
      </c>
      <c r="D278">
        <v>8054</v>
      </c>
      <c r="E278">
        <v>8129</v>
      </c>
      <c r="F278">
        <v>230.46665999999999</v>
      </c>
      <c r="G278">
        <v>215.13333</v>
      </c>
      <c r="H278">
        <v>1.0712736</v>
      </c>
      <c r="I278">
        <v>-7.1273600000000006E-2</v>
      </c>
      <c r="J278">
        <v>0.48279475999999999</v>
      </c>
    </row>
    <row r="279" spans="1:10" x14ac:dyDescent="0.3">
      <c r="A279">
        <v>277</v>
      </c>
      <c r="B279">
        <v>5345</v>
      </c>
      <c r="C279" t="b">
        <v>1</v>
      </c>
      <c r="D279">
        <v>8117</v>
      </c>
      <c r="E279">
        <v>8093</v>
      </c>
      <c r="F279">
        <v>230.8</v>
      </c>
      <c r="G279">
        <v>213.6</v>
      </c>
      <c r="H279">
        <v>1.0805243</v>
      </c>
      <c r="I279">
        <v>-8.0524324999999994E-2</v>
      </c>
      <c r="J279">
        <v>0.48064804</v>
      </c>
    </row>
    <row r="280" spans="1:10" x14ac:dyDescent="0.3">
      <c r="A280">
        <v>278</v>
      </c>
      <c r="B280">
        <v>5361</v>
      </c>
      <c r="C280" t="b">
        <v>1</v>
      </c>
      <c r="D280">
        <v>8094</v>
      </c>
      <c r="E280">
        <v>8117</v>
      </c>
      <c r="F280">
        <v>231.93333000000001</v>
      </c>
      <c r="G280">
        <v>212.06666999999999</v>
      </c>
      <c r="H280">
        <v>1.0936812</v>
      </c>
      <c r="I280">
        <v>-9.3681245999999996E-2</v>
      </c>
      <c r="J280">
        <v>0.47762764000000002</v>
      </c>
    </row>
    <row r="281" spans="1:10" x14ac:dyDescent="0.3">
      <c r="A281">
        <v>279</v>
      </c>
      <c r="B281">
        <v>5377</v>
      </c>
      <c r="C281" t="b">
        <v>1</v>
      </c>
      <c r="D281">
        <v>8071</v>
      </c>
      <c r="E281">
        <v>8105</v>
      </c>
      <c r="F281">
        <v>232.66667000000001</v>
      </c>
      <c r="G281">
        <v>210.53334000000001</v>
      </c>
      <c r="H281">
        <v>1.1051298000000001</v>
      </c>
      <c r="I281">
        <v>-0.105129816</v>
      </c>
      <c r="J281">
        <v>0.47503010000000001</v>
      </c>
    </row>
    <row r="282" spans="1:10" x14ac:dyDescent="0.3">
      <c r="A282">
        <v>280</v>
      </c>
      <c r="B282">
        <v>5393</v>
      </c>
      <c r="C282" t="b">
        <v>1</v>
      </c>
      <c r="D282">
        <v>8042</v>
      </c>
      <c r="E282">
        <v>8087</v>
      </c>
      <c r="F282">
        <v>232.66667000000001</v>
      </c>
      <c r="G282">
        <v>208.6</v>
      </c>
      <c r="H282">
        <v>1.1153723</v>
      </c>
      <c r="I282">
        <v>-0.115372315</v>
      </c>
      <c r="J282">
        <v>0.47273004000000002</v>
      </c>
    </row>
    <row r="283" spans="1:10" x14ac:dyDescent="0.3">
      <c r="A283">
        <v>281</v>
      </c>
      <c r="B283">
        <v>5408</v>
      </c>
      <c r="C283" t="b">
        <v>1</v>
      </c>
      <c r="D283">
        <v>8054</v>
      </c>
      <c r="E283">
        <v>8117</v>
      </c>
      <c r="F283">
        <v>232.66667000000001</v>
      </c>
      <c r="G283">
        <v>207</v>
      </c>
      <c r="H283">
        <v>1.1239935999999999</v>
      </c>
      <c r="I283">
        <v>-0.12399358000000001</v>
      </c>
      <c r="J283">
        <v>0.47081119999999999</v>
      </c>
    </row>
    <row r="284" spans="1:10" x14ac:dyDescent="0.3">
      <c r="A284">
        <v>282</v>
      </c>
      <c r="B284">
        <v>5424</v>
      </c>
      <c r="C284" t="b">
        <v>1</v>
      </c>
      <c r="D284">
        <v>8065</v>
      </c>
      <c r="E284">
        <v>8152</v>
      </c>
      <c r="F284">
        <v>231.46665999999999</v>
      </c>
      <c r="G284">
        <v>206.2</v>
      </c>
      <c r="H284">
        <v>1.1225347999999999</v>
      </c>
      <c r="I284">
        <v>-0.12253474</v>
      </c>
      <c r="J284">
        <v>0.47113480000000002</v>
      </c>
    </row>
    <row r="285" spans="1:10" x14ac:dyDescent="0.3">
      <c r="A285">
        <v>283</v>
      </c>
      <c r="B285">
        <v>5440</v>
      </c>
      <c r="C285" t="b">
        <v>1</v>
      </c>
      <c r="D285">
        <v>8054</v>
      </c>
      <c r="E285">
        <v>8140</v>
      </c>
      <c r="F285">
        <v>229.53334000000001</v>
      </c>
      <c r="G285">
        <v>205.4</v>
      </c>
      <c r="H285">
        <v>1.1174942999999999</v>
      </c>
      <c r="I285">
        <v>-0.11749439</v>
      </c>
      <c r="J285">
        <v>0.47225623999999999</v>
      </c>
    </row>
    <row r="286" spans="1:10" x14ac:dyDescent="0.3">
      <c r="A286">
        <v>284</v>
      </c>
      <c r="B286">
        <v>5456</v>
      </c>
      <c r="C286" t="b">
        <v>1</v>
      </c>
      <c r="D286">
        <v>8037</v>
      </c>
      <c r="E286">
        <v>8134</v>
      </c>
      <c r="F286">
        <v>227.6</v>
      </c>
      <c r="G286">
        <v>205.4</v>
      </c>
      <c r="H286">
        <v>1.1080817999999999</v>
      </c>
      <c r="I286">
        <v>-0.108081855</v>
      </c>
      <c r="J286">
        <v>0.47436487999999999</v>
      </c>
    </row>
    <row r="287" spans="1:10" x14ac:dyDescent="0.3">
      <c r="A287">
        <v>285</v>
      </c>
      <c r="B287">
        <v>5472</v>
      </c>
      <c r="C287" t="b">
        <v>1</v>
      </c>
      <c r="D287">
        <v>8017</v>
      </c>
      <c r="E287">
        <v>8111</v>
      </c>
      <c r="F287">
        <v>226.46665999999999</v>
      </c>
      <c r="G287">
        <v>205.4</v>
      </c>
      <c r="H287">
        <v>1.1025640999999999</v>
      </c>
      <c r="I287">
        <v>-0.102564104</v>
      </c>
      <c r="J287">
        <v>0.47560977999999998</v>
      </c>
    </row>
    <row r="288" spans="1:10" x14ac:dyDescent="0.3">
      <c r="A288">
        <v>286</v>
      </c>
      <c r="B288">
        <v>5488</v>
      </c>
      <c r="C288" t="b">
        <v>1</v>
      </c>
      <c r="D288">
        <v>8077</v>
      </c>
      <c r="E288">
        <v>8123</v>
      </c>
      <c r="F288">
        <v>225.33332999999999</v>
      </c>
      <c r="G288">
        <v>205.4</v>
      </c>
      <c r="H288">
        <v>1.0970464</v>
      </c>
      <c r="I288">
        <v>-9.7046419999999994E-2</v>
      </c>
      <c r="J288">
        <v>0.47686115000000001</v>
      </c>
    </row>
    <row r="289" spans="1:10" x14ac:dyDescent="0.3">
      <c r="A289">
        <v>287</v>
      </c>
      <c r="B289">
        <v>5503</v>
      </c>
      <c r="C289" t="b">
        <v>1</v>
      </c>
      <c r="D289">
        <v>8106</v>
      </c>
      <c r="E289">
        <v>8117</v>
      </c>
      <c r="F289">
        <v>224.2</v>
      </c>
      <c r="G289">
        <v>205</v>
      </c>
      <c r="H289">
        <v>1.0936585999999999</v>
      </c>
      <c r="I289">
        <v>-9.3658519999999995E-2</v>
      </c>
      <c r="J289">
        <v>0.47763280000000002</v>
      </c>
    </row>
    <row r="290" spans="1:10" x14ac:dyDescent="0.3">
      <c r="A290">
        <v>288</v>
      </c>
      <c r="B290">
        <v>5519</v>
      </c>
      <c r="C290" t="b">
        <v>1</v>
      </c>
      <c r="D290">
        <v>8083</v>
      </c>
      <c r="E290">
        <v>8117</v>
      </c>
      <c r="F290">
        <v>225.73334</v>
      </c>
      <c r="G290">
        <v>204.6</v>
      </c>
      <c r="H290">
        <v>1.1032909</v>
      </c>
      <c r="I290">
        <v>-0.10329096</v>
      </c>
      <c r="J290">
        <v>0.47544540000000002</v>
      </c>
    </row>
    <row r="291" spans="1:10" x14ac:dyDescent="0.3">
      <c r="A291">
        <v>289</v>
      </c>
      <c r="B291">
        <v>5551</v>
      </c>
      <c r="C291" t="b">
        <v>1</v>
      </c>
      <c r="D291">
        <v>8106</v>
      </c>
      <c r="E291">
        <v>8152</v>
      </c>
      <c r="F291">
        <v>226.13333</v>
      </c>
      <c r="G291">
        <v>204.6</v>
      </c>
      <c r="H291">
        <v>1.105246</v>
      </c>
      <c r="I291">
        <v>-0.10524596</v>
      </c>
      <c r="J291">
        <v>0.47500386999999999</v>
      </c>
    </row>
    <row r="292" spans="1:10" x14ac:dyDescent="0.3">
      <c r="A292">
        <v>290</v>
      </c>
      <c r="B292">
        <v>5567</v>
      </c>
      <c r="C292" t="b">
        <v>1</v>
      </c>
      <c r="D292">
        <v>8065</v>
      </c>
      <c r="E292">
        <v>8152</v>
      </c>
      <c r="F292">
        <v>226.53334000000001</v>
      </c>
      <c r="G292">
        <v>205</v>
      </c>
      <c r="H292">
        <v>1.1050407</v>
      </c>
      <c r="I292">
        <v>-0.105040684</v>
      </c>
      <c r="J292">
        <v>0.47505019999999998</v>
      </c>
    </row>
    <row r="293" spans="1:10" x14ac:dyDescent="0.3">
      <c r="A293">
        <v>291</v>
      </c>
      <c r="B293">
        <v>5582</v>
      </c>
      <c r="C293" t="b">
        <v>1</v>
      </c>
      <c r="D293">
        <v>8065</v>
      </c>
      <c r="E293">
        <v>8111</v>
      </c>
      <c r="F293">
        <v>227.73334</v>
      </c>
      <c r="G293">
        <v>204.6</v>
      </c>
      <c r="H293">
        <v>1.1130660999999999</v>
      </c>
      <c r="I293">
        <v>-0.11306613</v>
      </c>
      <c r="J293">
        <v>0.47324595000000003</v>
      </c>
    </row>
    <row r="294" spans="1:10" x14ac:dyDescent="0.3">
      <c r="A294">
        <v>292</v>
      </c>
      <c r="B294">
        <v>5598</v>
      </c>
      <c r="C294" t="b">
        <v>1</v>
      </c>
      <c r="D294">
        <v>8060</v>
      </c>
      <c r="E294">
        <v>8099</v>
      </c>
      <c r="F294">
        <v>227.73334</v>
      </c>
      <c r="G294">
        <v>204.6</v>
      </c>
      <c r="H294">
        <v>1.1130660999999999</v>
      </c>
      <c r="I294">
        <v>-0.11306613</v>
      </c>
      <c r="J294">
        <v>0.47324595000000003</v>
      </c>
    </row>
    <row r="295" spans="1:10" x14ac:dyDescent="0.3">
      <c r="A295">
        <v>293</v>
      </c>
      <c r="B295">
        <v>5614</v>
      </c>
      <c r="C295" t="b">
        <v>1</v>
      </c>
      <c r="D295">
        <v>8106</v>
      </c>
      <c r="E295">
        <v>8111</v>
      </c>
      <c r="F295">
        <v>226.93333000000001</v>
      </c>
      <c r="G295">
        <v>204.2</v>
      </c>
      <c r="H295">
        <v>1.1113287999999999</v>
      </c>
      <c r="I295">
        <v>-0.11132878</v>
      </c>
      <c r="J295">
        <v>0.47363537999999999</v>
      </c>
    </row>
    <row r="296" spans="1:10" x14ac:dyDescent="0.3">
      <c r="A296">
        <v>294</v>
      </c>
      <c r="B296">
        <v>5646</v>
      </c>
      <c r="C296" t="b">
        <v>1</v>
      </c>
      <c r="D296">
        <v>8077</v>
      </c>
      <c r="E296">
        <v>8129</v>
      </c>
      <c r="F296">
        <v>226.53334000000001</v>
      </c>
      <c r="G296">
        <v>203.8</v>
      </c>
      <c r="H296">
        <v>1.1115472</v>
      </c>
      <c r="I296">
        <v>-0.111547284</v>
      </c>
      <c r="J296">
        <v>0.47358634999999999</v>
      </c>
    </row>
    <row r="297" spans="1:10" x14ac:dyDescent="0.3">
      <c r="A297">
        <v>295</v>
      </c>
      <c r="B297">
        <v>5662</v>
      </c>
      <c r="C297" t="b">
        <v>1</v>
      </c>
      <c r="D297">
        <v>8100</v>
      </c>
      <c r="E297">
        <v>8123</v>
      </c>
      <c r="F297">
        <v>226.93333000000001</v>
      </c>
      <c r="G297">
        <v>204.2</v>
      </c>
      <c r="H297">
        <v>1.1113287999999999</v>
      </c>
      <c r="I297">
        <v>-0.11132878</v>
      </c>
      <c r="J297">
        <v>0.47363537999999999</v>
      </c>
    </row>
    <row r="298" spans="1:10" x14ac:dyDescent="0.3">
      <c r="A298">
        <v>296</v>
      </c>
      <c r="B298">
        <v>5678</v>
      </c>
      <c r="C298" t="b">
        <v>1</v>
      </c>
      <c r="D298">
        <v>8060</v>
      </c>
      <c r="E298">
        <v>8152</v>
      </c>
      <c r="F298">
        <v>227.33332999999999</v>
      </c>
      <c r="G298">
        <v>205.4</v>
      </c>
      <c r="H298">
        <v>1.1067834999999999</v>
      </c>
      <c r="I298">
        <v>-0.10678352000000001</v>
      </c>
      <c r="J298">
        <v>0.4746572</v>
      </c>
    </row>
    <row r="299" spans="1:10" x14ac:dyDescent="0.3">
      <c r="A299">
        <v>297</v>
      </c>
      <c r="B299">
        <v>5694</v>
      </c>
      <c r="C299" t="b">
        <v>1</v>
      </c>
      <c r="D299">
        <v>8060</v>
      </c>
      <c r="E299">
        <v>8123</v>
      </c>
      <c r="F299">
        <v>228.13333</v>
      </c>
      <c r="G299">
        <v>205.8</v>
      </c>
      <c r="H299">
        <v>1.1085195999999999</v>
      </c>
      <c r="I299">
        <v>-0.10851957</v>
      </c>
      <c r="J299">
        <v>0.47426637999999999</v>
      </c>
    </row>
    <row r="300" spans="1:10" x14ac:dyDescent="0.3">
      <c r="A300">
        <v>298</v>
      </c>
      <c r="B300">
        <v>5709</v>
      </c>
      <c r="C300" t="b">
        <v>1</v>
      </c>
      <c r="D300">
        <v>8077</v>
      </c>
      <c r="E300">
        <v>8099</v>
      </c>
      <c r="F300">
        <v>229.66667000000001</v>
      </c>
      <c r="G300">
        <v>206.2</v>
      </c>
      <c r="H300">
        <v>1.1138053999999999</v>
      </c>
      <c r="I300">
        <v>-0.113805406</v>
      </c>
      <c r="J300">
        <v>0.47308045999999998</v>
      </c>
    </row>
    <row r="301" spans="1:10" x14ac:dyDescent="0.3">
      <c r="A301">
        <v>299</v>
      </c>
      <c r="B301">
        <v>5725</v>
      </c>
      <c r="C301" t="b">
        <v>1</v>
      </c>
      <c r="D301">
        <v>8077</v>
      </c>
      <c r="E301">
        <v>8134</v>
      </c>
      <c r="F301">
        <v>231.2</v>
      </c>
      <c r="G301">
        <v>205.46665999999999</v>
      </c>
      <c r="H301">
        <v>1.1252434</v>
      </c>
      <c r="I301">
        <v>-0.12524336999999999</v>
      </c>
      <c r="J301">
        <v>0.47053434999999999</v>
      </c>
    </row>
    <row r="302" spans="1:10" x14ac:dyDescent="0.3">
      <c r="A302">
        <v>300</v>
      </c>
      <c r="B302">
        <v>5741</v>
      </c>
      <c r="C302" t="b">
        <v>1</v>
      </c>
      <c r="D302">
        <v>8054</v>
      </c>
      <c r="E302">
        <v>8146</v>
      </c>
      <c r="F302">
        <v>231.6</v>
      </c>
      <c r="G302">
        <v>205.46665999999999</v>
      </c>
      <c r="H302">
        <v>1.1271902</v>
      </c>
      <c r="I302">
        <v>-0.1271902</v>
      </c>
      <c r="J302">
        <v>0.47010370000000001</v>
      </c>
    </row>
    <row r="303" spans="1:10" x14ac:dyDescent="0.3">
      <c r="A303">
        <v>301</v>
      </c>
      <c r="B303">
        <v>5757</v>
      </c>
      <c r="C303" t="b">
        <v>1</v>
      </c>
      <c r="D303">
        <v>8054</v>
      </c>
      <c r="E303">
        <v>8093</v>
      </c>
      <c r="F303">
        <v>232</v>
      </c>
      <c r="G303">
        <v>204.73334</v>
      </c>
      <c r="H303">
        <v>1.1331812999999999</v>
      </c>
      <c r="I303">
        <v>-0.13318135</v>
      </c>
      <c r="J303">
        <v>0.46878340000000002</v>
      </c>
    </row>
    <row r="304" spans="1:10" x14ac:dyDescent="0.3">
      <c r="A304">
        <v>302</v>
      </c>
      <c r="B304">
        <v>5773</v>
      </c>
      <c r="C304" t="b">
        <v>1</v>
      </c>
      <c r="D304">
        <v>8060</v>
      </c>
      <c r="E304">
        <v>8170</v>
      </c>
      <c r="F304">
        <v>232.4</v>
      </c>
      <c r="G304">
        <v>205.46665999999999</v>
      </c>
      <c r="H304">
        <v>1.1310837</v>
      </c>
      <c r="I304">
        <v>-0.13108373000000001</v>
      </c>
      <c r="J304">
        <v>0.46924484</v>
      </c>
    </row>
    <row r="305" spans="1:10" x14ac:dyDescent="0.3">
      <c r="A305">
        <v>303</v>
      </c>
      <c r="B305">
        <v>5789</v>
      </c>
      <c r="C305" t="b">
        <v>1</v>
      </c>
      <c r="D305">
        <v>8048</v>
      </c>
      <c r="E305">
        <v>8129</v>
      </c>
      <c r="F305">
        <v>230.86667</v>
      </c>
      <c r="G305">
        <v>206.6</v>
      </c>
      <c r="H305">
        <v>1.1174573000000001</v>
      </c>
      <c r="I305">
        <v>-0.11745722</v>
      </c>
      <c r="J305">
        <v>0.47226456</v>
      </c>
    </row>
    <row r="306" spans="1:10" x14ac:dyDescent="0.3">
      <c r="A306">
        <v>304</v>
      </c>
      <c r="B306">
        <v>5805</v>
      </c>
      <c r="C306" t="b">
        <v>1</v>
      </c>
      <c r="D306">
        <v>8083</v>
      </c>
      <c r="E306">
        <v>8105</v>
      </c>
      <c r="F306">
        <v>228.93333000000001</v>
      </c>
      <c r="G306">
        <v>207.4</v>
      </c>
      <c r="H306">
        <v>1.1038252</v>
      </c>
      <c r="I306">
        <v>-0.10382517400000001</v>
      </c>
      <c r="J306">
        <v>0.47532469999999999</v>
      </c>
    </row>
    <row r="307" spans="1:10" x14ac:dyDescent="0.3">
      <c r="A307">
        <v>305</v>
      </c>
      <c r="B307">
        <v>5821</v>
      </c>
      <c r="C307" t="b">
        <v>1</v>
      </c>
      <c r="D307">
        <v>8094</v>
      </c>
      <c r="E307">
        <v>8117</v>
      </c>
      <c r="F307">
        <v>227.4</v>
      </c>
      <c r="G307">
        <v>207</v>
      </c>
      <c r="H307">
        <v>1.0985507000000001</v>
      </c>
      <c r="I307">
        <v>-9.8550689999999996E-2</v>
      </c>
      <c r="J307">
        <v>0.47651935000000001</v>
      </c>
    </row>
    <row r="308" spans="1:10" x14ac:dyDescent="0.3">
      <c r="A308">
        <v>306</v>
      </c>
      <c r="B308">
        <v>5836</v>
      </c>
      <c r="C308" t="b">
        <v>1</v>
      </c>
      <c r="D308">
        <v>8088</v>
      </c>
      <c r="E308">
        <v>8140</v>
      </c>
      <c r="F308">
        <v>227.4</v>
      </c>
      <c r="G308">
        <v>207.8</v>
      </c>
      <c r="H308">
        <v>1.0943214000000001</v>
      </c>
      <c r="I308">
        <v>-9.4321415000000006E-2</v>
      </c>
      <c r="J308">
        <v>0.47748160000000001</v>
      </c>
    </row>
    <row r="309" spans="1:10" x14ac:dyDescent="0.3">
      <c r="A309">
        <v>307</v>
      </c>
      <c r="B309">
        <v>5852</v>
      </c>
      <c r="C309" t="b">
        <v>1</v>
      </c>
      <c r="D309">
        <v>8048</v>
      </c>
      <c r="E309">
        <v>8140</v>
      </c>
      <c r="F309">
        <v>228.6</v>
      </c>
      <c r="G309">
        <v>208.6</v>
      </c>
      <c r="H309">
        <v>1.0958772999999999</v>
      </c>
      <c r="I309">
        <v>-9.5877274999999998E-2</v>
      </c>
      <c r="J309">
        <v>0.47712715999999999</v>
      </c>
    </row>
    <row r="310" spans="1:10" x14ac:dyDescent="0.3">
      <c r="A310">
        <v>308</v>
      </c>
      <c r="B310">
        <v>5868</v>
      </c>
      <c r="C310" t="b">
        <v>1</v>
      </c>
      <c r="D310">
        <v>8060</v>
      </c>
      <c r="E310">
        <v>8111</v>
      </c>
      <c r="F310">
        <v>229.8</v>
      </c>
      <c r="G310">
        <v>209</v>
      </c>
      <c r="H310">
        <v>1.0995215</v>
      </c>
      <c r="I310">
        <v>-9.952155E-2</v>
      </c>
      <c r="J310">
        <v>0.47629902000000002</v>
      </c>
    </row>
    <row r="311" spans="1:10" x14ac:dyDescent="0.3">
      <c r="A311">
        <v>309</v>
      </c>
      <c r="B311">
        <v>5884</v>
      </c>
      <c r="C311" t="b">
        <v>1</v>
      </c>
      <c r="D311">
        <v>8083</v>
      </c>
      <c r="E311">
        <v>8129</v>
      </c>
      <c r="F311">
        <v>231</v>
      </c>
      <c r="G311">
        <v>210.2</v>
      </c>
      <c r="H311">
        <v>1.0989534000000001</v>
      </c>
      <c r="I311">
        <v>-9.8953395999999999E-2</v>
      </c>
      <c r="J311">
        <v>0.47642790000000002</v>
      </c>
    </row>
    <row r="312" spans="1:10" x14ac:dyDescent="0.3">
      <c r="A312">
        <v>310</v>
      </c>
      <c r="B312">
        <v>5900</v>
      </c>
      <c r="C312" t="b">
        <v>1</v>
      </c>
      <c r="D312">
        <v>8100</v>
      </c>
      <c r="E312">
        <v>8117</v>
      </c>
      <c r="F312">
        <v>231.4</v>
      </c>
      <c r="G312">
        <v>211.4</v>
      </c>
      <c r="H312">
        <v>1.0946073999999999</v>
      </c>
      <c r="I312">
        <v>-9.4607380000000005E-2</v>
      </c>
      <c r="J312">
        <v>0.47741643</v>
      </c>
    </row>
    <row r="313" spans="1:10" x14ac:dyDescent="0.3">
      <c r="A313">
        <v>311</v>
      </c>
      <c r="B313">
        <v>5916</v>
      </c>
      <c r="C313" t="b">
        <v>1</v>
      </c>
      <c r="D313">
        <v>8048</v>
      </c>
      <c r="E313">
        <v>8129</v>
      </c>
      <c r="F313">
        <v>230.26666</v>
      </c>
      <c r="G313">
        <v>211.8</v>
      </c>
      <c r="H313">
        <v>1.0871891</v>
      </c>
      <c r="I313">
        <v>-8.7189139999999998E-2</v>
      </c>
      <c r="J313">
        <v>0.47911327999999997</v>
      </c>
    </row>
    <row r="314" spans="1:10" x14ac:dyDescent="0.3">
      <c r="A314">
        <v>312</v>
      </c>
      <c r="B314">
        <v>5932</v>
      </c>
      <c r="C314" t="b">
        <v>1</v>
      </c>
      <c r="D314">
        <v>8048</v>
      </c>
      <c r="E314">
        <v>8140</v>
      </c>
      <c r="F314">
        <v>229.13333</v>
      </c>
      <c r="G314">
        <v>212.2</v>
      </c>
      <c r="H314">
        <v>1.0797988999999999</v>
      </c>
      <c r="I314">
        <v>-7.9798939999999999E-2</v>
      </c>
      <c r="J314">
        <v>0.48081573999999999</v>
      </c>
    </row>
    <row r="315" spans="1:10" x14ac:dyDescent="0.3">
      <c r="A315">
        <v>313</v>
      </c>
      <c r="B315">
        <v>5948</v>
      </c>
      <c r="C315" t="b">
        <v>1</v>
      </c>
      <c r="D315">
        <v>8065</v>
      </c>
      <c r="E315">
        <v>8134</v>
      </c>
      <c r="F315">
        <v>228.33332999999999</v>
      </c>
      <c r="G315">
        <v>212.6</v>
      </c>
      <c r="H315">
        <v>1.0740042999999999</v>
      </c>
      <c r="I315">
        <v>-7.4004340000000002E-2</v>
      </c>
      <c r="J315">
        <v>0.48215904999999998</v>
      </c>
    </row>
    <row r="316" spans="1:10" x14ac:dyDescent="0.3">
      <c r="A316">
        <v>314</v>
      </c>
      <c r="B316">
        <v>5980</v>
      </c>
      <c r="C316" t="b">
        <v>1</v>
      </c>
      <c r="D316">
        <v>8065</v>
      </c>
      <c r="E316">
        <v>8117</v>
      </c>
      <c r="F316">
        <v>227.53334000000001</v>
      </c>
      <c r="G316">
        <v>213</v>
      </c>
      <c r="H316">
        <v>1.0682316999999999</v>
      </c>
      <c r="I316">
        <v>-6.8231639999999996E-2</v>
      </c>
      <c r="J316">
        <v>0.48350485999999998</v>
      </c>
    </row>
    <row r="317" spans="1:10" x14ac:dyDescent="0.3">
      <c r="A317">
        <v>315</v>
      </c>
      <c r="B317">
        <v>5996</v>
      </c>
      <c r="C317" t="b">
        <v>1</v>
      </c>
      <c r="D317">
        <v>8071</v>
      </c>
      <c r="E317">
        <v>8129</v>
      </c>
      <c r="F317">
        <v>227.86667</v>
      </c>
      <c r="G317">
        <v>212.66667000000001</v>
      </c>
      <c r="H317">
        <v>1.0714733999999999</v>
      </c>
      <c r="I317">
        <v>-7.1473339999999996E-2</v>
      </c>
      <c r="J317">
        <v>0.48274820000000002</v>
      </c>
    </row>
    <row r="318" spans="1:10" x14ac:dyDescent="0.3">
      <c r="A318">
        <v>316</v>
      </c>
      <c r="B318">
        <v>6012</v>
      </c>
      <c r="C318" t="b">
        <v>1</v>
      </c>
      <c r="D318">
        <v>8054</v>
      </c>
      <c r="E318">
        <v>8158</v>
      </c>
      <c r="F318">
        <v>228.2</v>
      </c>
      <c r="G318">
        <v>213.4</v>
      </c>
      <c r="H318">
        <v>1.0693533</v>
      </c>
      <c r="I318">
        <v>-6.9353339999999999E-2</v>
      </c>
      <c r="J318">
        <v>0.48324277999999998</v>
      </c>
    </row>
    <row r="319" spans="1:10" x14ac:dyDescent="0.3">
      <c r="A319">
        <v>317</v>
      </c>
      <c r="B319">
        <v>6028</v>
      </c>
      <c r="C319" t="b">
        <v>1</v>
      </c>
      <c r="D319">
        <v>8048</v>
      </c>
      <c r="E319">
        <v>8170</v>
      </c>
      <c r="F319">
        <v>228.53334000000001</v>
      </c>
      <c r="G319">
        <v>213.4</v>
      </c>
      <c r="H319">
        <v>1.0709154999999999</v>
      </c>
      <c r="I319">
        <v>-7.0915400000000003E-2</v>
      </c>
      <c r="J319">
        <v>0.48287824000000001</v>
      </c>
    </row>
    <row r="320" spans="1:10" x14ac:dyDescent="0.3">
      <c r="A320">
        <v>318</v>
      </c>
      <c r="B320">
        <v>6044</v>
      </c>
      <c r="C320" t="b">
        <v>1</v>
      </c>
      <c r="D320">
        <v>8117</v>
      </c>
      <c r="E320">
        <v>8140</v>
      </c>
      <c r="F320">
        <v>229.26666</v>
      </c>
      <c r="G320">
        <v>213.8</v>
      </c>
      <c r="H320">
        <v>1.0723417</v>
      </c>
      <c r="I320">
        <v>-7.2341719999999998E-2</v>
      </c>
      <c r="J320">
        <v>0.48254590000000003</v>
      </c>
    </row>
    <row r="321" spans="1:10" x14ac:dyDescent="0.3">
      <c r="A321">
        <v>319</v>
      </c>
      <c r="B321">
        <v>6059</v>
      </c>
      <c r="C321" t="b">
        <v>1</v>
      </c>
      <c r="D321">
        <v>8037</v>
      </c>
      <c r="E321">
        <v>8117</v>
      </c>
      <c r="F321">
        <v>229.26666</v>
      </c>
      <c r="G321">
        <v>214.53334000000001</v>
      </c>
      <c r="H321">
        <v>1.0686761</v>
      </c>
      <c r="I321">
        <v>-6.8676143999999995E-2</v>
      </c>
      <c r="J321">
        <v>0.48340096999999999</v>
      </c>
    </row>
    <row r="322" spans="1:10" x14ac:dyDescent="0.3">
      <c r="A322">
        <v>320</v>
      </c>
      <c r="B322">
        <v>6075</v>
      </c>
      <c r="C322" t="b">
        <v>1</v>
      </c>
      <c r="D322">
        <v>8048</v>
      </c>
      <c r="E322">
        <v>8129</v>
      </c>
      <c r="F322">
        <v>228.46665999999999</v>
      </c>
      <c r="G322">
        <v>216.06666999999999</v>
      </c>
      <c r="H322">
        <v>1.0573896</v>
      </c>
      <c r="I322">
        <v>-5.7389664999999999E-2</v>
      </c>
      <c r="J322">
        <v>0.48605278000000002</v>
      </c>
    </row>
    <row r="323" spans="1:10" x14ac:dyDescent="0.3">
      <c r="A323">
        <v>321</v>
      </c>
      <c r="B323">
        <v>6091</v>
      </c>
      <c r="C323" t="b">
        <v>1</v>
      </c>
      <c r="D323">
        <v>8071</v>
      </c>
      <c r="E323">
        <v>8105</v>
      </c>
      <c r="F323">
        <v>226.13333</v>
      </c>
      <c r="G323">
        <v>216.06666999999999</v>
      </c>
      <c r="H323">
        <v>1.0465906</v>
      </c>
      <c r="I323">
        <v>-4.6590554999999999E-2</v>
      </c>
      <c r="J323">
        <v>0.48861749999999998</v>
      </c>
    </row>
    <row r="324" spans="1:10" x14ac:dyDescent="0.3">
      <c r="A324">
        <v>322</v>
      </c>
      <c r="B324">
        <v>6107</v>
      </c>
      <c r="C324" t="b">
        <v>1</v>
      </c>
      <c r="D324">
        <v>8065</v>
      </c>
      <c r="E324">
        <v>8152</v>
      </c>
      <c r="F324">
        <v>224.93333000000001</v>
      </c>
      <c r="G324">
        <v>216.06666999999999</v>
      </c>
      <c r="H324">
        <v>1.0410367</v>
      </c>
      <c r="I324">
        <v>-4.1036725000000003E-2</v>
      </c>
      <c r="J324">
        <v>0.48994707999999998</v>
      </c>
    </row>
    <row r="325" spans="1:10" x14ac:dyDescent="0.3">
      <c r="A325">
        <v>323</v>
      </c>
      <c r="B325">
        <v>6123</v>
      </c>
      <c r="C325" t="b">
        <v>1</v>
      </c>
      <c r="D325">
        <v>8037</v>
      </c>
      <c r="E325">
        <v>8129</v>
      </c>
      <c r="F325">
        <v>222.6</v>
      </c>
      <c r="G325">
        <v>216.86667</v>
      </c>
      <c r="H325">
        <v>1.0264371999999999</v>
      </c>
      <c r="I325">
        <v>-2.6437154000000001E-2</v>
      </c>
      <c r="J325">
        <v>0.49347692999999998</v>
      </c>
    </row>
    <row r="326" spans="1:10" x14ac:dyDescent="0.3">
      <c r="A326">
        <v>324</v>
      </c>
      <c r="B326">
        <v>6139</v>
      </c>
      <c r="C326" t="b">
        <v>1</v>
      </c>
      <c r="D326">
        <v>8030</v>
      </c>
      <c r="E326">
        <v>8129</v>
      </c>
      <c r="F326">
        <v>220.26666</v>
      </c>
      <c r="G326">
        <v>216.86667</v>
      </c>
      <c r="H326">
        <v>1.0156778</v>
      </c>
      <c r="I326">
        <v>-1.5677808000000001E-2</v>
      </c>
      <c r="J326">
        <v>0.49611104</v>
      </c>
    </row>
    <row r="327" spans="1:10" x14ac:dyDescent="0.3">
      <c r="A327">
        <v>325</v>
      </c>
      <c r="B327">
        <v>6155</v>
      </c>
      <c r="C327" t="b">
        <v>1</v>
      </c>
      <c r="D327">
        <v>8071</v>
      </c>
      <c r="E327">
        <v>8164</v>
      </c>
      <c r="F327">
        <v>219.06666999999999</v>
      </c>
      <c r="G327">
        <v>216.86667</v>
      </c>
      <c r="H327">
        <v>1.0101445</v>
      </c>
      <c r="I327">
        <v>-1.0144467000000001E-2</v>
      </c>
      <c r="J327">
        <v>0.49747667000000001</v>
      </c>
    </row>
    <row r="328" spans="1:10" x14ac:dyDescent="0.3">
      <c r="A328">
        <v>326</v>
      </c>
      <c r="B328">
        <v>6186</v>
      </c>
      <c r="C328" t="b">
        <v>1</v>
      </c>
      <c r="D328">
        <v>8048</v>
      </c>
      <c r="E328">
        <v>8117</v>
      </c>
      <c r="F328">
        <v>218.26666</v>
      </c>
      <c r="G328">
        <v>216.86667</v>
      </c>
      <c r="H328">
        <v>1.0064554999999999</v>
      </c>
      <c r="I328">
        <v>-6.4555513999999996E-3</v>
      </c>
      <c r="J328">
        <v>0.49839129999999998</v>
      </c>
    </row>
    <row r="329" spans="1:10" x14ac:dyDescent="0.3">
      <c r="A329">
        <v>327</v>
      </c>
      <c r="B329">
        <v>6202</v>
      </c>
      <c r="C329" t="b">
        <v>1</v>
      </c>
      <c r="D329">
        <v>8048</v>
      </c>
      <c r="E329">
        <v>8123</v>
      </c>
      <c r="F329">
        <v>217.46665999999999</v>
      </c>
      <c r="G329">
        <v>216.86667</v>
      </c>
      <c r="H329">
        <v>1.0027666</v>
      </c>
      <c r="I329">
        <v>-2.7666345999999998E-3</v>
      </c>
      <c r="J329">
        <v>0.49930930000000001</v>
      </c>
    </row>
    <row r="330" spans="1:10" x14ac:dyDescent="0.3">
      <c r="A330">
        <v>328</v>
      </c>
      <c r="B330">
        <v>6218</v>
      </c>
      <c r="C330" t="b">
        <v>1</v>
      </c>
      <c r="D330">
        <v>8054</v>
      </c>
      <c r="E330">
        <v>8117</v>
      </c>
      <c r="F330">
        <v>216.33332999999999</v>
      </c>
      <c r="G330">
        <v>216.46665999999999</v>
      </c>
      <c r="H330">
        <v>0.99938404999999997</v>
      </c>
      <c r="I330">
        <v>6.1594380000000004E-4</v>
      </c>
      <c r="J330">
        <v>0.50015399999999999</v>
      </c>
    </row>
    <row r="331" spans="1:10" x14ac:dyDescent="0.3">
      <c r="A331">
        <v>329</v>
      </c>
      <c r="B331">
        <v>6250</v>
      </c>
      <c r="C331" t="b">
        <v>1</v>
      </c>
      <c r="D331">
        <v>8065</v>
      </c>
      <c r="E331">
        <v>8123</v>
      </c>
      <c r="F331">
        <v>215.6</v>
      </c>
      <c r="G331">
        <v>216.06666999999999</v>
      </c>
      <c r="H331">
        <v>0.99784019999999995</v>
      </c>
      <c r="I331">
        <v>2.1597943000000001E-3</v>
      </c>
      <c r="J331">
        <v>0.50054050000000005</v>
      </c>
    </row>
    <row r="332" spans="1:10" x14ac:dyDescent="0.3">
      <c r="A332">
        <v>330</v>
      </c>
      <c r="B332">
        <v>6281</v>
      </c>
      <c r="C332" t="b">
        <v>1</v>
      </c>
      <c r="D332">
        <v>8083</v>
      </c>
      <c r="E332">
        <v>8134</v>
      </c>
      <c r="F332">
        <v>214.86667</v>
      </c>
      <c r="G332">
        <v>215.66667000000001</v>
      </c>
      <c r="H332">
        <v>0.99629056000000005</v>
      </c>
      <c r="I332">
        <v>3.7094421999999999E-3</v>
      </c>
      <c r="J332">
        <v>0.50092910000000002</v>
      </c>
    </row>
    <row r="333" spans="1:10" x14ac:dyDescent="0.3">
      <c r="A333">
        <v>331</v>
      </c>
      <c r="B333">
        <v>6297</v>
      </c>
      <c r="C333" t="b">
        <v>1</v>
      </c>
      <c r="D333">
        <v>8083</v>
      </c>
      <c r="E333">
        <v>8111</v>
      </c>
      <c r="F333">
        <v>214.86667</v>
      </c>
      <c r="G333">
        <v>214.93333000000001</v>
      </c>
      <c r="H333">
        <v>0.99968979999999996</v>
      </c>
      <c r="I333">
        <v>3.1016894999999999E-4</v>
      </c>
      <c r="J333">
        <v>0.50007754999999998</v>
      </c>
    </row>
    <row r="334" spans="1:10" x14ac:dyDescent="0.3">
      <c r="A334">
        <v>332</v>
      </c>
      <c r="B334">
        <v>6313</v>
      </c>
      <c r="C334" t="b">
        <v>1</v>
      </c>
      <c r="D334">
        <v>8100</v>
      </c>
      <c r="E334">
        <v>8146</v>
      </c>
      <c r="F334">
        <v>216.06666999999999</v>
      </c>
      <c r="G334">
        <v>214.2</v>
      </c>
      <c r="H334">
        <v>1.0087146</v>
      </c>
      <c r="I334">
        <v>-8.7146069999999992E-3</v>
      </c>
      <c r="J334">
        <v>0.49783080000000002</v>
      </c>
    </row>
    <row r="335" spans="1:10" x14ac:dyDescent="0.3">
      <c r="A335">
        <v>333</v>
      </c>
      <c r="B335">
        <v>6328</v>
      </c>
      <c r="C335" t="b">
        <v>1</v>
      </c>
      <c r="D335">
        <v>8083</v>
      </c>
      <c r="E335">
        <v>8146</v>
      </c>
      <c r="F335">
        <v>217.26666</v>
      </c>
      <c r="G335">
        <v>213.8</v>
      </c>
      <c r="H335">
        <v>1.0162145</v>
      </c>
      <c r="I335">
        <v>-1.6214497000000001E-2</v>
      </c>
      <c r="J335">
        <v>0.49597898000000001</v>
      </c>
    </row>
    <row r="336" spans="1:10" x14ac:dyDescent="0.3">
      <c r="A336">
        <v>334</v>
      </c>
      <c r="B336">
        <v>6344</v>
      </c>
      <c r="C336" t="b">
        <v>1</v>
      </c>
      <c r="D336">
        <v>8065</v>
      </c>
      <c r="E336">
        <v>8111</v>
      </c>
      <c r="F336">
        <v>219.2</v>
      </c>
      <c r="G336">
        <v>213.4</v>
      </c>
      <c r="H336">
        <v>1.0271790000000001</v>
      </c>
      <c r="I336">
        <v>-2.7179021000000001E-2</v>
      </c>
      <c r="J336">
        <v>0.49329635999999999</v>
      </c>
    </row>
    <row r="337" spans="1:10" x14ac:dyDescent="0.3">
      <c r="A337">
        <v>335</v>
      </c>
      <c r="B337">
        <v>6360</v>
      </c>
      <c r="C337" t="b">
        <v>1</v>
      </c>
      <c r="D337">
        <v>8060</v>
      </c>
      <c r="E337">
        <v>8129</v>
      </c>
      <c r="F337">
        <v>221.53334000000001</v>
      </c>
      <c r="G337">
        <v>212.66667000000001</v>
      </c>
      <c r="H337">
        <v>1.0416928999999999</v>
      </c>
      <c r="I337">
        <v>-4.1692796999999997E-2</v>
      </c>
      <c r="J337">
        <v>0.48978962999999998</v>
      </c>
    </row>
    <row r="338" spans="1:10" x14ac:dyDescent="0.3">
      <c r="A338">
        <v>336</v>
      </c>
      <c r="B338">
        <v>6375</v>
      </c>
      <c r="C338" t="b">
        <v>1</v>
      </c>
      <c r="D338">
        <v>8042</v>
      </c>
      <c r="E338">
        <v>8158</v>
      </c>
      <c r="F338">
        <v>222.66667000000001</v>
      </c>
      <c r="G338">
        <v>213.8</v>
      </c>
      <c r="H338">
        <v>1.0414718000000001</v>
      </c>
      <c r="I338">
        <v>-4.1471790000000001E-2</v>
      </c>
      <c r="J338">
        <v>0.48984267999999997</v>
      </c>
    </row>
    <row r="339" spans="1:10" x14ac:dyDescent="0.3">
      <c r="A339">
        <v>337</v>
      </c>
      <c r="B339">
        <v>6391</v>
      </c>
      <c r="C339" t="b">
        <v>1</v>
      </c>
      <c r="D339">
        <v>8111</v>
      </c>
      <c r="E339">
        <v>8129</v>
      </c>
      <c r="F339">
        <v>222.66667000000001</v>
      </c>
      <c r="G339">
        <v>213.8</v>
      </c>
      <c r="H339">
        <v>1.0414718000000001</v>
      </c>
      <c r="I339">
        <v>-4.1471790000000001E-2</v>
      </c>
      <c r="J339">
        <v>0.48984267999999997</v>
      </c>
    </row>
    <row r="340" spans="1:10" x14ac:dyDescent="0.3">
      <c r="A340">
        <v>338</v>
      </c>
      <c r="B340">
        <v>6407</v>
      </c>
      <c r="C340" t="b">
        <v>1</v>
      </c>
      <c r="D340">
        <v>8094</v>
      </c>
      <c r="E340">
        <v>8129</v>
      </c>
      <c r="F340">
        <v>223.8</v>
      </c>
      <c r="G340">
        <v>213.8</v>
      </c>
      <c r="H340">
        <v>1.0467727</v>
      </c>
      <c r="I340">
        <v>-4.6772685000000001E-2</v>
      </c>
      <c r="J340">
        <v>0.48857402999999999</v>
      </c>
    </row>
    <row r="341" spans="1:10" x14ac:dyDescent="0.3">
      <c r="A341">
        <v>339</v>
      </c>
      <c r="B341">
        <v>6423</v>
      </c>
      <c r="C341" t="b">
        <v>1</v>
      </c>
      <c r="D341">
        <v>8083</v>
      </c>
      <c r="E341">
        <v>8134</v>
      </c>
      <c r="F341">
        <v>226.13333</v>
      </c>
      <c r="G341">
        <v>213.8</v>
      </c>
      <c r="H341">
        <v>1.0576863000000001</v>
      </c>
      <c r="I341">
        <v>-5.7686288000000002E-2</v>
      </c>
      <c r="J341">
        <v>0.48598271999999998</v>
      </c>
    </row>
    <row r="342" spans="1:10" x14ac:dyDescent="0.3">
      <c r="A342">
        <v>340</v>
      </c>
      <c r="B342">
        <v>6439</v>
      </c>
      <c r="C342" t="b">
        <v>1</v>
      </c>
      <c r="D342">
        <v>8071</v>
      </c>
      <c r="E342">
        <v>8129</v>
      </c>
      <c r="F342">
        <v>227.33332999999999</v>
      </c>
      <c r="G342">
        <v>213.8</v>
      </c>
      <c r="H342">
        <v>1.063299</v>
      </c>
      <c r="I342">
        <v>-6.3298989999999999E-2</v>
      </c>
      <c r="J342">
        <v>0.48466073999999998</v>
      </c>
    </row>
    <row r="343" spans="1:10" x14ac:dyDescent="0.3">
      <c r="A343">
        <v>341</v>
      </c>
      <c r="B343">
        <v>6455</v>
      </c>
      <c r="C343" t="b">
        <v>1</v>
      </c>
      <c r="D343">
        <v>8106</v>
      </c>
      <c r="E343">
        <v>8105</v>
      </c>
      <c r="F343">
        <v>230.4</v>
      </c>
      <c r="G343">
        <v>213.8</v>
      </c>
      <c r="H343">
        <v>1.0776425999999999</v>
      </c>
      <c r="I343">
        <v>-7.7642610000000001E-2</v>
      </c>
      <c r="J343">
        <v>0.48131471999999997</v>
      </c>
    </row>
    <row r="344" spans="1:10" x14ac:dyDescent="0.3">
      <c r="A344">
        <v>342</v>
      </c>
      <c r="B344">
        <v>6471</v>
      </c>
      <c r="C344" t="b">
        <v>1</v>
      </c>
      <c r="D344">
        <v>8088</v>
      </c>
      <c r="E344">
        <v>8140</v>
      </c>
      <c r="F344">
        <v>233.06666999999999</v>
      </c>
      <c r="G344">
        <v>213.8</v>
      </c>
      <c r="H344">
        <v>1.0901152999999999</v>
      </c>
      <c r="I344">
        <v>-9.0115349999999997E-2</v>
      </c>
      <c r="J344">
        <v>0.47844249999999999</v>
      </c>
    </row>
    <row r="345" spans="1:10" x14ac:dyDescent="0.3">
      <c r="A345">
        <v>343</v>
      </c>
      <c r="B345">
        <v>6502</v>
      </c>
      <c r="C345" t="b">
        <v>1</v>
      </c>
      <c r="D345">
        <v>8042</v>
      </c>
      <c r="E345">
        <v>8123</v>
      </c>
      <c r="F345">
        <v>235.4</v>
      </c>
      <c r="G345">
        <v>214.2</v>
      </c>
      <c r="H345">
        <v>1.0989728999999999</v>
      </c>
      <c r="I345">
        <v>-9.8972909999999997E-2</v>
      </c>
      <c r="J345">
        <v>0.4764235</v>
      </c>
    </row>
    <row r="346" spans="1:10" x14ac:dyDescent="0.3">
      <c r="A346">
        <v>344</v>
      </c>
      <c r="B346">
        <v>6518</v>
      </c>
      <c r="C346" t="b">
        <v>1</v>
      </c>
      <c r="D346">
        <v>8054</v>
      </c>
      <c r="E346">
        <v>8105</v>
      </c>
      <c r="F346">
        <v>236.53334000000001</v>
      </c>
      <c r="G346">
        <v>214.2</v>
      </c>
      <c r="H346">
        <v>1.1042639999999999</v>
      </c>
      <c r="I346">
        <v>-0.10426397599999999</v>
      </c>
      <c r="J346">
        <v>0.47522554</v>
      </c>
    </row>
    <row r="347" spans="1:10" x14ac:dyDescent="0.3">
      <c r="A347">
        <v>345</v>
      </c>
      <c r="B347">
        <v>6550</v>
      </c>
      <c r="C347" t="b">
        <v>1</v>
      </c>
      <c r="D347">
        <v>8071</v>
      </c>
      <c r="E347">
        <v>8111</v>
      </c>
      <c r="F347">
        <v>237.66667000000001</v>
      </c>
      <c r="G347">
        <v>213.4</v>
      </c>
      <c r="H347">
        <v>1.1137146</v>
      </c>
      <c r="I347">
        <v>-0.11371452</v>
      </c>
      <c r="J347">
        <v>0.47310079999999999</v>
      </c>
    </row>
    <row r="348" spans="1:10" x14ac:dyDescent="0.3">
      <c r="A348">
        <v>346</v>
      </c>
      <c r="B348">
        <v>6582</v>
      </c>
      <c r="C348" t="b">
        <v>1</v>
      </c>
      <c r="D348">
        <v>8042</v>
      </c>
      <c r="E348">
        <v>8099</v>
      </c>
      <c r="F348">
        <v>236.93333000000001</v>
      </c>
      <c r="G348">
        <v>212.6</v>
      </c>
      <c r="H348">
        <v>1.1144559000000001</v>
      </c>
      <c r="I348">
        <v>-0.114455916</v>
      </c>
      <c r="J348">
        <v>0.47293492999999998</v>
      </c>
    </row>
    <row r="349" spans="1:10" x14ac:dyDescent="0.3">
      <c r="A349">
        <v>347</v>
      </c>
      <c r="B349">
        <v>6614</v>
      </c>
      <c r="C349" t="b">
        <v>1</v>
      </c>
      <c r="D349">
        <v>8065</v>
      </c>
      <c r="E349">
        <v>8129</v>
      </c>
      <c r="F349">
        <v>235</v>
      </c>
      <c r="G349">
        <v>211.8</v>
      </c>
      <c r="H349">
        <v>1.1095371999999999</v>
      </c>
      <c r="I349">
        <v>-0.10953728</v>
      </c>
      <c r="J349">
        <v>0.47403761999999999</v>
      </c>
    </row>
    <row r="350" spans="1:10" x14ac:dyDescent="0.3">
      <c r="A350">
        <v>348</v>
      </c>
      <c r="B350">
        <v>6645</v>
      </c>
      <c r="C350" t="b">
        <v>1</v>
      </c>
      <c r="D350">
        <v>8077</v>
      </c>
      <c r="E350">
        <v>8129</v>
      </c>
      <c r="F350">
        <v>233.8</v>
      </c>
      <c r="G350">
        <v>210.26666</v>
      </c>
      <c r="H350">
        <v>1.1119213999999999</v>
      </c>
      <c r="I350">
        <v>-0.11192141</v>
      </c>
      <c r="J350">
        <v>0.47350249999999999</v>
      </c>
    </row>
    <row r="351" spans="1:10" x14ac:dyDescent="0.3">
      <c r="A351">
        <v>349</v>
      </c>
      <c r="B351">
        <v>6661</v>
      </c>
      <c r="C351" t="b">
        <v>1</v>
      </c>
      <c r="D351">
        <v>8065</v>
      </c>
      <c r="E351">
        <v>8111</v>
      </c>
      <c r="F351">
        <v>232.6</v>
      </c>
      <c r="G351">
        <v>208.73334</v>
      </c>
      <c r="H351">
        <v>1.1143403999999999</v>
      </c>
      <c r="I351">
        <v>-0.11434047999999999</v>
      </c>
      <c r="J351">
        <v>0.47296070000000001</v>
      </c>
    </row>
    <row r="352" spans="1:10" x14ac:dyDescent="0.3">
      <c r="A352">
        <v>350</v>
      </c>
      <c r="B352">
        <v>6692</v>
      </c>
      <c r="C352" t="b">
        <v>1</v>
      </c>
      <c r="D352">
        <v>8037</v>
      </c>
      <c r="E352">
        <v>8158</v>
      </c>
      <c r="F352">
        <v>231.4</v>
      </c>
      <c r="G352">
        <v>208.73334</v>
      </c>
      <c r="H352">
        <v>1.1085913999999999</v>
      </c>
      <c r="I352">
        <v>-0.10859145000000001</v>
      </c>
      <c r="J352">
        <v>0.47425022999999999</v>
      </c>
    </row>
    <row r="353" spans="1:10" x14ac:dyDescent="0.3">
      <c r="A353">
        <v>351</v>
      </c>
      <c r="B353">
        <v>6708</v>
      </c>
      <c r="C353" t="b">
        <v>1</v>
      </c>
      <c r="D353">
        <v>8042</v>
      </c>
      <c r="E353">
        <v>8140</v>
      </c>
      <c r="F353">
        <v>231.4</v>
      </c>
      <c r="G353">
        <v>207.6</v>
      </c>
      <c r="H353">
        <v>1.1146434999999999</v>
      </c>
      <c r="I353">
        <v>-0.114643484</v>
      </c>
      <c r="J353">
        <v>0.47289293999999998</v>
      </c>
    </row>
    <row r="354" spans="1:10" x14ac:dyDescent="0.3">
      <c r="A354">
        <v>352</v>
      </c>
      <c r="B354">
        <v>6724</v>
      </c>
      <c r="C354" t="b">
        <v>1</v>
      </c>
      <c r="D354">
        <v>8100</v>
      </c>
      <c r="E354">
        <v>8099</v>
      </c>
      <c r="F354">
        <v>231.4</v>
      </c>
      <c r="G354">
        <v>207.6</v>
      </c>
      <c r="H354">
        <v>1.1146434999999999</v>
      </c>
      <c r="I354">
        <v>-0.114643484</v>
      </c>
      <c r="J354">
        <v>0.47289293999999998</v>
      </c>
    </row>
    <row r="355" spans="1:10" x14ac:dyDescent="0.3">
      <c r="A355">
        <v>353</v>
      </c>
      <c r="B355">
        <v>6740</v>
      </c>
      <c r="C355" t="b">
        <v>1</v>
      </c>
      <c r="D355">
        <v>8048</v>
      </c>
      <c r="E355">
        <v>8123</v>
      </c>
      <c r="F355">
        <v>230.26666</v>
      </c>
      <c r="G355">
        <v>207.2</v>
      </c>
      <c r="H355">
        <v>1.1113256</v>
      </c>
      <c r="I355">
        <v>-0.11132561000000001</v>
      </c>
      <c r="J355">
        <v>0.47363606000000003</v>
      </c>
    </row>
    <row r="356" spans="1:10" x14ac:dyDescent="0.3">
      <c r="A356">
        <v>354</v>
      </c>
      <c r="B356">
        <v>6755</v>
      </c>
      <c r="C356" t="b">
        <v>1</v>
      </c>
      <c r="D356">
        <v>8088</v>
      </c>
      <c r="E356">
        <v>8146</v>
      </c>
      <c r="F356">
        <v>227.93333000000001</v>
      </c>
      <c r="G356">
        <v>207.93333000000001</v>
      </c>
      <c r="H356">
        <v>1.0961847</v>
      </c>
      <c r="I356">
        <v>-9.618467E-2</v>
      </c>
      <c r="J356">
        <v>0.47705722</v>
      </c>
    </row>
    <row r="357" spans="1:10" x14ac:dyDescent="0.3">
      <c r="A357">
        <v>355</v>
      </c>
      <c r="B357">
        <v>6771</v>
      </c>
      <c r="C357" t="b">
        <v>1</v>
      </c>
      <c r="D357">
        <v>8065</v>
      </c>
      <c r="E357">
        <v>8146</v>
      </c>
      <c r="F357">
        <v>226.73334</v>
      </c>
      <c r="G357">
        <v>208.66667000000001</v>
      </c>
      <c r="H357">
        <v>1.0865815000000001</v>
      </c>
      <c r="I357">
        <v>-8.6581459999999999E-2</v>
      </c>
      <c r="J357">
        <v>0.47925279999999998</v>
      </c>
    </row>
    <row r="358" spans="1:10" x14ac:dyDescent="0.3">
      <c r="A358">
        <v>356</v>
      </c>
      <c r="B358">
        <v>6787</v>
      </c>
      <c r="C358" t="b">
        <v>1</v>
      </c>
      <c r="D358">
        <v>8111</v>
      </c>
      <c r="E358">
        <v>8111</v>
      </c>
      <c r="F358">
        <v>226.33332999999999</v>
      </c>
      <c r="G358">
        <v>208.26666</v>
      </c>
      <c r="H358">
        <v>1.0867477999999999</v>
      </c>
      <c r="I358">
        <v>-8.6747759999999993E-2</v>
      </c>
      <c r="J358">
        <v>0.47921459999999999</v>
      </c>
    </row>
    <row r="359" spans="1:10" x14ac:dyDescent="0.3">
      <c r="A359">
        <v>357</v>
      </c>
      <c r="B359">
        <v>6803</v>
      </c>
      <c r="C359" t="b">
        <v>1</v>
      </c>
      <c r="D359">
        <v>8083</v>
      </c>
      <c r="E359">
        <v>8134</v>
      </c>
      <c r="F359">
        <v>226</v>
      </c>
      <c r="G359">
        <v>208.6</v>
      </c>
      <c r="H359">
        <v>1.0834132000000001</v>
      </c>
      <c r="I359">
        <v>-8.3413200000000007E-2</v>
      </c>
      <c r="J359">
        <v>0.47998160000000001</v>
      </c>
    </row>
    <row r="360" spans="1:10" x14ac:dyDescent="0.3">
      <c r="A360">
        <v>358</v>
      </c>
      <c r="B360">
        <v>6819</v>
      </c>
      <c r="C360" t="b">
        <v>1</v>
      </c>
      <c r="D360">
        <v>8117</v>
      </c>
      <c r="E360">
        <v>8129</v>
      </c>
      <c r="F360">
        <v>226.33332999999999</v>
      </c>
      <c r="G360">
        <v>208.93333000000001</v>
      </c>
      <c r="H360">
        <v>1.0832801000000001</v>
      </c>
      <c r="I360">
        <v>-8.3280123999999997E-2</v>
      </c>
      <c r="J360">
        <v>0.48001227000000002</v>
      </c>
    </row>
    <row r="361" spans="1:10" x14ac:dyDescent="0.3">
      <c r="A361">
        <v>359</v>
      </c>
      <c r="B361">
        <v>6835</v>
      </c>
      <c r="C361" t="b">
        <v>1</v>
      </c>
      <c r="D361">
        <v>8042</v>
      </c>
      <c r="E361">
        <v>8140</v>
      </c>
      <c r="F361">
        <v>227.13333</v>
      </c>
      <c r="G361">
        <v>209.66667000000001</v>
      </c>
      <c r="H361">
        <v>1.0833067999999999</v>
      </c>
      <c r="I361">
        <v>-8.33068E-2</v>
      </c>
      <c r="J361">
        <v>0.48000612999999998</v>
      </c>
    </row>
    <row r="362" spans="1:10" x14ac:dyDescent="0.3">
      <c r="A362">
        <v>360</v>
      </c>
      <c r="B362">
        <v>6851</v>
      </c>
      <c r="C362" t="b">
        <v>1</v>
      </c>
      <c r="D362">
        <v>8011</v>
      </c>
      <c r="E362">
        <v>8111</v>
      </c>
      <c r="F362">
        <v>227.93333000000001</v>
      </c>
      <c r="G362">
        <v>210.86667</v>
      </c>
      <c r="H362">
        <v>1.0809358</v>
      </c>
      <c r="I362">
        <v>-8.0935809999999997E-2</v>
      </c>
      <c r="J362">
        <v>0.48055302999999999</v>
      </c>
    </row>
    <row r="363" spans="1:10" x14ac:dyDescent="0.3">
      <c r="A363">
        <v>361</v>
      </c>
      <c r="B363">
        <v>6867</v>
      </c>
      <c r="C363" t="b">
        <v>1</v>
      </c>
      <c r="D363">
        <v>8094</v>
      </c>
      <c r="E363">
        <v>8140</v>
      </c>
      <c r="F363">
        <v>229.86667</v>
      </c>
      <c r="G363">
        <v>212.4</v>
      </c>
      <c r="H363">
        <v>1.0822349</v>
      </c>
      <c r="I363">
        <v>-8.2234815000000003E-2</v>
      </c>
      <c r="J363">
        <v>0.48025321999999998</v>
      </c>
    </row>
    <row r="364" spans="1:10" x14ac:dyDescent="0.3">
      <c r="A364">
        <v>362</v>
      </c>
      <c r="B364">
        <v>6898</v>
      </c>
      <c r="C364" t="b">
        <v>1</v>
      </c>
      <c r="D364">
        <v>8060</v>
      </c>
      <c r="E364">
        <v>8134</v>
      </c>
      <c r="F364">
        <v>230.26666</v>
      </c>
      <c r="G364">
        <v>213.93333000000001</v>
      </c>
      <c r="H364">
        <v>1.0763476999999999</v>
      </c>
      <c r="I364">
        <v>-7.6347745999999994E-2</v>
      </c>
      <c r="J364">
        <v>0.48161490000000001</v>
      </c>
    </row>
    <row r="365" spans="1:10" x14ac:dyDescent="0.3">
      <c r="A365">
        <v>363</v>
      </c>
      <c r="B365">
        <v>6914</v>
      </c>
      <c r="C365" t="b">
        <v>1</v>
      </c>
      <c r="D365">
        <v>8054</v>
      </c>
      <c r="E365">
        <v>8099</v>
      </c>
      <c r="F365">
        <v>229.53334000000001</v>
      </c>
      <c r="G365">
        <v>215.46665999999999</v>
      </c>
      <c r="H365">
        <v>1.0652847000000001</v>
      </c>
      <c r="I365">
        <v>-6.5284720000000004E-2</v>
      </c>
      <c r="J365">
        <v>0.48419473000000002</v>
      </c>
    </row>
    <row r="366" spans="1:10" x14ac:dyDescent="0.3">
      <c r="A366">
        <v>364</v>
      </c>
      <c r="B366">
        <v>6930</v>
      </c>
      <c r="C366" t="b">
        <v>1</v>
      </c>
      <c r="D366">
        <v>8077</v>
      </c>
      <c r="E366">
        <v>8093</v>
      </c>
      <c r="F366">
        <v>229.2</v>
      </c>
      <c r="G366">
        <v>215.46665999999999</v>
      </c>
      <c r="H366">
        <v>1.0637376000000001</v>
      </c>
      <c r="I366">
        <v>-6.3737645999999995E-2</v>
      </c>
      <c r="J366">
        <v>0.48455772000000003</v>
      </c>
    </row>
    <row r="367" spans="1:10" x14ac:dyDescent="0.3">
      <c r="A367">
        <v>365</v>
      </c>
      <c r="B367">
        <v>6946</v>
      </c>
      <c r="C367" t="b">
        <v>1</v>
      </c>
      <c r="D367">
        <v>8065</v>
      </c>
      <c r="E367">
        <v>8111</v>
      </c>
      <c r="F367">
        <v>229.2</v>
      </c>
      <c r="G367">
        <v>214.26666</v>
      </c>
      <c r="H367">
        <v>1.0696950999999999</v>
      </c>
      <c r="I367">
        <v>-6.9695090000000001E-2</v>
      </c>
      <c r="J367">
        <v>0.48316293999999999</v>
      </c>
    </row>
    <row r="368" spans="1:10" x14ac:dyDescent="0.3">
      <c r="A368">
        <v>366</v>
      </c>
      <c r="B368">
        <v>6962</v>
      </c>
      <c r="C368" t="b">
        <v>1</v>
      </c>
      <c r="D368">
        <v>8054</v>
      </c>
      <c r="E368">
        <v>8129</v>
      </c>
      <c r="F368">
        <v>228.86667</v>
      </c>
      <c r="G368">
        <v>213.06666999999999</v>
      </c>
      <c r="H368">
        <v>1.0741552000000001</v>
      </c>
      <c r="I368">
        <v>-7.4155209999999999E-2</v>
      </c>
      <c r="J368">
        <v>0.48212397000000001</v>
      </c>
    </row>
    <row r="369" spans="1:10" x14ac:dyDescent="0.3">
      <c r="A369">
        <v>367</v>
      </c>
      <c r="B369">
        <v>6978</v>
      </c>
      <c r="C369" t="b">
        <v>1</v>
      </c>
      <c r="D369">
        <v>8042</v>
      </c>
      <c r="E369">
        <v>8105</v>
      </c>
      <c r="F369">
        <v>228.13333</v>
      </c>
      <c r="G369">
        <v>211.46665999999999</v>
      </c>
      <c r="H369">
        <v>1.0788146000000001</v>
      </c>
      <c r="I369">
        <v>-7.8814655999999997E-2</v>
      </c>
      <c r="J369">
        <v>0.48104337000000003</v>
      </c>
    </row>
    <row r="370" spans="1:10" x14ac:dyDescent="0.3">
      <c r="A370">
        <v>368</v>
      </c>
      <c r="B370">
        <v>6994</v>
      </c>
      <c r="C370" t="b">
        <v>1</v>
      </c>
      <c r="D370">
        <v>8060</v>
      </c>
      <c r="E370">
        <v>8099</v>
      </c>
      <c r="F370">
        <v>228.93333000000001</v>
      </c>
      <c r="G370">
        <v>210.26666</v>
      </c>
      <c r="H370">
        <v>1.0887762000000001</v>
      </c>
      <c r="I370">
        <v>-8.8776186000000007E-2</v>
      </c>
      <c r="J370">
        <v>0.47874921999999998</v>
      </c>
    </row>
    <row r="371" spans="1:10" x14ac:dyDescent="0.3">
      <c r="A371">
        <v>369</v>
      </c>
      <c r="B371">
        <v>7010</v>
      </c>
      <c r="C371" t="b">
        <v>1</v>
      </c>
      <c r="D371">
        <v>8083</v>
      </c>
      <c r="E371">
        <v>8099</v>
      </c>
      <c r="F371">
        <v>229.73334</v>
      </c>
      <c r="G371">
        <v>207.93333000000001</v>
      </c>
      <c r="H371">
        <v>1.1048414</v>
      </c>
      <c r="I371">
        <v>-0.10484130999999999</v>
      </c>
      <c r="J371">
        <v>0.47509518000000001</v>
      </c>
    </row>
    <row r="372" spans="1:10" x14ac:dyDescent="0.3">
      <c r="A372">
        <v>370</v>
      </c>
      <c r="B372">
        <v>7025</v>
      </c>
      <c r="C372" t="b">
        <v>1</v>
      </c>
      <c r="D372">
        <v>8077</v>
      </c>
      <c r="E372">
        <v>8117</v>
      </c>
      <c r="F372">
        <v>229.4</v>
      </c>
      <c r="G372">
        <v>205.6</v>
      </c>
      <c r="H372">
        <v>1.1157587</v>
      </c>
      <c r="I372">
        <v>-0.11575869499999999</v>
      </c>
      <c r="J372">
        <v>0.4726437</v>
      </c>
    </row>
    <row r="373" spans="1:10" x14ac:dyDescent="0.3">
      <c r="A373">
        <v>371</v>
      </c>
      <c r="B373">
        <v>7042</v>
      </c>
      <c r="C373" t="b">
        <v>1</v>
      </c>
      <c r="D373">
        <v>8065</v>
      </c>
      <c r="E373">
        <v>8123</v>
      </c>
      <c r="F373">
        <v>227.86667</v>
      </c>
      <c r="G373">
        <v>204.4</v>
      </c>
      <c r="H373">
        <v>1.1148076</v>
      </c>
      <c r="I373">
        <v>-0.11480761</v>
      </c>
      <c r="J373">
        <v>0.47285624999999998</v>
      </c>
    </row>
    <row r="374" spans="1:10" x14ac:dyDescent="0.3">
      <c r="A374">
        <v>372</v>
      </c>
      <c r="B374">
        <v>7058</v>
      </c>
      <c r="C374" t="b">
        <v>1</v>
      </c>
      <c r="D374">
        <v>8054</v>
      </c>
      <c r="E374">
        <v>8087</v>
      </c>
      <c r="F374">
        <v>226.66667000000001</v>
      </c>
      <c r="G374">
        <v>202.06666999999999</v>
      </c>
      <c r="H374">
        <v>1.121742</v>
      </c>
      <c r="I374">
        <v>-0.12174203</v>
      </c>
      <c r="J374">
        <v>0.47131082000000002</v>
      </c>
    </row>
    <row r="375" spans="1:10" x14ac:dyDescent="0.3">
      <c r="A375">
        <v>373</v>
      </c>
      <c r="B375">
        <v>7074</v>
      </c>
      <c r="C375" t="b">
        <v>1</v>
      </c>
      <c r="D375">
        <v>8042</v>
      </c>
      <c r="E375">
        <v>8134</v>
      </c>
      <c r="F375">
        <v>225.13333</v>
      </c>
      <c r="G375">
        <v>200.93333000000001</v>
      </c>
      <c r="H375">
        <v>1.120438</v>
      </c>
      <c r="I375">
        <v>-0.12043793999999999</v>
      </c>
      <c r="J375">
        <v>0.47160069999999998</v>
      </c>
    </row>
    <row r="376" spans="1:10" x14ac:dyDescent="0.3">
      <c r="A376">
        <v>374</v>
      </c>
      <c r="B376">
        <v>7090</v>
      </c>
      <c r="C376" t="b">
        <v>1</v>
      </c>
      <c r="D376">
        <v>8048</v>
      </c>
      <c r="E376">
        <v>8111</v>
      </c>
      <c r="F376">
        <v>223.2</v>
      </c>
      <c r="G376">
        <v>199.8</v>
      </c>
      <c r="H376">
        <v>1.1171169999999999</v>
      </c>
      <c r="I376">
        <v>-0.117117085</v>
      </c>
      <c r="J376">
        <v>0.47234042999999998</v>
      </c>
    </row>
    <row r="377" spans="1:10" x14ac:dyDescent="0.3">
      <c r="A377">
        <v>375</v>
      </c>
      <c r="B377">
        <v>7105</v>
      </c>
      <c r="C377" t="b">
        <v>1</v>
      </c>
      <c r="D377">
        <v>8060</v>
      </c>
      <c r="E377">
        <v>8140</v>
      </c>
      <c r="F377">
        <v>221.26666</v>
      </c>
      <c r="G377">
        <v>199.4</v>
      </c>
      <c r="H377">
        <v>1.1096623000000001</v>
      </c>
      <c r="I377">
        <v>-0.10966233</v>
      </c>
      <c r="J377">
        <v>0.47400949999999997</v>
      </c>
    </row>
    <row r="378" spans="1:10" x14ac:dyDescent="0.3">
      <c r="A378">
        <v>376</v>
      </c>
      <c r="B378">
        <v>7121</v>
      </c>
      <c r="C378" t="b">
        <v>1</v>
      </c>
      <c r="D378">
        <v>8048</v>
      </c>
      <c r="E378">
        <v>8111</v>
      </c>
      <c r="F378">
        <v>218.93333000000001</v>
      </c>
      <c r="G378">
        <v>197.86667</v>
      </c>
      <c r="H378">
        <v>1.1064689999999999</v>
      </c>
      <c r="I378">
        <v>-0.10646899999999999</v>
      </c>
      <c r="J378">
        <v>0.47472809999999999</v>
      </c>
    </row>
    <row r="379" spans="1:10" x14ac:dyDescent="0.3">
      <c r="A379">
        <v>377</v>
      </c>
      <c r="B379">
        <v>7137</v>
      </c>
      <c r="C379" t="b">
        <v>1</v>
      </c>
      <c r="D379">
        <v>8042</v>
      </c>
      <c r="E379">
        <v>8099</v>
      </c>
      <c r="F379">
        <v>218.13333</v>
      </c>
      <c r="G379">
        <v>196.33332999999999</v>
      </c>
      <c r="H379">
        <v>1.1110357</v>
      </c>
      <c r="I379">
        <v>-0.111035675</v>
      </c>
      <c r="J379">
        <v>0.47370111999999998</v>
      </c>
    </row>
    <row r="380" spans="1:10" x14ac:dyDescent="0.3">
      <c r="A380">
        <v>378</v>
      </c>
      <c r="B380">
        <v>7153</v>
      </c>
      <c r="C380" t="b">
        <v>1</v>
      </c>
      <c r="D380">
        <v>8100</v>
      </c>
      <c r="E380">
        <v>8129</v>
      </c>
      <c r="F380">
        <v>217.73334</v>
      </c>
      <c r="G380">
        <v>194.8</v>
      </c>
      <c r="H380">
        <v>1.1177276</v>
      </c>
      <c r="I380">
        <v>-0.117727585</v>
      </c>
      <c r="J380">
        <v>0.47220430000000002</v>
      </c>
    </row>
    <row r="381" spans="1:10" x14ac:dyDescent="0.3">
      <c r="A381">
        <v>379</v>
      </c>
      <c r="B381">
        <v>7169</v>
      </c>
      <c r="C381" t="b">
        <v>1</v>
      </c>
      <c r="D381">
        <v>8065</v>
      </c>
      <c r="E381">
        <v>8129</v>
      </c>
      <c r="F381">
        <v>217.73334</v>
      </c>
      <c r="G381">
        <v>196</v>
      </c>
      <c r="H381">
        <v>1.1108844</v>
      </c>
      <c r="I381">
        <v>-0.11088437600000001</v>
      </c>
      <c r="J381">
        <v>0.47373510000000002</v>
      </c>
    </row>
    <row r="382" spans="1:10" x14ac:dyDescent="0.3">
      <c r="A382">
        <v>380</v>
      </c>
      <c r="B382">
        <v>7185</v>
      </c>
      <c r="C382" t="b">
        <v>1</v>
      </c>
      <c r="D382">
        <v>8030</v>
      </c>
      <c r="E382">
        <v>8123</v>
      </c>
      <c r="F382">
        <v>216.6</v>
      </c>
      <c r="G382">
        <v>196.8</v>
      </c>
      <c r="H382">
        <v>1.1006098</v>
      </c>
      <c r="I382">
        <v>-0.10060977</v>
      </c>
      <c r="J382">
        <v>0.47605222000000003</v>
      </c>
    </row>
    <row r="383" spans="1:10" x14ac:dyDescent="0.3">
      <c r="A383">
        <v>381</v>
      </c>
      <c r="B383">
        <v>7201</v>
      </c>
      <c r="C383" t="b">
        <v>1</v>
      </c>
      <c r="D383">
        <v>8048</v>
      </c>
      <c r="E383">
        <v>8099</v>
      </c>
      <c r="F383">
        <v>215.8</v>
      </c>
      <c r="G383">
        <v>197.6</v>
      </c>
      <c r="H383">
        <v>1.0921053000000001</v>
      </c>
      <c r="I383">
        <v>-9.210525E-2</v>
      </c>
      <c r="J383">
        <v>0.47798740000000001</v>
      </c>
    </row>
    <row r="384" spans="1:10" x14ac:dyDescent="0.3">
      <c r="A384">
        <v>382</v>
      </c>
      <c r="B384">
        <v>7217</v>
      </c>
      <c r="C384" t="b">
        <v>1</v>
      </c>
      <c r="D384">
        <v>8077</v>
      </c>
      <c r="E384">
        <v>8129</v>
      </c>
      <c r="F384">
        <v>216.53334000000001</v>
      </c>
      <c r="G384">
        <v>199.2</v>
      </c>
      <c r="H384">
        <v>1.0870147999999999</v>
      </c>
      <c r="I384">
        <v>-8.701478E-2</v>
      </c>
      <c r="J384">
        <v>0.4791533</v>
      </c>
    </row>
    <row r="385" spans="1:10" x14ac:dyDescent="0.3">
      <c r="A385">
        <v>383</v>
      </c>
      <c r="B385">
        <v>7248</v>
      </c>
      <c r="C385" t="b">
        <v>1</v>
      </c>
      <c r="D385">
        <v>8083</v>
      </c>
      <c r="E385">
        <v>8123</v>
      </c>
      <c r="F385">
        <v>216.86667</v>
      </c>
      <c r="G385">
        <v>200.4</v>
      </c>
      <c r="H385">
        <v>1.0821689999999999</v>
      </c>
      <c r="I385">
        <v>-8.2169039999999999E-2</v>
      </c>
      <c r="J385">
        <v>0.48026839999999998</v>
      </c>
    </row>
    <row r="386" spans="1:10" x14ac:dyDescent="0.3">
      <c r="A386">
        <v>384</v>
      </c>
      <c r="B386">
        <v>7264</v>
      </c>
      <c r="C386" t="b">
        <v>1</v>
      </c>
      <c r="D386">
        <v>8094</v>
      </c>
      <c r="E386">
        <v>8123</v>
      </c>
      <c r="F386">
        <v>218</v>
      </c>
      <c r="G386">
        <v>201.6</v>
      </c>
      <c r="H386">
        <v>1.0813491</v>
      </c>
      <c r="I386">
        <v>-8.1349169999999998E-2</v>
      </c>
      <c r="J386">
        <v>0.48045757</v>
      </c>
    </row>
    <row r="387" spans="1:10" x14ac:dyDescent="0.3">
      <c r="A387">
        <v>385</v>
      </c>
      <c r="B387">
        <v>7280</v>
      </c>
      <c r="C387" t="b">
        <v>1</v>
      </c>
      <c r="D387">
        <v>8060</v>
      </c>
      <c r="E387">
        <v>8111</v>
      </c>
      <c r="F387">
        <v>219.13333</v>
      </c>
      <c r="G387">
        <v>202.8</v>
      </c>
      <c r="H387">
        <v>1.0805391</v>
      </c>
      <c r="I387">
        <v>-8.0539089999999994E-2</v>
      </c>
      <c r="J387">
        <v>0.48064464000000001</v>
      </c>
    </row>
    <row r="388" spans="1:10" x14ac:dyDescent="0.3">
      <c r="A388">
        <v>386</v>
      </c>
      <c r="B388">
        <v>7296</v>
      </c>
      <c r="C388" t="b">
        <v>1</v>
      </c>
      <c r="D388">
        <v>8100</v>
      </c>
      <c r="E388">
        <v>8111</v>
      </c>
      <c r="F388">
        <v>220.33332999999999</v>
      </c>
      <c r="G388">
        <v>204</v>
      </c>
      <c r="H388">
        <v>1.0800654000000001</v>
      </c>
      <c r="I388">
        <v>-8.0065330000000004E-2</v>
      </c>
      <c r="J388">
        <v>0.48075414</v>
      </c>
    </row>
    <row r="389" spans="1:10" x14ac:dyDescent="0.3">
      <c r="A389">
        <v>387</v>
      </c>
      <c r="B389">
        <v>7312</v>
      </c>
      <c r="C389" t="b">
        <v>1</v>
      </c>
      <c r="D389">
        <v>8071</v>
      </c>
      <c r="E389">
        <v>8117</v>
      </c>
      <c r="F389">
        <v>221.53334000000001</v>
      </c>
      <c r="G389">
        <v>205.2</v>
      </c>
      <c r="H389">
        <v>1.0795972</v>
      </c>
      <c r="I389">
        <v>-7.9597189999999998E-2</v>
      </c>
      <c r="J389">
        <v>0.48086234999999999</v>
      </c>
    </row>
    <row r="390" spans="1:10" x14ac:dyDescent="0.3">
      <c r="A390">
        <v>388</v>
      </c>
      <c r="B390">
        <v>7327</v>
      </c>
      <c r="C390" t="b">
        <v>1</v>
      </c>
      <c r="D390">
        <v>8071</v>
      </c>
      <c r="E390">
        <v>8105</v>
      </c>
      <c r="F390">
        <v>221.93333000000001</v>
      </c>
      <c r="G390">
        <v>204.8</v>
      </c>
      <c r="H390">
        <v>1.0836588</v>
      </c>
      <c r="I390">
        <v>-8.3658843999999996E-2</v>
      </c>
      <c r="J390">
        <v>0.47992499999999999</v>
      </c>
    </row>
    <row r="391" spans="1:10" x14ac:dyDescent="0.3">
      <c r="A391">
        <v>389</v>
      </c>
      <c r="B391">
        <v>7359</v>
      </c>
      <c r="C391" t="b">
        <v>1</v>
      </c>
      <c r="D391">
        <v>8037</v>
      </c>
      <c r="E391">
        <v>8123</v>
      </c>
      <c r="F391">
        <v>223.06666999999999</v>
      </c>
      <c r="G391">
        <v>204.4</v>
      </c>
      <c r="H391">
        <v>1.0913242000000001</v>
      </c>
      <c r="I391">
        <v>-9.1324224999999995E-2</v>
      </c>
      <c r="J391">
        <v>0.47816592000000002</v>
      </c>
    </row>
    <row r="392" spans="1:10" x14ac:dyDescent="0.3">
      <c r="A392">
        <v>390</v>
      </c>
      <c r="B392">
        <v>7375</v>
      </c>
      <c r="C392" t="b">
        <v>1</v>
      </c>
      <c r="D392">
        <v>8042</v>
      </c>
      <c r="E392">
        <v>8105</v>
      </c>
      <c r="F392">
        <v>224.2</v>
      </c>
      <c r="G392">
        <v>203.6</v>
      </c>
      <c r="H392">
        <v>1.1011788</v>
      </c>
      <c r="I392">
        <v>-0.10117873500000001</v>
      </c>
      <c r="J392">
        <v>0.47592336000000002</v>
      </c>
    </row>
    <row r="393" spans="1:10" x14ac:dyDescent="0.3">
      <c r="A393">
        <v>391</v>
      </c>
      <c r="B393">
        <v>7391</v>
      </c>
      <c r="C393" t="b">
        <v>1</v>
      </c>
      <c r="D393">
        <v>8037</v>
      </c>
      <c r="E393">
        <v>8117</v>
      </c>
      <c r="F393">
        <v>223.8</v>
      </c>
      <c r="G393">
        <v>204</v>
      </c>
      <c r="H393">
        <v>1.0970588999999999</v>
      </c>
      <c r="I393">
        <v>-9.7058839999999993E-2</v>
      </c>
      <c r="J393">
        <v>0.47685834999999999</v>
      </c>
    </row>
    <row r="394" spans="1:10" x14ac:dyDescent="0.3">
      <c r="A394">
        <v>392</v>
      </c>
      <c r="B394">
        <v>7406</v>
      </c>
      <c r="C394" t="b">
        <v>1</v>
      </c>
      <c r="D394">
        <v>8054</v>
      </c>
      <c r="E394">
        <v>8129</v>
      </c>
      <c r="F394">
        <v>223.4</v>
      </c>
      <c r="G394">
        <v>204.4</v>
      </c>
      <c r="H394">
        <v>1.0929549999999999</v>
      </c>
      <c r="I394">
        <v>-9.2954990000000001E-2</v>
      </c>
      <c r="J394">
        <v>0.47779337</v>
      </c>
    </row>
    <row r="395" spans="1:10" x14ac:dyDescent="0.3">
      <c r="A395">
        <v>393</v>
      </c>
      <c r="B395">
        <v>7422</v>
      </c>
      <c r="C395" t="b">
        <v>1</v>
      </c>
      <c r="D395">
        <v>8088</v>
      </c>
      <c r="E395">
        <v>8111</v>
      </c>
      <c r="F395">
        <v>223</v>
      </c>
      <c r="G395">
        <v>204.8</v>
      </c>
      <c r="H395">
        <v>1.0888671999999999</v>
      </c>
      <c r="I395">
        <v>-8.8867169999999995E-2</v>
      </c>
      <c r="J395">
        <v>0.47872838000000001</v>
      </c>
    </row>
    <row r="396" spans="1:10" x14ac:dyDescent="0.3">
      <c r="A396">
        <v>394</v>
      </c>
      <c r="B396">
        <v>7438</v>
      </c>
      <c r="C396" t="b">
        <v>1</v>
      </c>
      <c r="D396">
        <v>8060</v>
      </c>
      <c r="E396">
        <v>8117</v>
      </c>
      <c r="F396">
        <v>222.6</v>
      </c>
      <c r="G396">
        <v>204</v>
      </c>
      <c r="H396">
        <v>1.0911765</v>
      </c>
      <c r="I396">
        <v>-9.1176499999999994E-2</v>
      </c>
      <c r="J396">
        <v>0.47819971999999999</v>
      </c>
    </row>
    <row r="397" spans="1:10" x14ac:dyDescent="0.3">
      <c r="A397">
        <v>395</v>
      </c>
      <c r="B397">
        <v>7454</v>
      </c>
      <c r="C397" t="b">
        <v>1</v>
      </c>
      <c r="D397">
        <v>8060</v>
      </c>
      <c r="E397">
        <v>8111</v>
      </c>
      <c r="F397">
        <v>223.4</v>
      </c>
      <c r="G397">
        <v>203.6</v>
      </c>
      <c r="H397">
        <v>1.0972493999999999</v>
      </c>
      <c r="I397">
        <v>-9.7249450000000001E-2</v>
      </c>
      <c r="J397">
        <v>0.47681501999999998</v>
      </c>
    </row>
    <row r="398" spans="1:10" x14ac:dyDescent="0.3">
      <c r="A398">
        <v>396</v>
      </c>
      <c r="B398">
        <v>7469</v>
      </c>
      <c r="C398" t="b">
        <v>1</v>
      </c>
      <c r="D398">
        <v>8060</v>
      </c>
      <c r="E398">
        <v>8134</v>
      </c>
      <c r="F398">
        <v>224.2</v>
      </c>
      <c r="G398">
        <v>203.2</v>
      </c>
      <c r="H398">
        <v>1.1033465</v>
      </c>
      <c r="I398">
        <v>-0.10334646</v>
      </c>
      <c r="J398">
        <v>0.47543284000000002</v>
      </c>
    </row>
    <row r="399" spans="1:10" x14ac:dyDescent="0.3">
      <c r="A399">
        <v>397</v>
      </c>
      <c r="B399">
        <v>7485</v>
      </c>
      <c r="C399" t="b">
        <v>1</v>
      </c>
      <c r="D399">
        <v>8088</v>
      </c>
      <c r="E399">
        <v>8123</v>
      </c>
      <c r="F399">
        <v>223.86667</v>
      </c>
      <c r="G399">
        <v>202.4</v>
      </c>
      <c r="H399">
        <v>1.1060605999999999</v>
      </c>
      <c r="I399">
        <v>-0.10606065000000001</v>
      </c>
      <c r="J399">
        <v>0.47482014</v>
      </c>
    </row>
    <row r="400" spans="1:10" x14ac:dyDescent="0.3">
      <c r="A400">
        <v>398</v>
      </c>
      <c r="B400">
        <v>7501</v>
      </c>
      <c r="C400" t="b">
        <v>1</v>
      </c>
      <c r="D400">
        <v>8077</v>
      </c>
      <c r="E400">
        <v>8140</v>
      </c>
      <c r="F400">
        <v>223.53334000000001</v>
      </c>
      <c r="G400">
        <v>202.4</v>
      </c>
      <c r="H400">
        <v>1.1044137000000001</v>
      </c>
      <c r="I400">
        <v>-0.10441377</v>
      </c>
      <c r="J400">
        <v>0.47519169999999999</v>
      </c>
    </row>
    <row r="401" spans="1:10" x14ac:dyDescent="0.3">
      <c r="A401">
        <v>399</v>
      </c>
      <c r="B401">
        <v>7517</v>
      </c>
      <c r="C401" t="b">
        <v>1</v>
      </c>
      <c r="D401">
        <v>8060</v>
      </c>
      <c r="E401">
        <v>8158</v>
      </c>
      <c r="F401">
        <v>222.4</v>
      </c>
      <c r="G401">
        <v>203.13333</v>
      </c>
      <c r="H401">
        <v>1.0948473000000001</v>
      </c>
      <c r="I401">
        <v>-9.484737E-2</v>
      </c>
      <c r="J401">
        <v>0.47736173999999998</v>
      </c>
    </row>
    <row r="402" spans="1:10" x14ac:dyDescent="0.3">
      <c r="A402">
        <v>400</v>
      </c>
      <c r="B402">
        <v>7549</v>
      </c>
      <c r="C402" t="b">
        <v>1</v>
      </c>
      <c r="D402">
        <v>8094</v>
      </c>
      <c r="E402">
        <v>8140</v>
      </c>
      <c r="F402">
        <v>222.4</v>
      </c>
      <c r="G402">
        <v>204.26666</v>
      </c>
      <c r="H402">
        <v>1.0887728999999999</v>
      </c>
      <c r="I402">
        <v>-8.8772840000000006E-2</v>
      </c>
      <c r="J402">
        <v>0.47875000000000001</v>
      </c>
    </row>
    <row r="403" spans="1:10" x14ac:dyDescent="0.3">
      <c r="A403">
        <v>401</v>
      </c>
      <c r="B403">
        <v>7581</v>
      </c>
      <c r="C403" t="b">
        <v>1</v>
      </c>
      <c r="D403">
        <v>8048</v>
      </c>
      <c r="E403">
        <v>8123</v>
      </c>
      <c r="F403">
        <v>222</v>
      </c>
      <c r="G403">
        <v>205.4</v>
      </c>
      <c r="H403">
        <v>1.0808179</v>
      </c>
      <c r="I403">
        <v>-8.0817945000000002E-2</v>
      </c>
      <c r="J403">
        <v>0.48058023999999999</v>
      </c>
    </row>
    <row r="404" spans="1:10" x14ac:dyDescent="0.3">
      <c r="A404">
        <v>402</v>
      </c>
      <c r="B404">
        <v>7597</v>
      </c>
      <c r="C404" t="b">
        <v>1</v>
      </c>
      <c r="D404">
        <v>8060</v>
      </c>
      <c r="E404">
        <v>8117</v>
      </c>
      <c r="F404">
        <v>220.46665999999999</v>
      </c>
      <c r="G404">
        <v>206.93333000000001</v>
      </c>
      <c r="H404">
        <v>1.0653994</v>
      </c>
      <c r="I404">
        <v>-6.5399446E-2</v>
      </c>
      <c r="J404">
        <v>0.48416784000000002</v>
      </c>
    </row>
    <row r="405" spans="1:10" x14ac:dyDescent="0.3">
      <c r="A405">
        <v>403</v>
      </c>
      <c r="B405">
        <v>7613</v>
      </c>
      <c r="C405" t="b">
        <v>1</v>
      </c>
      <c r="D405">
        <v>8042</v>
      </c>
      <c r="E405">
        <v>8123</v>
      </c>
      <c r="F405">
        <v>219.73334</v>
      </c>
      <c r="G405">
        <v>207.73334</v>
      </c>
      <c r="H405">
        <v>1.0577662999999999</v>
      </c>
      <c r="I405">
        <v>-5.7766366999999999E-2</v>
      </c>
      <c r="J405">
        <v>0.48596381999999999</v>
      </c>
    </row>
    <row r="406" spans="1:10" x14ac:dyDescent="0.3">
      <c r="A406">
        <v>404</v>
      </c>
      <c r="B406">
        <v>7628</v>
      </c>
      <c r="C406" t="b">
        <v>1</v>
      </c>
      <c r="D406">
        <v>8060</v>
      </c>
      <c r="E406">
        <v>8117</v>
      </c>
      <c r="F406">
        <v>219</v>
      </c>
      <c r="G406">
        <v>208.53334000000001</v>
      </c>
      <c r="H406">
        <v>1.0501917999999999</v>
      </c>
      <c r="I406">
        <v>-5.0191779999999998E-2</v>
      </c>
      <c r="J406">
        <v>0.48775925999999997</v>
      </c>
    </row>
    <row r="407" spans="1:10" x14ac:dyDescent="0.3">
      <c r="A407">
        <v>405</v>
      </c>
      <c r="B407">
        <v>7645</v>
      </c>
      <c r="C407" t="b">
        <v>1</v>
      </c>
      <c r="D407">
        <v>8048</v>
      </c>
      <c r="E407">
        <v>8111</v>
      </c>
      <c r="F407">
        <v>217.46665999999999</v>
      </c>
      <c r="G407">
        <v>208.93333000000001</v>
      </c>
      <c r="H407">
        <v>1.0408423</v>
      </c>
      <c r="I407">
        <v>-4.0842336E-2</v>
      </c>
      <c r="J407">
        <v>0.48999375000000001</v>
      </c>
    </row>
    <row r="408" spans="1:10" x14ac:dyDescent="0.3">
      <c r="A408">
        <v>406</v>
      </c>
      <c r="B408">
        <v>7661</v>
      </c>
      <c r="C408" t="b">
        <v>1</v>
      </c>
      <c r="D408">
        <v>8054</v>
      </c>
      <c r="E408">
        <v>8099</v>
      </c>
      <c r="F408">
        <v>218.26666</v>
      </c>
      <c r="G408">
        <v>208.93333000000001</v>
      </c>
      <c r="H408">
        <v>1.0446713000000001</v>
      </c>
      <c r="I408">
        <v>-4.4671322999999999E-2</v>
      </c>
      <c r="J408">
        <v>0.48907613999999999</v>
      </c>
    </row>
    <row r="409" spans="1:10" x14ac:dyDescent="0.3">
      <c r="A409">
        <v>407</v>
      </c>
      <c r="B409">
        <v>7676</v>
      </c>
      <c r="C409" t="b">
        <v>1</v>
      </c>
      <c r="D409">
        <v>8100</v>
      </c>
      <c r="E409">
        <v>8152</v>
      </c>
      <c r="F409">
        <v>219.06666999999999</v>
      </c>
      <c r="G409">
        <v>208.93333000000001</v>
      </c>
      <c r="H409">
        <v>1.0485002999999999</v>
      </c>
      <c r="I409">
        <v>-4.8500309999999998E-2</v>
      </c>
      <c r="J409">
        <v>0.48816199999999998</v>
      </c>
    </row>
    <row r="410" spans="1:10" x14ac:dyDescent="0.3">
      <c r="A410">
        <v>408</v>
      </c>
      <c r="B410">
        <v>7692</v>
      </c>
      <c r="C410" t="b">
        <v>1</v>
      </c>
      <c r="D410">
        <v>8094</v>
      </c>
      <c r="E410">
        <v>8140</v>
      </c>
      <c r="F410">
        <v>220.26666</v>
      </c>
      <c r="G410">
        <v>208.93333000000001</v>
      </c>
      <c r="H410">
        <v>1.0542438000000001</v>
      </c>
      <c r="I410">
        <v>-5.4243754999999998E-2</v>
      </c>
      <c r="J410">
        <v>0.48679712000000003</v>
      </c>
    </row>
    <row r="411" spans="1:10" x14ac:dyDescent="0.3">
      <c r="A411">
        <v>409</v>
      </c>
      <c r="B411">
        <v>7708</v>
      </c>
      <c r="C411" t="b">
        <v>1</v>
      </c>
      <c r="D411">
        <v>8054</v>
      </c>
      <c r="E411">
        <v>8134</v>
      </c>
      <c r="F411">
        <v>220.26666</v>
      </c>
      <c r="G411">
        <v>210.06666999999999</v>
      </c>
      <c r="H411">
        <v>1.048556</v>
      </c>
      <c r="I411">
        <v>-4.8556000000000002E-2</v>
      </c>
      <c r="J411">
        <v>0.48814875000000002</v>
      </c>
    </row>
    <row r="412" spans="1:10" x14ac:dyDescent="0.3">
      <c r="A412">
        <v>410</v>
      </c>
      <c r="B412">
        <v>7724</v>
      </c>
      <c r="C412" t="b">
        <v>1</v>
      </c>
      <c r="D412">
        <v>8048</v>
      </c>
      <c r="E412">
        <v>8123</v>
      </c>
      <c r="F412">
        <v>219.86667</v>
      </c>
      <c r="G412">
        <v>211.2</v>
      </c>
      <c r="H412">
        <v>1.0410353999999999</v>
      </c>
      <c r="I412">
        <v>-4.1035375999999998E-2</v>
      </c>
      <c r="J412">
        <v>0.48994744000000001</v>
      </c>
    </row>
    <row r="413" spans="1:10" x14ac:dyDescent="0.3">
      <c r="A413">
        <v>411</v>
      </c>
      <c r="B413">
        <v>7740</v>
      </c>
      <c r="C413" t="b">
        <v>1</v>
      </c>
      <c r="D413">
        <v>8023</v>
      </c>
      <c r="E413">
        <v>8111</v>
      </c>
      <c r="F413">
        <v>219.46665999999999</v>
      </c>
      <c r="G413">
        <v>212.33332999999999</v>
      </c>
      <c r="H413">
        <v>1.033595</v>
      </c>
      <c r="I413">
        <v>-3.3594965999999997E-2</v>
      </c>
      <c r="J413">
        <v>0.49174002</v>
      </c>
    </row>
    <row r="414" spans="1:10" x14ac:dyDescent="0.3">
      <c r="A414">
        <v>412</v>
      </c>
      <c r="B414">
        <v>7756</v>
      </c>
      <c r="C414" t="b">
        <v>1</v>
      </c>
      <c r="D414">
        <v>8042</v>
      </c>
      <c r="E414">
        <v>8129</v>
      </c>
      <c r="F414">
        <v>218.66667000000001</v>
      </c>
      <c r="G414">
        <v>213.13333</v>
      </c>
      <c r="H414">
        <v>1.0259619</v>
      </c>
      <c r="I414">
        <v>-2.5961872E-2</v>
      </c>
      <c r="J414">
        <v>0.4935927</v>
      </c>
    </row>
    <row r="415" spans="1:10" x14ac:dyDescent="0.3">
      <c r="A415">
        <v>413</v>
      </c>
      <c r="B415">
        <v>7772</v>
      </c>
      <c r="C415" t="b">
        <v>1</v>
      </c>
      <c r="D415">
        <v>8060</v>
      </c>
      <c r="E415">
        <v>8111</v>
      </c>
      <c r="F415">
        <v>217.86667</v>
      </c>
      <c r="G415">
        <v>213.13333</v>
      </c>
      <c r="H415">
        <v>1.0222083</v>
      </c>
      <c r="I415">
        <v>-2.220834E-2</v>
      </c>
      <c r="J415">
        <v>0.49450889999999997</v>
      </c>
    </row>
    <row r="416" spans="1:10" x14ac:dyDescent="0.3">
      <c r="A416">
        <v>414</v>
      </c>
      <c r="B416">
        <v>7788</v>
      </c>
      <c r="C416" t="b">
        <v>1</v>
      </c>
      <c r="D416">
        <v>8060</v>
      </c>
      <c r="E416">
        <v>8129</v>
      </c>
      <c r="F416">
        <v>217.06666999999999</v>
      </c>
      <c r="G416">
        <v>212.4</v>
      </c>
      <c r="H416">
        <v>1.0219711</v>
      </c>
      <c r="I416">
        <v>-2.1971147999999999E-2</v>
      </c>
      <c r="J416">
        <v>0.49456689999999998</v>
      </c>
    </row>
    <row r="417" spans="1:10" x14ac:dyDescent="0.3">
      <c r="A417">
        <v>415</v>
      </c>
      <c r="B417">
        <v>7803</v>
      </c>
      <c r="C417" t="b">
        <v>1</v>
      </c>
      <c r="D417">
        <v>8048</v>
      </c>
      <c r="E417">
        <v>8140</v>
      </c>
      <c r="F417">
        <v>215.13333</v>
      </c>
      <c r="G417">
        <v>211.66667000000001</v>
      </c>
      <c r="H417">
        <v>1.0163778999999999</v>
      </c>
      <c r="I417">
        <v>-1.6377918000000002E-2</v>
      </c>
      <c r="J417">
        <v>0.49593880000000001</v>
      </c>
    </row>
    <row r="418" spans="1:10" x14ac:dyDescent="0.3">
      <c r="A418">
        <v>416</v>
      </c>
      <c r="B418">
        <v>7835</v>
      </c>
      <c r="C418" t="b">
        <v>1</v>
      </c>
      <c r="D418">
        <v>8054</v>
      </c>
      <c r="E418">
        <v>8146</v>
      </c>
      <c r="F418">
        <v>213.6</v>
      </c>
      <c r="G418">
        <v>210.93333000000001</v>
      </c>
      <c r="H418">
        <v>1.0126423</v>
      </c>
      <c r="I418">
        <v>-1.2642249E-2</v>
      </c>
      <c r="J418">
        <v>0.4968593</v>
      </c>
    </row>
    <row r="419" spans="1:10" x14ac:dyDescent="0.3">
      <c r="A419">
        <v>417</v>
      </c>
      <c r="B419">
        <v>7851</v>
      </c>
      <c r="C419" t="b">
        <v>1</v>
      </c>
      <c r="D419">
        <v>8065</v>
      </c>
      <c r="E419">
        <v>8129</v>
      </c>
      <c r="F419">
        <v>213.6</v>
      </c>
      <c r="G419">
        <v>210.2</v>
      </c>
      <c r="H419">
        <v>1.0161751999999999</v>
      </c>
      <c r="I419">
        <v>-1.6175115E-2</v>
      </c>
      <c r="J419">
        <v>0.49598867000000002</v>
      </c>
    </row>
    <row r="420" spans="1:10" x14ac:dyDescent="0.3">
      <c r="A420">
        <v>418</v>
      </c>
      <c r="B420">
        <v>7867</v>
      </c>
      <c r="C420" t="b">
        <v>1</v>
      </c>
      <c r="D420">
        <v>8077</v>
      </c>
      <c r="E420">
        <v>8129</v>
      </c>
      <c r="F420">
        <v>213.6</v>
      </c>
      <c r="G420">
        <v>210.6</v>
      </c>
      <c r="H420">
        <v>1.0142450000000001</v>
      </c>
      <c r="I420">
        <v>-1.4245014E-2</v>
      </c>
      <c r="J420">
        <v>0.49646392</v>
      </c>
    </row>
    <row r="421" spans="1:10" x14ac:dyDescent="0.3">
      <c r="A421">
        <v>419</v>
      </c>
      <c r="B421">
        <v>7899</v>
      </c>
      <c r="C421" t="b">
        <v>1</v>
      </c>
      <c r="D421">
        <v>8065</v>
      </c>
      <c r="E421">
        <v>8123</v>
      </c>
      <c r="F421">
        <v>213.93333000000001</v>
      </c>
      <c r="G421">
        <v>211</v>
      </c>
      <c r="H421">
        <v>1.0139020999999999</v>
      </c>
      <c r="I421">
        <v>-1.3902059E-2</v>
      </c>
      <c r="J421">
        <v>0.49654847000000002</v>
      </c>
    </row>
    <row r="422" spans="1:10" x14ac:dyDescent="0.3">
      <c r="A422">
        <v>420</v>
      </c>
      <c r="B422">
        <v>7930</v>
      </c>
      <c r="C422" t="b">
        <v>1</v>
      </c>
      <c r="D422">
        <v>8065</v>
      </c>
      <c r="E422">
        <v>8152</v>
      </c>
      <c r="F422">
        <v>215.06666999999999</v>
      </c>
      <c r="G422">
        <v>211.8</v>
      </c>
      <c r="H422">
        <v>1.0154232999999999</v>
      </c>
      <c r="I422">
        <v>-1.5423335999999999E-2</v>
      </c>
      <c r="J422">
        <v>0.49617368000000001</v>
      </c>
    </row>
    <row r="423" spans="1:10" x14ac:dyDescent="0.3">
      <c r="A423">
        <v>421</v>
      </c>
      <c r="B423">
        <v>7946</v>
      </c>
      <c r="C423" t="b">
        <v>1</v>
      </c>
      <c r="D423">
        <v>8083</v>
      </c>
      <c r="E423">
        <v>8129</v>
      </c>
      <c r="F423">
        <v>215.8</v>
      </c>
      <c r="G423">
        <v>212.6</v>
      </c>
      <c r="H423">
        <v>1.0150516999999999</v>
      </c>
      <c r="I423">
        <v>-1.5051725E-2</v>
      </c>
      <c r="J423">
        <v>0.49626516999999998</v>
      </c>
    </row>
    <row r="424" spans="1:10" x14ac:dyDescent="0.3">
      <c r="A424">
        <v>422</v>
      </c>
      <c r="B424">
        <v>7962</v>
      </c>
      <c r="C424" t="b">
        <v>1</v>
      </c>
      <c r="D424">
        <v>8060</v>
      </c>
      <c r="E424">
        <v>8123</v>
      </c>
      <c r="F424">
        <v>216.53334000000001</v>
      </c>
      <c r="G424">
        <v>213.4</v>
      </c>
      <c r="H424">
        <v>1.014683</v>
      </c>
      <c r="I424">
        <v>-1.4682974E-2</v>
      </c>
      <c r="J424">
        <v>0.49635597999999997</v>
      </c>
    </row>
    <row r="425" spans="1:10" x14ac:dyDescent="0.3">
      <c r="A425">
        <v>423</v>
      </c>
      <c r="B425">
        <v>7994</v>
      </c>
      <c r="C425" t="b">
        <v>1</v>
      </c>
      <c r="D425">
        <v>8071</v>
      </c>
      <c r="E425">
        <v>8117</v>
      </c>
      <c r="F425">
        <v>216.86667</v>
      </c>
      <c r="G425">
        <v>213.8</v>
      </c>
      <c r="H425">
        <v>1.0143435999999999</v>
      </c>
      <c r="I425">
        <v>-1.4343618000000001E-2</v>
      </c>
      <c r="J425">
        <v>0.49643959999999998</v>
      </c>
    </row>
    <row r="426" spans="1:10" x14ac:dyDescent="0.3">
      <c r="A426">
        <v>424</v>
      </c>
      <c r="B426">
        <v>8010</v>
      </c>
      <c r="C426" t="b">
        <v>1</v>
      </c>
      <c r="D426">
        <v>8060</v>
      </c>
      <c r="E426">
        <v>8134</v>
      </c>
      <c r="F426">
        <v>217.6</v>
      </c>
      <c r="G426">
        <v>213.46665999999999</v>
      </c>
      <c r="H426">
        <v>1.0193629</v>
      </c>
      <c r="I426">
        <v>-1.9362959999999999E-2</v>
      </c>
      <c r="J426">
        <v>0.49520570000000003</v>
      </c>
    </row>
    <row r="427" spans="1:10" x14ac:dyDescent="0.3">
      <c r="A427">
        <v>425</v>
      </c>
      <c r="B427">
        <v>8026</v>
      </c>
      <c r="C427" t="b">
        <v>1</v>
      </c>
      <c r="D427">
        <v>8042</v>
      </c>
      <c r="E427">
        <v>8123</v>
      </c>
      <c r="F427">
        <v>218</v>
      </c>
      <c r="G427">
        <v>212.73334</v>
      </c>
      <c r="H427">
        <v>1.0247571</v>
      </c>
      <c r="I427">
        <v>-2.4757109999999999E-2</v>
      </c>
      <c r="J427">
        <v>0.4938864</v>
      </c>
    </row>
    <row r="428" spans="1:10" x14ac:dyDescent="0.3">
      <c r="A428">
        <v>426</v>
      </c>
      <c r="B428">
        <v>8042</v>
      </c>
      <c r="C428" t="b">
        <v>1</v>
      </c>
      <c r="D428">
        <v>8083</v>
      </c>
      <c r="E428">
        <v>8099</v>
      </c>
      <c r="F428">
        <v>218.4</v>
      </c>
      <c r="G428">
        <v>212</v>
      </c>
      <c r="H428">
        <v>1.0301887000000001</v>
      </c>
      <c r="I428">
        <v>-3.0188650000000001E-2</v>
      </c>
      <c r="J428">
        <v>0.49256506999999999</v>
      </c>
    </row>
    <row r="429" spans="1:10" x14ac:dyDescent="0.3">
      <c r="A429">
        <v>427</v>
      </c>
      <c r="B429">
        <v>8058</v>
      </c>
      <c r="C429" t="b">
        <v>1</v>
      </c>
      <c r="D429">
        <v>8060</v>
      </c>
      <c r="E429">
        <v>8105</v>
      </c>
      <c r="F429">
        <v>219.2</v>
      </c>
      <c r="G429">
        <v>211.2</v>
      </c>
      <c r="H429">
        <v>1.0378788000000001</v>
      </c>
      <c r="I429">
        <v>-3.7878790000000002E-2</v>
      </c>
      <c r="J429">
        <v>0.49070631999999997</v>
      </c>
    </row>
    <row r="430" spans="1:10" x14ac:dyDescent="0.3">
      <c r="A430">
        <v>428</v>
      </c>
      <c r="B430">
        <v>8074</v>
      </c>
      <c r="C430" t="b">
        <v>1</v>
      </c>
      <c r="D430">
        <v>8123</v>
      </c>
      <c r="E430">
        <v>8140</v>
      </c>
      <c r="F430">
        <v>220</v>
      </c>
      <c r="G430">
        <v>211.2</v>
      </c>
      <c r="H430">
        <v>1.0416666000000001</v>
      </c>
      <c r="I430">
        <v>-4.1666683000000003E-2</v>
      </c>
      <c r="J430">
        <v>0.48979590000000001</v>
      </c>
    </row>
    <row r="431" spans="1:10" x14ac:dyDescent="0.3">
      <c r="A431">
        <v>429</v>
      </c>
      <c r="B431">
        <v>8089</v>
      </c>
      <c r="C431" t="b">
        <v>1</v>
      </c>
      <c r="D431">
        <v>8071</v>
      </c>
      <c r="E431">
        <v>8105</v>
      </c>
      <c r="F431">
        <v>221.53334000000001</v>
      </c>
      <c r="G431">
        <v>210</v>
      </c>
      <c r="H431">
        <v>1.0549207</v>
      </c>
      <c r="I431">
        <v>-5.4920669999999998E-2</v>
      </c>
      <c r="J431">
        <v>0.48663682000000003</v>
      </c>
    </row>
    <row r="432" spans="1:10" x14ac:dyDescent="0.3">
      <c r="A432">
        <v>430</v>
      </c>
      <c r="B432">
        <v>8105</v>
      </c>
      <c r="C432" t="b">
        <v>1</v>
      </c>
      <c r="D432">
        <v>8060</v>
      </c>
      <c r="E432">
        <v>8129</v>
      </c>
      <c r="F432">
        <v>223.06666999999999</v>
      </c>
      <c r="G432">
        <v>208.4</v>
      </c>
      <c r="H432">
        <v>1.0703775</v>
      </c>
      <c r="I432">
        <v>-7.0377510000000004E-2</v>
      </c>
      <c r="J432">
        <v>0.48300367999999999</v>
      </c>
    </row>
    <row r="433" spans="1:10" x14ac:dyDescent="0.3">
      <c r="A433">
        <v>431</v>
      </c>
      <c r="B433">
        <v>8121</v>
      </c>
      <c r="C433" t="b">
        <v>1</v>
      </c>
      <c r="D433">
        <v>8100</v>
      </c>
      <c r="E433">
        <v>8129</v>
      </c>
      <c r="F433">
        <v>224.2</v>
      </c>
      <c r="G433">
        <v>208.4</v>
      </c>
      <c r="H433">
        <v>1.0758158</v>
      </c>
      <c r="I433">
        <v>-7.5815750000000001E-2</v>
      </c>
      <c r="J433">
        <v>0.48173832999999999</v>
      </c>
    </row>
    <row r="434" spans="1:10" x14ac:dyDescent="0.3">
      <c r="A434">
        <v>432</v>
      </c>
      <c r="B434">
        <v>8137</v>
      </c>
      <c r="C434" t="b">
        <v>1</v>
      </c>
      <c r="D434">
        <v>8054</v>
      </c>
      <c r="E434">
        <v>8129</v>
      </c>
      <c r="F434">
        <v>224.93333000000001</v>
      </c>
      <c r="G434">
        <v>208.4</v>
      </c>
      <c r="H434">
        <v>1.0793345999999999</v>
      </c>
      <c r="I434">
        <v>-7.9334650000000007E-2</v>
      </c>
      <c r="J434">
        <v>0.48092309999999999</v>
      </c>
    </row>
    <row r="435" spans="1:10" x14ac:dyDescent="0.3">
      <c r="A435">
        <v>433</v>
      </c>
      <c r="B435">
        <v>8153</v>
      </c>
      <c r="C435" t="b">
        <v>1</v>
      </c>
      <c r="D435">
        <v>8077</v>
      </c>
      <c r="E435">
        <v>8129</v>
      </c>
      <c r="F435">
        <v>225.66667000000001</v>
      </c>
      <c r="G435">
        <v>208.4</v>
      </c>
      <c r="H435">
        <v>1.0828536</v>
      </c>
      <c r="I435">
        <v>-8.2853540000000003E-2</v>
      </c>
      <c r="J435">
        <v>0.4801106</v>
      </c>
    </row>
    <row r="436" spans="1:10" x14ac:dyDescent="0.3">
      <c r="A436">
        <v>434</v>
      </c>
      <c r="B436">
        <v>8169</v>
      </c>
      <c r="C436" t="b">
        <v>1</v>
      </c>
      <c r="D436">
        <v>8071</v>
      </c>
      <c r="E436">
        <v>8146</v>
      </c>
      <c r="F436">
        <v>226.06666999999999</v>
      </c>
      <c r="G436">
        <v>208.4</v>
      </c>
      <c r="H436">
        <v>1.084773</v>
      </c>
      <c r="I436">
        <v>-8.4772899999999998E-2</v>
      </c>
      <c r="J436">
        <v>0.47966852999999998</v>
      </c>
    </row>
    <row r="437" spans="1:10" x14ac:dyDescent="0.3">
      <c r="A437">
        <v>435</v>
      </c>
      <c r="B437">
        <v>8185</v>
      </c>
      <c r="C437" t="b">
        <v>1</v>
      </c>
      <c r="D437">
        <v>8094</v>
      </c>
      <c r="E437">
        <v>8146</v>
      </c>
      <c r="F437">
        <v>226.86667</v>
      </c>
      <c r="G437">
        <v>208.4</v>
      </c>
      <c r="H437">
        <v>1.0886117</v>
      </c>
      <c r="I437">
        <v>-8.8611684999999996E-2</v>
      </c>
      <c r="J437">
        <v>0.47878694999999999</v>
      </c>
    </row>
    <row r="438" spans="1:10" x14ac:dyDescent="0.3">
      <c r="A438">
        <v>436</v>
      </c>
      <c r="B438">
        <v>8201</v>
      </c>
      <c r="C438" t="b">
        <v>1</v>
      </c>
      <c r="D438">
        <v>8106</v>
      </c>
      <c r="E438">
        <v>8134</v>
      </c>
      <c r="F438">
        <v>227.66667000000001</v>
      </c>
      <c r="G438">
        <v>208.73334</v>
      </c>
      <c r="H438">
        <v>1.0907058999999999</v>
      </c>
      <c r="I438">
        <v>-9.0705850000000005E-2</v>
      </c>
      <c r="J438">
        <v>0.47830734000000003</v>
      </c>
    </row>
    <row r="439" spans="1:10" x14ac:dyDescent="0.3">
      <c r="A439">
        <v>437</v>
      </c>
      <c r="B439">
        <v>8216</v>
      </c>
      <c r="C439" t="b">
        <v>1</v>
      </c>
      <c r="D439">
        <v>8060</v>
      </c>
      <c r="E439">
        <v>8117</v>
      </c>
      <c r="F439">
        <v>228.46665999999999</v>
      </c>
      <c r="G439">
        <v>209.06666999999999</v>
      </c>
      <c r="H439">
        <v>1.0927933000000001</v>
      </c>
      <c r="I439">
        <v>-9.2793340000000002E-2</v>
      </c>
      <c r="J439">
        <v>0.47783026000000001</v>
      </c>
    </row>
    <row r="440" spans="1:10" x14ac:dyDescent="0.3">
      <c r="A440">
        <v>438</v>
      </c>
      <c r="B440">
        <v>8232</v>
      </c>
      <c r="C440" t="b">
        <v>1</v>
      </c>
      <c r="D440">
        <v>8083</v>
      </c>
      <c r="E440">
        <v>8152</v>
      </c>
      <c r="F440">
        <v>229.66667000000001</v>
      </c>
      <c r="G440">
        <v>210.6</v>
      </c>
      <c r="H440">
        <v>1.0905349</v>
      </c>
      <c r="I440">
        <v>-9.0534970000000006E-2</v>
      </c>
      <c r="J440">
        <v>0.47834647000000002</v>
      </c>
    </row>
    <row r="441" spans="1:10" x14ac:dyDescent="0.3">
      <c r="A441">
        <v>439</v>
      </c>
      <c r="B441">
        <v>8248</v>
      </c>
      <c r="C441" t="b">
        <v>1</v>
      </c>
      <c r="D441">
        <v>8077</v>
      </c>
      <c r="E441">
        <v>8123</v>
      </c>
      <c r="F441">
        <v>230.86667</v>
      </c>
      <c r="G441">
        <v>210.93333000000001</v>
      </c>
      <c r="H441">
        <v>1.0945007</v>
      </c>
      <c r="I441">
        <v>-9.4500639999999997E-2</v>
      </c>
      <c r="J441">
        <v>0.47744077000000001</v>
      </c>
    </row>
    <row r="442" spans="1:10" x14ac:dyDescent="0.3">
      <c r="A442">
        <v>440</v>
      </c>
      <c r="B442">
        <v>8280</v>
      </c>
      <c r="C442" t="b">
        <v>1</v>
      </c>
      <c r="D442">
        <v>8077</v>
      </c>
      <c r="E442">
        <v>8111</v>
      </c>
      <c r="F442">
        <v>232</v>
      </c>
      <c r="G442">
        <v>210.93333000000001</v>
      </c>
      <c r="H442">
        <v>1.0998734999999999</v>
      </c>
      <c r="I442">
        <v>-9.9873569999999995E-2</v>
      </c>
      <c r="J442">
        <v>0.47621912</v>
      </c>
    </row>
    <row r="443" spans="1:10" x14ac:dyDescent="0.3">
      <c r="A443">
        <v>441</v>
      </c>
      <c r="B443">
        <v>8296</v>
      </c>
      <c r="C443" t="b">
        <v>1</v>
      </c>
      <c r="D443">
        <v>8065</v>
      </c>
      <c r="E443">
        <v>8164</v>
      </c>
      <c r="F443">
        <v>233.13333</v>
      </c>
      <c r="G443">
        <v>210.93333000000001</v>
      </c>
      <c r="H443">
        <v>1.1052465</v>
      </c>
      <c r="I443">
        <v>-0.10524651</v>
      </c>
      <c r="J443">
        <v>0.47500377999999999</v>
      </c>
    </row>
    <row r="444" spans="1:10" x14ac:dyDescent="0.3">
      <c r="A444">
        <v>442</v>
      </c>
      <c r="B444">
        <v>8312</v>
      </c>
      <c r="C444" t="b">
        <v>1</v>
      </c>
      <c r="D444">
        <v>8060</v>
      </c>
      <c r="E444">
        <v>8158</v>
      </c>
      <c r="F444">
        <v>234.26666</v>
      </c>
      <c r="G444">
        <v>213.26666</v>
      </c>
      <c r="H444">
        <v>1.0984683</v>
      </c>
      <c r="I444">
        <v>-9.8468273999999995E-2</v>
      </c>
      <c r="J444">
        <v>0.47653805999999999</v>
      </c>
    </row>
    <row r="445" spans="1:10" x14ac:dyDescent="0.3">
      <c r="A445">
        <v>443</v>
      </c>
      <c r="B445">
        <v>8328</v>
      </c>
      <c r="C445" t="b">
        <v>1</v>
      </c>
      <c r="D445">
        <v>8060</v>
      </c>
      <c r="E445">
        <v>8146</v>
      </c>
      <c r="F445">
        <v>234.6</v>
      </c>
      <c r="G445">
        <v>214.8</v>
      </c>
      <c r="H445">
        <v>1.0921787999999999</v>
      </c>
      <c r="I445">
        <v>-9.2178784E-2</v>
      </c>
      <c r="J445">
        <v>0.47797060000000002</v>
      </c>
    </row>
    <row r="446" spans="1:10" x14ac:dyDescent="0.3">
      <c r="A446">
        <v>444</v>
      </c>
      <c r="B446">
        <v>8344</v>
      </c>
      <c r="C446" t="b">
        <v>1</v>
      </c>
      <c r="D446">
        <v>8111</v>
      </c>
      <c r="E446">
        <v>8129</v>
      </c>
      <c r="F446">
        <v>234.2</v>
      </c>
      <c r="G446">
        <v>217.53334000000001</v>
      </c>
      <c r="H446">
        <v>1.0766165000000001</v>
      </c>
      <c r="I446">
        <v>-7.661656E-2</v>
      </c>
      <c r="J446">
        <v>0.48155253999999997</v>
      </c>
    </row>
    <row r="447" spans="1:10" x14ac:dyDescent="0.3">
      <c r="A447">
        <v>445</v>
      </c>
      <c r="B447">
        <v>8360</v>
      </c>
      <c r="C447" t="b">
        <v>1</v>
      </c>
      <c r="D447">
        <v>8048</v>
      </c>
      <c r="E447">
        <v>8140</v>
      </c>
      <c r="F447">
        <v>233.46665999999999</v>
      </c>
      <c r="G447">
        <v>220.26666</v>
      </c>
      <c r="H447">
        <v>1.0599273</v>
      </c>
      <c r="I447">
        <v>-5.9927347999999998E-2</v>
      </c>
      <c r="J447">
        <v>0.485454</v>
      </c>
    </row>
    <row r="448" spans="1:10" x14ac:dyDescent="0.3">
      <c r="A448">
        <v>446</v>
      </c>
      <c r="B448">
        <v>8376</v>
      </c>
      <c r="C448" t="b">
        <v>1</v>
      </c>
      <c r="D448">
        <v>8065</v>
      </c>
      <c r="E448">
        <v>8194</v>
      </c>
      <c r="F448">
        <v>232.73334</v>
      </c>
      <c r="G448">
        <v>221.4</v>
      </c>
      <c r="H448">
        <v>1.0511893999999999</v>
      </c>
      <c r="I448">
        <v>-5.1189449999999997E-2</v>
      </c>
      <c r="J448">
        <v>0.48752200000000001</v>
      </c>
    </row>
    <row r="449" spans="1:10" x14ac:dyDescent="0.3">
      <c r="A449">
        <v>447</v>
      </c>
      <c r="B449">
        <v>8392</v>
      </c>
      <c r="C449" t="b">
        <v>1</v>
      </c>
      <c r="D449">
        <v>8071</v>
      </c>
      <c r="E449">
        <v>8134</v>
      </c>
      <c r="F449">
        <v>232.33332999999999</v>
      </c>
      <c r="G449">
        <v>222.13333</v>
      </c>
      <c r="H449">
        <v>1.0459183000000001</v>
      </c>
      <c r="I449">
        <v>-4.5918353000000002E-2</v>
      </c>
      <c r="J449">
        <v>0.48877805000000002</v>
      </c>
    </row>
    <row r="450" spans="1:10" x14ac:dyDescent="0.3">
      <c r="A450">
        <v>448</v>
      </c>
      <c r="B450">
        <v>8408</v>
      </c>
      <c r="C450" t="b">
        <v>1</v>
      </c>
      <c r="D450">
        <v>8071</v>
      </c>
      <c r="E450">
        <v>8129</v>
      </c>
      <c r="F450">
        <v>232.33332999999999</v>
      </c>
      <c r="G450">
        <v>222.46665999999999</v>
      </c>
      <c r="H450">
        <v>1.0443511999999999</v>
      </c>
      <c r="I450">
        <v>-4.4351224000000002E-2</v>
      </c>
      <c r="J450">
        <v>0.48915272999999998</v>
      </c>
    </row>
    <row r="451" spans="1:10" x14ac:dyDescent="0.3">
      <c r="A451">
        <v>449</v>
      </c>
      <c r="B451">
        <v>8423</v>
      </c>
      <c r="C451" t="b">
        <v>1</v>
      </c>
      <c r="D451">
        <v>8065</v>
      </c>
      <c r="E451">
        <v>8146</v>
      </c>
      <c r="F451">
        <v>231.93333000000001</v>
      </c>
      <c r="G451">
        <v>223.2</v>
      </c>
      <c r="H451">
        <v>1.0391277999999999</v>
      </c>
      <c r="I451">
        <v>-3.9127856000000003E-2</v>
      </c>
      <c r="J451">
        <v>0.49040573999999998</v>
      </c>
    </row>
    <row r="452" spans="1:10" x14ac:dyDescent="0.3">
      <c r="A452">
        <v>450</v>
      </c>
      <c r="B452">
        <v>8439</v>
      </c>
      <c r="C452" t="b">
        <v>1</v>
      </c>
      <c r="D452">
        <v>8071</v>
      </c>
      <c r="E452">
        <v>8140</v>
      </c>
      <c r="F452">
        <v>231.53334000000001</v>
      </c>
      <c r="G452">
        <v>223.93333000000001</v>
      </c>
      <c r="H452">
        <v>1.0339385999999999</v>
      </c>
      <c r="I452">
        <v>-3.3938700000000002E-2</v>
      </c>
      <c r="J452">
        <v>0.49165690000000001</v>
      </c>
    </row>
    <row r="453" spans="1:10" x14ac:dyDescent="0.3">
      <c r="A453">
        <v>451</v>
      </c>
      <c r="B453">
        <v>8455</v>
      </c>
      <c r="C453" t="b">
        <v>1</v>
      </c>
      <c r="D453">
        <v>8065</v>
      </c>
      <c r="E453">
        <v>8140</v>
      </c>
      <c r="F453">
        <v>231.13333</v>
      </c>
      <c r="G453">
        <v>224.33332999999999</v>
      </c>
      <c r="H453">
        <v>1.0303121</v>
      </c>
      <c r="I453">
        <v>-3.031205E-2</v>
      </c>
      <c r="J453">
        <v>0.4925351</v>
      </c>
    </row>
    <row r="454" spans="1:10" x14ac:dyDescent="0.3">
      <c r="A454">
        <v>452</v>
      </c>
      <c r="B454">
        <v>8471</v>
      </c>
      <c r="C454" t="b">
        <v>1</v>
      </c>
      <c r="D454">
        <v>8071</v>
      </c>
      <c r="E454">
        <v>8152</v>
      </c>
      <c r="F454">
        <v>230.73334</v>
      </c>
      <c r="G454">
        <v>224.73334</v>
      </c>
      <c r="H454">
        <v>1.0266983999999999</v>
      </c>
      <c r="I454">
        <v>-2.6698308E-2</v>
      </c>
      <c r="J454">
        <v>0.49341336000000002</v>
      </c>
    </row>
    <row r="455" spans="1:10" x14ac:dyDescent="0.3">
      <c r="A455">
        <v>453</v>
      </c>
      <c r="B455">
        <v>8487</v>
      </c>
      <c r="C455" t="b">
        <v>1</v>
      </c>
      <c r="D455">
        <v>8106</v>
      </c>
      <c r="E455">
        <v>8158</v>
      </c>
      <c r="F455">
        <v>229.93333000000001</v>
      </c>
      <c r="G455">
        <v>224.73334</v>
      </c>
      <c r="H455">
        <v>1.0231385</v>
      </c>
      <c r="I455">
        <v>-2.3138520999999999E-2</v>
      </c>
      <c r="J455">
        <v>0.49428149999999998</v>
      </c>
    </row>
    <row r="456" spans="1:10" x14ac:dyDescent="0.3">
      <c r="A456">
        <v>454</v>
      </c>
      <c r="B456">
        <v>8503</v>
      </c>
      <c r="C456" t="b">
        <v>1</v>
      </c>
      <c r="D456">
        <v>8100</v>
      </c>
      <c r="E456">
        <v>8129</v>
      </c>
      <c r="F456">
        <v>229.13333</v>
      </c>
      <c r="G456">
        <v>225.13333</v>
      </c>
      <c r="H456">
        <v>1.0177672</v>
      </c>
      <c r="I456">
        <v>-1.7767248999999999E-2</v>
      </c>
      <c r="J456">
        <v>0.49559730000000002</v>
      </c>
    </row>
    <row r="457" spans="1:10" x14ac:dyDescent="0.3">
      <c r="A457">
        <v>455</v>
      </c>
      <c r="B457">
        <v>8519</v>
      </c>
      <c r="C457" t="b">
        <v>1</v>
      </c>
      <c r="D457">
        <v>8048</v>
      </c>
      <c r="E457">
        <v>8134</v>
      </c>
      <c r="F457">
        <v>228.73334</v>
      </c>
      <c r="G457">
        <v>226.26666</v>
      </c>
      <c r="H457">
        <v>1.0109016</v>
      </c>
      <c r="I457">
        <v>-1.0901627000000001E-2</v>
      </c>
      <c r="J457">
        <v>0.49728936000000001</v>
      </c>
    </row>
    <row r="458" spans="1:10" x14ac:dyDescent="0.3">
      <c r="A458">
        <v>456</v>
      </c>
      <c r="B458">
        <v>8551</v>
      </c>
      <c r="C458" t="b">
        <v>1</v>
      </c>
      <c r="D458">
        <v>8083</v>
      </c>
      <c r="E458">
        <v>8146</v>
      </c>
      <c r="F458">
        <v>229.13333</v>
      </c>
      <c r="G458">
        <v>227.8</v>
      </c>
      <c r="H458">
        <v>1.0058530000000001</v>
      </c>
      <c r="I458">
        <v>-5.8530652999999998E-3</v>
      </c>
      <c r="J458">
        <v>0.49854100000000001</v>
      </c>
    </row>
    <row r="459" spans="1:10" x14ac:dyDescent="0.3">
      <c r="A459">
        <v>457</v>
      </c>
      <c r="B459">
        <v>8582</v>
      </c>
      <c r="C459" t="b">
        <v>1</v>
      </c>
      <c r="D459">
        <v>8054</v>
      </c>
      <c r="E459">
        <v>8176</v>
      </c>
      <c r="F459">
        <v>229.53334000000001</v>
      </c>
      <c r="G459">
        <v>227.4</v>
      </c>
      <c r="H459">
        <v>1.0093814000000001</v>
      </c>
      <c r="I459">
        <v>-9.3814710000000006E-3</v>
      </c>
      <c r="J459">
        <v>0.49766555000000001</v>
      </c>
    </row>
    <row r="460" spans="1:10" x14ac:dyDescent="0.3">
      <c r="A460">
        <v>458</v>
      </c>
      <c r="B460">
        <v>8614</v>
      </c>
      <c r="C460" t="b">
        <v>1</v>
      </c>
      <c r="D460">
        <v>8094</v>
      </c>
      <c r="E460">
        <v>8123</v>
      </c>
      <c r="F460">
        <v>230.73334</v>
      </c>
      <c r="G460">
        <v>226.6</v>
      </c>
      <c r="H460">
        <v>1.0182407</v>
      </c>
      <c r="I460">
        <v>-1.8240650000000001E-2</v>
      </c>
      <c r="J460">
        <v>0.49548103999999998</v>
      </c>
    </row>
    <row r="461" spans="1:10" x14ac:dyDescent="0.3">
      <c r="A461">
        <v>459</v>
      </c>
      <c r="B461">
        <v>8630</v>
      </c>
      <c r="C461" t="b">
        <v>1</v>
      </c>
      <c r="D461">
        <v>8077</v>
      </c>
      <c r="E461">
        <v>8123</v>
      </c>
      <c r="F461">
        <v>231.53334000000001</v>
      </c>
      <c r="G461">
        <v>225.8</v>
      </c>
      <c r="H461">
        <v>1.0253912000000001</v>
      </c>
      <c r="I461">
        <v>-2.5391219999999999E-2</v>
      </c>
      <c r="J461">
        <v>0.49373177000000001</v>
      </c>
    </row>
    <row r="462" spans="1:10" x14ac:dyDescent="0.3">
      <c r="A462">
        <v>460</v>
      </c>
      <c r="B462">
        <v>8661</v>
      </c>
      <c r="C462" t="b">
        <v>1</v>
      </c>
      <c r="D462">
        <v>8054</v>
      </c>
      <c r="E462">
        <v>8129</v>
      </c>
      <c r="F462">
        <v>232.66667000000001</v>
      </c>
      <c r="G462">
        <v>224.66667000000001</v>
      </c>
      <c r="H462">
        <v>1.0356083</v>
      </c>
      <c r="I462">
        <v>-3.5608306999999999E-2</v>
      </c>
      <c r="J462">
        <v>0.49125363999999999</v>
      </c>
    </row>
    <row r="463" spans="1:10" x14ac:dyDescent="0.3">
      <c r="A463">
        <v>461</v>
      </c>
      <c r="B463">
        <v>8676</v>
      </c>
      <c r="C463" t="b">
        <v>1</v>
      </c>
      <c r="D463">
        <v>8071</v>
      </c>
      <c r="E463">
        <v>8105</v>
      </c>
      <c r="F463">
        <v>233.4</v>
      </c>
      <c r="G463">
        <v>223.13333</v>
      </c>
      <c r="H463">
        <v>1.0460113</v>
      </c>
      <c r="I463">
        <v>-4.6011336E-2</v>
      </c>
      <c r="J463">
        <v>0.48875584999999999</v>
      </c>
    </row>
    <row r="464" spans="1:10" x14ac:dyDescent="0.3">
      <c r="A464">
        <v>462</v>
      </c>
      <c r="B464">
        <v>8692</v>
      </c>
      <c r="C464" t="b">
        <v>1</v>
      </c>
      <c r="D464">
        <v>8054</v>
      </c>
      <c r="E464">
        <v>8134</v>
      </c>
      <c r="F464">
        <v>233.8</v>
      </c>
      <c r="G464">
        <v>222</v>
      </c>
      <c r="H464">
        <v>1.0531531999999999</v>
      </c>
      <c r="I464">
        <v>-5.315317E-2</v>
      </c>
      <c r="J464">
        <v>0.48705575000000001</v>
      </c>
    </row>
    <row r="465" spans="1:10" x14ac:dyDescent="0.3">
      <c r="A465">
        <v>463</v>
      </c>
      <c r="B465">
        <v>8708</v>
      </c>
      <c r="C465" t="b">
        <v>1</v>
      </c>
      <c r="D465">
        <v>8077</v>
      </c>
      <c r="E465">
        <v>8123</v>
      </c>
      <c r="F465">
        <v>233.8</v>
      </c>
      <c r="G465">
        <v>221.26666</v>
      </c>
      <c r="H465">
        <v>1.0566435999999999</v>
      </c>
      <c r="I465">
        <v>-5.6643600000000002E-2</v>
      </c>
      <c r="J465">
        <v>0.48622912000000001</v>
      </c>
    </row>
    <row r="466" spans="1:10" x14ac:dyDescent="0.3">
      <c r="A466">
        <v>464</v>
      </c>
      <c r="B466">
        <v>8724</v>
      </c>
      <c r="C466" t="b">
        <v>1</v>
      </c>
      <c r="D466">
        <v>8083</v>
      </c>
      <c r="E466">
        <v>8111</v>
      </c>
      <c r="F466">
        <v>234.2</v>
      </c>
      <c r="G466">
        <v>220.13333</v>
      </c>
      <c r="H466">
        <v>1.0639007</v>
      </c>
      <c r="I466">
        <v>-6.3900663999999996E-2</v>
      </c>
      <c r="J466">
        <v>0.48451945000000002</v>
      </c>
    </row>
    <row r="467" spans="1:10" x14ac:dyDescent="0.3">
      <c r="A467">
        <v>465</v>
      </c>
      <c r="B467">
        <v>8740</v>
      </c>
      <c r="C467" t="b">
        <v>1</v>
      </c>
      <c r="D467">
        <v>8037</v>
      </c>
      <c r="E467">
        <v>8129</v>
      </c>
      <c r="F467">
        <v>234.2</v>
      </c>
      <c r="G467">
        <v>219</v>
      </c>
      <c r="H467">
        <v>1.0694064000000001</v>
      </c>
      <c r="I467">
        <v>-6.9406375000000006E-2</v>
      </c>
      <c r="J467">
        <v>0.48323034999999998</v>
      </c>
    </row>
    <row r="468" spans="1:10" x14ac:dyDescent="0.3">
      <c r="A468">
        <v>466</v>
      </c>
      <c r="B468">
        <v>8755</v>
      </c>
      <c r="C468" t="b">
        <v>1</v>
      </c>
      <c r="D468">
        <v>8060</v>
      </c>
      <c r="E468">
        <v>8093</v>
      </c>
      <c r="F468">
        <v>233.46665999999999</v>
      </c>
      <c r="G468">
        <v>217.86667</v>
      </c>
      <c r="H468">
        <v>1.0716034000000001</v>
      </c>
      <c r="I468">
        <v>-7.1603390000000003E-2</v>
      </c>
      <c r="J468">
        <v>0.48271789999999998</v>
      </c>
    </row>
    <row r="469" spans="1:10" x14ac:dyDescent="0.3">
      <c r="A469">
        <v>467</v>
      </c>
      <c r="B469">
        <v>8772</v>
      </c>
      <c r="C469" t="b">
        <v>1</v>
      </c>
      <c r="D469">
        <v>8060</v>
      </c>
      <c r="E469">
        <v>8134</v>
      </c>
      <c r="F469">
        <v>232.73334</v>
      </c>
      <c r="G469">
        <v>216.73334</v>
      </c>
      <c r="H469">
        <v>1.0738235</v>
      </c>
      <c r="I469">
        <v>-7.3823440000000004E-2</v>
      </c>
      <c r="J469">
        <v>0.48220112999999998</v>
      </c>
    </row>
    <row r="470" spans="1:10" x14ac:dyDescent="0.3">
      <c r="A470">
        <v>468</v>
      </c>
      <c r="B470">
        <v>8787</v>
      </c>
      <c r="C470" t="b">
        <v>1</v>
      </c>
      <c r="D470">
        <v>8054</v>
      </c>
      <c r="E470">
        <v>8117</v>
      </c>
      <c r="F470">
        <v>232</v>
      </c>
      <c r="G470">
        <v>214.8</v>
      </c>
      <c r="H470">
        <v>1.0800744</v>
      </c>
      <c r="I470">
        <v>-8.0074474000000007E-2</v>
      </c>
      <c r="J470">
        <v>0.48075202</v>
      </c>
    </row>
    <row r="471" spans="1:10" x14ac:dyDescent="0.3">
      <c r="A471">
        <v>469</v>
      </c>
      <c r="B471">
        <v>8803</v>
      </c>
      <c r="C471" t="b">
        <v>1</v>
      </c>
      <c r="D471">
        <v>8088</v>
      </c>
      <c r="E471">
        <v>8140</v>
      </c>
      <c r="F471">
        <v>231.26666</v>
      </c>
      <c r="G471">
        <v>214.06666999999999</v>
      </c>
      <c r="H471">
        <v>1.0803487000000001</v>
      </c>
      <c r="I471">
        <v>-8.0348790000000003E-2</v>
      </c>
      <c r="J471">
        <v>0.48068863000000001</v>
      </c>
    </row>
    <row r="472" spans="1:10" x14ac:dyDescent="0.3">
      <c r="A472">
        <v>470</v>
      </c>
      <c r="B472">
        <v>8819</v>
      </c>
      <c r="C472" t="b">
        <v>1</v>
      </c>
      <c r="D472">
        <v>8060</v>
      </c>
      <c r="E472">
        <v>8134</v>
      </c>
      <c r="F472">
        <v>230.53334000000001</v>
      </c>
      <c r="G472">
        <v>213.66667000000001</v>
      </c>
      <c r="H472">
        <v>1.0789392</v>
      </c>
      <c r="I472">
        <v>-7.8939159999999994E-2</v>
      </c>
      <c r="J472">
        <v>0.48101454999999999</v>
      </c>
    </row>
    <row r="473" spans="1:10" x14ac:dyDescent="0.3">
      <c r="A473">
        <v>471</v>
      </c>
      <c r="B473">
        <v>8835</v>
      </c>
      <c r="C473" t="b">
        <v>1</v>
      </c>
      <c r="D473">
        <v>8054</v>
      </c>
      <c r="E473">
        <v>8111</v>
      </c>
      <c r="F473">
        <v>229</v>
      </c>
      <c r="G473">
        <v>212.86667</v>
      </c>
      <c r="H473">
        <v>1.0757908</v>
      </c>
      <c r="I473">
        <v>-7.5790784999999999E-2</v>
      </c>
      <c r="J473">
        <v>0.48174410000000001</v>
      </c>
    </row>
    <row r="474" spans="1:10" x14ac:dyDescent="0.3">
      <c r="A474">
        <v>472</v>
      </c>
      <c r="B474">
        <v>8851</v>
      </c>
      <c r="C474" t="b">
        <v>1</v>
      </c>
      <c r="D474">
        <v>8054</v>
      </c>
      <c r="E474">
        <v>8105</v>
      </c>
      <c r="F474">
        <v>227.06666999999999</v>
      </c>
      <c r="G474">
        <v>210.93333000000001</v>
      </c>
      <c r="H474">
        <v>1.0764853999999999</v>
      </c>
      <c r="I474">
        <v>-7.6485454999999994E-2</v>
      </c>
      <c r="J474">
        <v>0.48158297</v>
      </c>
    </row>
    <row r="475" spans="1:10" x14ac:dyDescent="0.3">
      <c r="A475">
        <v>473</v>
      </c>
      <c r="B475">
        <v>8866</v>
      </c>
      <c r="C475" t="b">
        <v>1</v>
      </c>
      <c r="D475">
        <v>8054</v>
      </c>
      <c r="E475">
        <v>8123</v>
      </c>
      <c r="F475">
        <v>225.13333</v>
      </c>
      <c r="G475">
        <v>210.2</v>
      </c>
      <c r="H475">
        <v>1.0710435</v>
      </c>
      <c r="I475">
        <v>-7.1043454000000006E-2</v>
      </c>
      <c r="J475">
        <v>0.48284840000000001</v>
      </c>
    </row>
    <row r="476" spans="1:10" x14ac:dyDescent="0.3">
      <c r="A476">
        <v>474</v>
      </c>
      <c r="B476">
        <v>8883</v>
      </c>
      <c r="C476" t="b">
        <v>1</v>
      </c>
      <c r="D476">
        <v>8042</v>
      </c>
      <c r="E476">
        <v>8105</v>
      </c>
      <c r="F476">
        <v>223.6</v>
      </c>
      <c r="G476">
        <v>208.66667000000001</v>
      </c>
      <c r="H476">
        <v>1.0715654999999999</v>
      </c>
      <c r="I476">
        <v>-7.1565500000000004E-2</v>
      </c>
      <c r="J476">
        <v>0.48272672</v>
      </c>
    </row>
    <row r="477" spans="1:10" x14ac:dyDescent="0.3">
      <c r="A477">
        <v>475</v>
      </c>
      <c r="B477">
        <v>8914</v>
      </c>
      <c r="C477" t="b">
        <v>1</v>
      </c>
      <c r="D477">
        <v>8094</v>
      </c>
      <c r="E477">
        <v>8129</v>
      </c>
      <c r="F477">
        <v>222.06666999999999</v>
      </c>
      <c r="G477">
        <v>207.46665999999999</v>
      </c>
      <c r="H477">
        <v>1.0703727999999999</v>
      </c>
      <c r="I477">
        <v>-7.0372779999999996E-2</v>
      </c>
      <c r="J477">
        <v>0.48300480000000001</v>
      </c>
    </row>
    <row r="478" spans="1:10" x14ac:dyDescent="0.3">
      <c r="A478">
        <v>476</v>
      </c>
      <c r="B478">
        <v>8930</v>
      </c>
      <c r="C478" t="b">
        <v>1</v>
      </c>
      <c r="D478">
        <v>8071</v>
      </c>
      <c r="E478">
        <v>8140</v>
      </c>
      <c r="F478">
        <v>220.93333000000001</v>
      </c>
      <c r="G478">
        <v>207.46665999999999</v>
      </c>
      <c r="H478">
        <v>1.06491</v>
      </c>
      <c r="I478">
        <v>-6.491007E-2</v>
      </c>
      <c r="J478">
        <v>0.48428258000000002</v>
      </c>
    </row>
    <row r="479" spans="1:10" x14ac:dyDescent="0.3">
      <c r="A479">
        <v>477</v>
      </c>
      <c r="B479">
        <v>8945</v>
      </c>
      <c r="C479" t="b">
        <v>1</v>
      </c>
      <c r="D479">
        <v>8054</v>
      </c>
      <c r="E479">
        <v>8140</v>
      </c>
      <c r="F479">
        <v>219.8</v>
      </c>
      <c r="G479">
        <v>207.86667</v>
      </c>
      <c r="H479">
        <v>1.0574086</v>
      </c>
      <c r="I479">
        <v>-5.7408599999999997E-2</v>
      </c>
      <c r="J479">
        <v>0.48604829999999999</v>
      </c>
    </row>
    <row r="480" spans="1:10" x14ac:dyDescent="0.3">
      <c r="A480">
        <v>478</v>
      </c>
      <c r="B480">
        <v>8961</v>
      </c>
      <c r="C480" t="b">
        <v>1</v>
      </c>
      <c r="D480">
        <v>8071</v>
      </c>
      <c r="E480">
        <v>8146</v>
      </c>
      <c r="F480">
        <v>219.8</v>
      </c>
      <c r="G480">
        <v>209</v>
      </c>
      <c r="H480">
        <v>1.0516745999999999</v>
      </c>
      <c r="I480">
        <v>-5.1674656999999999E-2</v>
      </c>
      <c r="J480">
        <v>0.48740673000000001</v>
      </c>
    </row>
    <row r="481" spans="1:10" x14ac:dyDescent="0.3">
      <c r="A481">
        <v>479</v>
      </c>
      <c r="B481">
        <v>8977</v>
      </c>
      <c r="C481" t="b">
        <v>1</v>
      </c>
      <c r="D481">
        <v>8111</v>
      </c>
      <c r="E481">
        <v>8117</v>
      </c>
      <c r="F481">
        <v>219.8</v>
      </c>
      <c r="G481">
        <v>210.13333</v>
      </c>
      <c r="H481">
        <v>1.0460024999999999</v>
      </c>
      <c r="I481">
        <v>-4.6002563000000003E-2</v>
      </c>
      <c r="J481">
        <v>0.48875794</v>
      </c>
    </row>
    <row r="482" spans="1:10" x14ac:dyDescent="0.3">
      <c r="A482">
        <v>480</v>
      </c>
      <c r="B482">
        <v>8993</v>
      </c>
      <c r="C482" t="b">
        <v>1</v>
      </c>
      <c r="D482">
        <v>8071</v>
      </c>
      <c r="E482">
        <v>8129</v>
      </c>
      <c r="F482">
        <v>219.8</v>
      </c>
      <c r="G482">
        <v>211.26666</v>
      </c>
      <c r="H482">
        <v>1.0403913</v>
      </c>
      <c r="I482">
        <v>-4.0391325999999998E-2</v>
      </c>
      <c r="J482">
        <v>0.49010208</v>
      </c>
    </row>
    <row r="483" spans="1:10" x14ac:dyDescent="0.3">
      <c r="A483">
        <v>481</v>
      </c>
      <c r="B483">
        <v>9009</v>
      </c>
      <c r="C483" t="b">
        <v>1</v>
      </c>
      <c r="D483">
        <v>8111</v>
      </c>
      <c r="E483">
        <v>8105</v>
      </c>
      <c r="F483">
        <v>220.53334000000001</v>
      </c>
      <c r="G483">
        <v>211.66667000000001</v>
      </c>
      <c r="H483">
        <v>1.0418898000000001</v>
      </c>
      <c r="I483">
        <v>-4.188977E-2</v>
      </c>
      <c r="J483">
        <v>0.48974240000000002</v>
      </c>
    </row>
    <row r="484" spans="1:10" x14ac:dyDescent="0.3">
      <c r="A484">
        <v>482</v>
      </c>
      <c r="B484">
        <v>9025</v>
      </c>
      <c r="C484" t="b">
        <v>1</v>
      </c>
      <c r="D484">
        <v>8042</v>
      </c>
      <c r="E484">
        <v>8129</v>
      </c>
      <c r="F484">
        <v>221.26666</v>
      </c>
      <c r="G484">
        <v>212.06666999999999</v>
      </c>
      <c r="H484">
        <v>1.0433825000000001</v>
      </c>
      <c r="I484">
        <v>-4.3382570000000002E-2</v>
      </c>
      <c r="J484">
        <v>0.48938461999999999</v>
      </c>
    </row>
    <row r="485" spans="1:10" x14ac:dyDescent="0.3">
      <c r="A485">
        <v>483</v>
      </c>
      <c r="B485">
        <v>9041</v>
      </c>
      <c r="C485" t="b">
        <v>1</v>
      </c>
      <c r="D485">
        <v>8094</v>
      </c>
      <c r="E485">
        <v>8123</v>
      </c>
      <c r="F485">
        <v>223.53334000000001</v>
      </c>
      <c r="G485">
        <v>212.46665999999999</v>
      </c>
      <c r="H485">
        <v>1.0520867</v>
      </c>
      <c r="I485">
        <v>-5.2086670000000002E-2</v>
      </c>
      <c r="J485">
        <v>0.48730886000000001</v>
      </c>
    </row>
    <row r="486" spans="1:10" x14ac:dyDescent="0.3">
      <c r="A486">
        <v>484</v>
      </c>
      <c r="B486">
        <v>9057</v>
      </c>
      <c r="C486" t="b">
        <v>1</v>
      </c>
      <c r="D486">
        <v>8048</v>
      </c>
      <c r="E486">
        <v>8111</v>
      </c>
      <c r="F486">
        <v>224.26666</v>
      </c>
      <c r="G486">
        <v>212.06666999999999</v>
      </c>
      <c r="H486">
        <v>1.0575291</v>
      </c>
      <c r="I486">
        <v>-5.7529065999999997E-2</v>
      </c>
      <c r="J486">
        <v>0.48601988000000002</v>
      </c>
    </row>
    <row r="487" spans="1:10" x14ac:dyDescent="0.3">
      <c r="A487">
        <v>485</v>
      </c>
      <c r="B487">
        <v>9073</v>
      </c>
      <c r="C487" t="b">
        <v>1</v>
      </c>
      <c r="D487">
        <v>8065</v>
      </c>
      <c r="E487">
        <v>8158</v>
      </c>
      <c r="F487">
        <v>224.6</v>
      </c>
      <c r="G487">
        <v>211.33332999999999</v>
      </c>
      <c r="H487">
        <v>1.0627761</v>
      </c>
      <c r="I487">
        <v>-6.2776079999999998E-2</v>
      </c>
      <c r="J487">
        <v>0.48478359999999998</v>
      </c>
    </row>
    <row r="488" spans="1:10" x14ac:dyDescent="0.3">
      <c r="A488">
        <v>486</v>
      </c>
      <c r="B488">
        <v>9089</v>
      </c>
      <c r="C488" t="b">
        <v>1</v>
      </c>
      <c r="D488">
        <v>8140</v>
      </c>
      <c r="E488">
        <v>8140</v>
      </c>
      <c r="F488">
        <v>224.93333000000001</v>
      </c>
      <c r="G488">
        <v>211</v>
      </c>
      <c r="H488">
        <v>1.0660347999999999</v>
      </c>
      <c r="I488">
        <v>-6.6034759999999998E-2</v>
      </c>
      <c r="J488">
        <v>0.48401895</v>
      </c>
    </row>
    <row r="489" spans="1:10" x14ac:dyDescent="0.3">
      <c r="A489">
        <v>487</v>
      </c>
      <c r="B489">
        <v>9120</v>
      </c>
      <c r="C489" t="b">
        <v>1</v>
      </c>
      <c r="D489">
        <v>8077</v>
      </c>
      <c r="E489">
        <v>8123</v>
      </c>
      <c r="F489">
        <v>226.46665999999999</v>
      </c>
      <c r="G489">
        <v>211.4</v>
      </c>
      <c r="H489">
        <v>1.0712710000000001</v>
      </c>
      <c r="I489">
        <v>-7.1270890000000003E-2</v>
      </c>
      <c r="J489">
        <v>0.48279539999999999</v>
      </c>
    </row>
    <row r="490" spans="1:10" x14ac:dyDescent="0.3">
      <c r="A490">
        <v>488</v>
      </c>
      <c r="B490">
        <v>9151</v>
      </c>
      <c r="C490" t="b">
        <v>1</v>
      </c>
      <c r="D490">
        <v>8042</v>
      </c>
      <c r="E490">
        <v>8146</v>
      </c>
      <c r="F490">
        <v>227.2</v>
      </c>
      <c r="G490">
        <v>212.53334000000001</v>
      </c>
      <c r="H490">
        <v>1.0690086999999999</v>
      </c>
      <c r="I490">
        <v>-6.9008730000000004E-2</v>
      </c>
      <c r="J490">
        <v>0.48332324999999998</v>
      </c>
    </row>
    <row r="491" spans="1:10" x14ac:dyDescent="0.3">
      <c r="A491">
        <v>489</v>
      </c>
      <c r="B491">
        <v>9183</v>
      </c>
      <c r="C491" t="b">
        <v>1</v>
      </c>
      <c r="D491">
        <v>8048</v>
      </c>
      <c r="E491">
        <v>8129</v>
      </c>
      <c r="F491">
        <v>227.93333000000001</v>
      </c>
      <c r="G491">
        <v>214.46665999999999</v>
      </c>
      <c r="H491">
        <v>1.0627914999999999</v>
      </c>
      <c r="I491">
        <v>-6.2791459999999993E-2</v>
      </c>
      <c r="J491">
        <v>0.48477998</v>
      </c>
    </row>
    <row r="492" spans="1:10" x14ac:dyDescent="0.3">
      <c r="A492">
        <v>490</v>
      </c>
      <c r="B492">
        <v>9215</v>
      </c>
      <c r="C492" t="b">
        <v>1</v>
      </c>
      <c r="D492">
        <v>8077</v>
      </c>
      <c r="E492">
        <v>8117</v>
      </c>
      <c r="F492">
        <v>229.46665999999999</v>
      </c>
      <c r="G492">
        <v>215.66667000000001</v>
      </c>
      <c r="H492">
        <v>1.0639875999999999</v>
      </c>
      <c r="I492">
        <v>-6.3987575000000005E-2</v>
      </c>
      <c r="J492">
        <v>0.48449903999999999</v>
      </c>
    </row>
    <row r="493" spans="1:10" x14ac:dyDescent="0.3">
      <c r="A493">
        <v>491</v>
      </c>
      <c r="B493">
        <v>9247</v>
      </c>
      <c r="C493" t="b">
        <v>1</v>
      </c>
      <c r="D493">
        <v>8042</v>
      </c>
      <c r="E493">
        <v>8111</v>
      </c>
      <c r="F493">
        <v>229.06666999999999</v>
      </c>
      <c r="G493">
        <v>215.66667000000001</v>
      </c>
      <c r="H493">
        <v>1.0621328000000001</v>
      </c>
      <c r="I493">
        <v>-6.2132890000000003E-2</v>
      </c>
      <c r="J493">
        <v>0.4849348</v>
      </c>
    </row>
    <row r="494" spans="1:10" x14ac:dyDescent="0.3">
      <c r="A494">
        <v>492</v>
      </c>
      <c r="B494">
        <v>9278</v>
      </c>
      <c r="C494" t="b">
        <v>1</v>
      </c>
      <c r="D494">
        <v>8117</v>
      </c>
      <c r="E494">
        <v>8099</v>
      </c>
      <c r="F494">
        <v>228.66667000000001</v>
      </c>
      <c r="G494">
        <v>214.86667</v>
      </c>
      <c r="H494">
        <v>1.0642259000000001</v>
      </c>
      <c r="I494">
        <v>-6.4225889999999994E-2</v>
      </c>
      <c r="J494">
        <v>0.48444313</v>
      </c>
    </row>
    <row r="495" spans="1:10" x14ac:dyDescent="0.3">
      <c r="A495">
        <v>493</v>
      </c>
      <c r="B495">
        <v>9299</v>
      </c>
      <c r="C495" t="b">
        <v>1</v>
      </c>
      <c r="D495">
        <v>8071</v>
      </c>
      <c r="E495">
        <v>8140</v>
      </c>
      <c r="F495">
        <v>228.66667000000001</v>
      </c>
      <c r="G495">
        <v>213.33332999999999</v>
      </c>
      <c r="H495">
        <v>1.0718751</v>
      </c>
      <c r="I495">
        <v>-7.1875049999999996E-2</v>
      </c>
      <c r="J495">
        <v>0.48265459999999999</v>
      </c>
    </row>
    <row r="496" spans="1:10" x14ac:dyDescent="0.3">
      <c r="A496">
        <v>494</v>
      </c>
      <c r="B496">
        <v>9330</v>
      </c>
      <c r="C496" t="b">
        <v>1</v>
      </c>
      <c r="D496">
        <v>8065</v>
      </c>
      <c r="E496">
        <v>8134</v>
      </c>
      <c r="F496">
        <v>228.66667000000001</v>
      </c>
      <c r="G496">
        <v>211.8</v>
      </c>
      <c r="H496">
        <v>1.0796349000000001</v>
      </c>
      <c r="I496">
        <v>-7.9634880000000005E-2</v>
      </c>
      <c r="J496">
        <v>0.48085365000000002</v>
      </c>
    </row>
    <row r="497" spans="1:10" x14ac:dyDescent="0.3">
      <c r="A497">
        <v>495</v>
      </c>
      <c r="B497">
        <v>9345</v>
      </c>
      <c r="C497" t="b">
        <v>1</v>
      </c>
      <c r="D497">
        <v>8060</v>
      </c>
      <c r="E497">
        <v>8140</v>
      </c>
      <c r="F497">
        <v>228.26666</v>
      </c>
      <c r="G497">
        <v>211.4</v>
      </c>
      <c r="H497">
        <v>1.0797855999999999</v>
      </c>
      <c r="I497">
        <v>-7.978557E-2</v>
      </c>
      <c r="J497">
        <v>0.48081879999999999</v>
      </c>
    </row>
    <row r="498" spans="1:10" x14ac:dyDescent="0.3">
      <c r="A498">
        <v>496</v>
      </c>
      <c r="B498">
        <v>9361</v>
      </c>
      <c r="C498" t="b">
        <v>1</v>
      </c>
      <c r="D498">
        <v>8042</v>
      </c>
      <c r="E498">
        <v>8140</v>
      </c>
      <c r="F498">
        <v>227.86667</v>
      </c>
      <c r="G498">
        <v>212.13333</v>
      </c>
      <c r="H498">
        <v>1.0741673</v>
      </c>
      <c r="I498">
        <v>-7.4167209999999997E-2</v>
      </c>
      <c r="J498">
        <v>0.48212120000000003</v>
      </c>
    </row>
    <row r="499" spans="1:10" x14ac:dyDescent="0.3">
      <c r="A499">
        <v>497</v>
      </c>
      <c r="B499">
        <v>9393</v>
      </c>
      <c r="C499" t="b">
        <v>1</v>
      </c>
      <c r="D499">
        <v>8077</v>
      </c>
      <c r="E499">
        <v>8146</v>
      </c>
      <c r="F499">
        <v>227.46665999999999</v>
      </c>
      <c r="G499">
        <v>212.86667</v>
      </c>
      <c r="H499">
        <v>1.0685875</v>
      </c>
      <c r="I499">
        <v>-6.8587490000000001E-2</v>
      </c>
      <c r="J499">
        <v>0.48342168000000002</v>
      </c>
    </row>
    <row r="500" spans="1:10" x14ac:dyDescent="0.3">
      <c r="A500">
        <v>498</v>
      </c>
      <c r="B500">
        <v>9425</v>
      </c>
      <c r="C500" t="b">
        <v>1</v>
      </c>
      <c r="D500">
        <v>8060</v>
      </c>
      <c r="E500">
        <v>8152</v>
      </c>
      <c r="F500">
        <v>225.2</v>
      </c>
      <c r="G500">
        <v>214</v>
      </c>
      <c r="H500">
        <v>1.0523365</v>
      </c>
      <c r="I500">
        <v>-5.2336436E-2</v>
      </c>
      <c r="J500">
        <v>0.48724951999999999</v>
      </c>
    </row>
    <row r="501" spans="1:10" x14ac:dyDescent="0.3">
      <c r="A501">
        <v>499</v>
      </c>
      <c r="B501">
        <v>9455</v>
      </c>
      <c r="C501" t="b">
        <v>1</v>
      </c>
      <c r="D501">
        <v>8060</v>
      </c>
      <c r="E501">
        <v>8170</v>
      </c>
      <c r="F501">
        <v>224.46665999999999</v>
      </c>
      <c r="G501">
        <v>215.53334000000001</v>
      </c>
      <c r="H501">
        <v>1.0414475000000001</v>
      </c>
      <c r="I501">
        <v>-4.1447505000000003E-2</v>
      </c>
      <c r="J501">
        <v>0.48984850000000002</v>
      </c>
    </row>
    <row r="502" spans="1:10" x14ac:dyDescent="0.3">
      <c r="A502">
        <v>500</v>
      </c>
      <c r="B502">
        <v>9486</v>
      </c>
      <c r="C502" t="b">
        <v>1</v>
      </c>
      <c r="D502">
        <v>8083</v>
      </c>
      <c r="E502">
        <v>8188</v>
      </c>
      <c r="F502">
        <v>224.13333</v>
      </c>
      <c r="G502">
        <v>217.46665999999999</v>
      </c>
      <c r="H502">
        <v>1.0306561000000001</v>
      </c>
      <c r="I502">
        <v>-3.0656064E-2</v>
      </c>
      <c r="J502">
        <v>0.49245169999999999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E8F2-31B3-493D-A09E-6B9B59687838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30</v>
      </c>
      <c r="C3" t="b">
        <v>1</v>
      </c>
      <c r="D3">
        <v>8054</v>
      </c>
      <c r="E3">
        <v>8123</v>
      </c>
      <c r="F3">
        <v>11</v>
      </c>
      <c r="G3">
        <v>8</v>
      </c>
      <c r="H3">
        <v>1.375</v>
      </c>
      <c r="I3">
        <v>-0.375</v>
      </c>
      <c r="J3">
        <v>0.42105262999999998</v>
      </c>
    </row>
    <row r="4" spans="1:10" x14ac:dyDescent="0.3">
      <c r="A4">
        <v>2</v>
      </c>
      <c r="B4">
        <v>47</v>
      </c>
      <c r="C4" t="b">
        <v>1</v>
      </c>
      <c r="D4">
        <v>8048</v>
      </c>
      <c r="E4">
        <v>8123</v>
      </c>
      <c r="F4">
        <v>10</v>
      </c>
      <c r="G4">
        <v>8</v>
      </c>
      <c r="H4">
        <v>1.25</v>
      </c>
      <c r="I4">
        <v>-0.25</v>
      </c>
      <c r="J4">
        <v>0.44444444999999999</v>
      </c>
    </row>
    <row r="5" spans="1:10" x14ac:dyDescent="0.3">
      <c r="A5">
        <v>3</v>
      </c>
      <c r="B5">
        <v>62</v>
      </c>
      <c r="C5" t="b">
        <v>1</v>
      </c>
      <c r="D5">
        <v>8048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79</v>
      </c>
      <c r="C6" t="b">
        <v>1</v>
      </c>
      <c r="D6">
        <v>8048</v>
      </c>
      <c r="E6">
        <v>8123</v>
      </c>
      <c r="F6">
        <v>9.1999999999999993</v>
      </c>
      <c r="G6">
        <v>8</v>
      </c>
      <c r="H6">
        <v>1.1499999999999999</v>
      </c>
      <c r="I6">
        <v>-0.14999998</v>
      </c>
      <c r="J6">
        <v>0.46511626</v>
      </c>
    </row>
    <row r="7" spans="1:10" x14ac:dyDescent="0.3">
      <c r="A7">
        <v>5</v>
      </c>
      <c r="B7">
        <v>94</v>
      </c>
      <c r="C7" t="b">
        <v>1</v>
      </c>
      <c r="D7">
        <v>8048</v>
      </c>
      <c r="E7">
        <v>8117</v>
      </c>
      <c r="F7">
        <v>9</v>
      </c>
      <c r="G7">
        <v>8</v>
      </c>
      <c r="H7">
        <v>1.125</v>
      </c>
      <c r="I7">
        <v>-0.125</v>
      </c>
      <c r="J7">
        <v>0.47058823999999999</v>
      </c>
    </row>
    <row r="8" spans="1:10" x14ac:dyDescent="0.3">
      <c r="A8">
        <v>6</v>
      </c>
      <c r="B8">
        <v>110</v>
      </c>
      <c r="C8" t="b">
        <v>1</v>
      </c>
      <c r="D8">
        <v>8048</v>
      </c>
      <c r="E8">
        <v>8117</v>
      </c>
      <c r="F8">
        <v>8.8571419999999996</v>
      </c>
      <c r="G8">
        <v>8</v>
      </c>
      <c r="H8">
        <v>1.1071428000000001</v>
      </c>
      <c r="I8">
        <v>-0.10714280599999999</v>
      </c>
      <c r="J8">
        <v>0.47457626000000003</v>
      </c>
    </row>
    <row r="9" spans="1:10" x14ac:dyDescent="0.3">
      <c r="A9">
        <v>7</v>
      </c>
      <c r="B9">
        <v>126</v>
      </c>
      <c r="C9" t="b">
        <v>1</v>
      </c>
      <c r="D9">
        <v>8048</v>
      </c>
      <c r="E9">
        <v>8123</v>
      </c>
      <c r="F9">
        <v>8.75</v>
      </c>
      <c r="G9">
        <v>8</v>
      </c>
      <c r="H9">
        <v>1.09375</v>
      </c>
      <c r="I9">
        <v>-9.375E-2</v>
      </c>
      <c r="J9">
        <v>0.47761193000000002</v>
      </c>
    </row>
    <row r="10" spans="1:10" x14ac:dyDescent="0.3">
      <c r="A10">
        <v>8</v>
      </c>
      <c r="B10">
        <v>142</v>
      </c>
      <c r="C10" t="b">
        <v>1</v>
      </c>
      <c r="D10">
        <v>8048</v>
      </c>
      <c r="E10">
        <v>8123</v>
      </c>
      <c r="F10">
        <v>8.6666670000000003</v>
      </c>
      <c r="G10">
        <v>8</v>
      </c>
      <c r="H10">
        <v>1.0833333999999999</v>
      </c>
      <c r="I10">
        <v>-8.3333370000000004E-2</v>
      </c>
      <c r="J10">
        <v>0.47999996</v>
      </c>
    </row>
    <row r="11" spans="1:10" x14ac:dyDescent="0.3">
      <c r="A11">
        <v>9</v>
      </c>
      <c r="B11">
        <v>158</v>
      </c>
      <c r="C11" t="b">
        <v>1</v>
      </c>
      <c r="D11">
        <v>8048</v>
      </c>
      <c r="E11">
        <v>8123</v>
      </c>
      <c r="F11">
        <v>8.6</v>
      </c>
      <c r="G11">
        <v>8</v>
      </c>
      <c r="H11">
        <v>1.075</v>
      </c>
      <c r="I11">
        <v>-7.5000049999999999E-2</v>
      </c>
      <c r="J11">
        <v>0.48192770000000001</v>
      </c>
    </row>
    <row r="12" spans="1:10" x14ac:dyDescent="0.3">
      <c r="A12">
        <v>10</v>
      </c>
      <c r="B12">
        <v>174</v>
      </c>
      <c r="C12" t="b">
        <v>1</v>
      </c>
      <c r="D12">
        <v>8048</v>
      </c>
      <c r="E12">
        <v>8123</v>
      </c>
      <c r="F12">
        <v>8.5454550000000005</v>
      </c>
      <c r="G12">
        <v>8</v>
      </c>
      <c r="H12">
        <v>1.0681818999999999</v>
      </c>
      <c r="I12">
        <v>-6.8181870000000006E-2</v>
      </c>
      <c r="J12">
        <v>0.48351644999999999</v>
      </c>
    </row>
    <row r="13" spans="1:10" x14ac:dyDescent="0.3">
      <c r="A13">
        <v>11</v>
      </c>
      <c r="B13">
        <v>190</v>
      </c>
      <c r="C13" t="b">
        <v>1</v>
      </c>
      <c r="D13">
        <v>8054</v>
      </c>
      <c r="E13">
        <v>8123</v>
      </c>
      <c r="F13">
        <v>8.5</v>
      </c>
      <c r="G13">
        <v>8</v>
      </c>
      <c r="H13">
        <v>1.0625</v>
      </c>
      <c r="I13">
        <v>-6.25E-2</v>
      </c>
      <c r="J13">
        <v>0.48484850000000002</v>
      </c>
    </row>
    <row r="14" spans="1:10" x14ac:dyDescent="0.3">
      <c r="A14">
        <v>12</v>
      </c>
      <c r="B14">
        <v>206</v>
      </c>
      <c r="C14" t="b">
        <v>1</v>
      </c>
      <c r="D14">
        <v>8048</v>
      </c>
      <c r="E14">
        <v>8117</v>
      </c>
      <c r="F14">
        <v>8.4615379999999991</v>
      </c>
      <c r="G14">
        <v>8</v>
      </c>
      <c r="H14">
        <v>1.0576923</v>
      </c>
      <c r="I14">
        <v>-5.769229E-2</v>
      </c>
      <c r="J14">
        <v>0.48598131999999999</v>
      </c>
    </row>
    <row r="15" spans="1:10" x14ac:dyDescent="0.3">
      <c r="A15">
        <v>13</v>
      </c>
      <c r="B15">
        <v>221</v>
      </c>
      <c r="C15" t="b">
        <v>1</v>
      </c>
      <c r="D15">
        <v>8048</v>
      </c>
      <c r="E15">
        <v>8111</v>
      </c>
      <c r="F15">
        <v>8.4285720000000008</v>
      </c>
      <c r="G15">
        <v>8</v>
      </c>
      <c r="H15">
        <v>1.0535715000000001</v>
      </c>
      <c r="I15">
        <v>-5.3571463E-2</v>
      </c>
      <c r="J15">
        <v>0.48695650000000001</v>
      </c>
    </row>
    <row r="16" spans="1:10" x14ac:dyDescent="0.3">
      <c r="A16">
        <v>14</v>
      </c>
      <c r="B16">
        <v>237</v>
      </c>
      <c r="C16" t="b">
        <v>1</v>
      </c>
      <c r="D16">
        <v>8048</v>
      </c>
      <c r="E16">
        <v>8117</v>
      </c>
      <c r="F16">
        <v>8.4</v>
      </c>
      <c r="G16">
        <v>7.6</v>
      </c>
      <c r="H16">
        <v>1.1052630999999999</v>
      </c>
      <c r="I16">
        <v>-0.10526312</v>
      </c>
      <c r="J16">
        <v>0.47499999999999998</v>
      </c>
    </row>
    <row r="17" spans="1:10" x14ac:dyDescent="0.3">
      <c r="A17">
        <v>15</v>
      </c>
      <c r="B17">
        <v>253</v>
      </c>
      <c r="C17" t="b">
        <v>1</v>
      </c>
      <c r="D17">
        <v>8048</v>
      </c>
      <c r="E17">
        <v>8117</v>
      </c>
      <c r="F17">
        <v>8.4</v>
      </c>
      <c r="G17">
        <v>7.2</v>
      </c>
      <c r="H17">
        <v>1.1666666000000001</v>
      </c>
      <c r="I17">
        <v>-0.16666664</v>
      </c>
      <c r="J17">
        <v>0.46153845999999998</v>
      </c>
    </row>
    <row r="18" spans="1:10" x14ac:dyDescent="0.3">
      <c r="A18">
        <v>16</v>
      </c>
      <c r="B18">
        <v>269</v>
      </c>
      <c r="C18" t="b">
        <v>1</v>
      </c>
      <c r="D18">
        <v>8048</v>
      </c>
      <c r="E18">
        <v>8117</v>
      </c>
      <c r="F18">
        <v>8</v>
      </c>
      <c r="G18">
        <v>6.8</v>
      </c>
      <c r="H18">
        <v>1.1764705</v>
      </c>
      <c r="I18">
        <v>-0.17647055</v>
      </c>
      <c r="J18">
        <v>0.45945944999999999</v>
      </c>
    </row>
    <row r="19" spans="1:10" x14ac:dyDescent="0.3">
      <c r="A19">
        <v>17</v>
      </c>
      <c r="B19">
        <v>285</v>
      </c>
      <c r="C19" t="b">
        <v>1</v>
      </c>
      <c r="D19">
        <v>8048</v>
      </c>
      <c r="E19">
        <v>8117</v>
      </c>
      <c r="F19">
        <v>8</v>
      </c>
      <c r="G19">
        <v>6.4</v>
      </c>
      <c r="H19">
        <v>1.25</v>
      </c>
      <c r="I19">
        <v>-0.24999999000000001</v>
      </c>
      <c r="J19">
        <v>0.44444447999999998</v>
      </c>
    </row>
    <row r="20" spans="1:10" x14ac:dyDescent="0.3">
      <c r="A20">
        <v>18</v>
      </c>
      <c r="B20">
        <v>301</v>
      </c>
      <c r="C20" t="b">
        <v>1</v>
      </c>
      <c r="D20">
        <v>8048</v>
      </c>
      <c r="E20">
        <v>8117</v>
      </c>
      <c r="F20">
        <v>8</v>
      </c>
      <c r="G20">
        <v>6</v>
      </c>
      <c r="H20">
        <v>1.3333333999999999</v>
      </c>
      <c r="I20">
        <v>-0.33333333999999998</v>
      </c>
      <c r="J20">
        <v>0.42857142999999998</v>
      </c>
    </row>
    <row r="21" spans="1:10" x14ac:dyDescent="0.3">
      <c r="A21">
        <v>19</v>
      </c>
      <c r="B21">
        <v>317</v>
      </c>
      <c r="C21" t="b">
        <v>1</v>
      </c>
      <c r="D21">
        <v>8048</v>
      </c>
      <c r="E21">
        <v>8117</v>
      </c>
      <c r="F21">
        <v>8</v>
      </c>
      <c r="G21">
        <v>5.6</v>
      </c>
      <c r="H21">
        <v>1.4285715000000001</v>
      </c>
      <c r="I21">
        <v>-0.42857146000000002</v>
      </c>
      <c r="J21">
        <v>0.41176467999999999</v>
      </c>
    </row>
    <row r="22" spans="1:10" x14ac:dyDescent="0.3">
      <c r="A22">
        <v>20</v>
      </c>
      <c r="B22">
        <v>333</v>
      </c>
      <c r="C22" t="b">
        <v>1</v>
      </c>
      <c r="D22">
        <v>8048</v>
      </c>
      <c r="E22">
        <v>8117</v>
      </c>
      <c r="F22">
        <v>8</v>
      </c>
      <c r="G22">
        <v>5.2</v>
      </c>
      <c r="H22">
        <v>1.5384616</v>
      </c>
      <c r="I22">
        <v>-0.53846156999999994</v>
      </c>
      <c r="J22">
        <v>0.39393938000000001</v>
      </c>
    </row>
    <row r="23" spans="1:10" x14ac:dyDescent="0.3">
      <c r="A23">
        <v>21</v>
      </c>
      <c r="B23">
        <v>348</v>
      </c>
      <c r="C23" t="b">
        <v>1</v>
      </c>
      <c r="D23">
        <v>8054</v>
      </c>
      <c r="E23">
        <v>8111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364</v>
      </c>
      <c r="C24" t="b">
        <v>1</v>
      </c>
      <c r="D24">
        <v>8048</v>
      </c>
      <c r="E24">
        <v>8111</v>
      </c>
      <c r="F24">
        <v>8</v>
      </c>
      <c r="G24">
        <v>4.4000000000000004</v>
      </c>
      <c r="H24">
        <v>1.8181818000000001</v>
      </c>
      <c r="I24">
        <v>-0.81818175000000004</v>
      </c>
      <c r="J24">
        <v>0.35483872999999999</v>
      </c>
    </row>
    <row r="25" spans="1:10" x14ac:dyDescent="0.3">
      <c r="A25">
        <v>23</v>
      </c>
      <c r="B25">
        <v>380</v>
      </c>
      <c r="C25" t="b">
        <v>1</v>
      </c>
      <c r="D25">
        <v>8048</v>
      </c>
      <c r="E25">
        <v>8117</v>
      </c>
      <c r="F25">
        <v>8</v>
      </c>
      <c r="G25">
        <v>4</v>
      </c>
      <c r="H25">
        <v>2</v>
      </c>
      <c r="I25">
        <v>-1</v>
      </c>
      <c r="J25">
        <v>0.33333333999999998</v>
      </c>
    </row>
    <row r="26" spans="1:10" x14ac:dyDescent="0.3">
      <c r="A26">
        <v>24</v>
      </c>
      <c r="B26">
        <v>396</v>
      </c>
      <c r="C26" t="b">
        <v>1</v>
      </c>
      <c r="D26">
        <v>8048</v>
      </c>
      <c r="E26">
        <v>8123</v>
      </c>
      <c r="F26">
        <v>8</v>
      </c>
      <c r="G26">
        <v>3.6</v>
      </c>
      <c r="H26">
        <v>2.2222222999999999</v>
      </c>
      <c r="I26">
        <v>-1.2222223000000001</v>
      </c>
      <c r="J26">
        <v>0.31034482000000002</v>
      </c>
    </row>
    <row r="27" spans="1:10" x14ac:dyDescent="0.3">
      <c r="A27">
        <v>25</v>
      </c>
      <c r="B27">
        <v>412</v>
      </c>
      <c r="C27" t="b">
        <v>1</v>
      </c>
      <c r="D27">
        <v>8048</v>
      </c>
      <c r="E27">
        <v>8123</v>
      </c>
      <c r="F27">
        <v>8</v>
      </c>
      <c r="G27">
        <v>3.2</v>
      </c>
      <c r="H27">
        <v>2.5</v>
      </c>
      <c r="I27">
        <v>-1.5</v>
      </c>
      <c r="J27">
        <v>0.28571429999999998</v>
      </c>
    </row>
    <row r="28" spans="1:10" x14ac:dyDescent="0.3">
      <c r="A28">
        <v>26</v>
      </c>
      <c r="B28">
        <v>428</v>
      </c>
      <c r="C28" t="b">
        <v>1</v>
      </c>
      <c r="D28">
        <v>8048</v>
      </c>
      <c r="E28">
        <v>8117</v>
      </c>
      <c r="F28">
        <v>8</v>
      </c>
      <c r="G28">
        <v>2.8</v>
      </c>
      <c r="H28">
        <v>2.8571430000000002</v>
      </c>
      <c r="I28">
        <v>-1.8571428000000001</v>
      </c>
      <c r="J28">
        <v>0.25925925</v>
      </c>
    </row>
    <row r="29" spans="1:10" x14ac:dyDescent="0.3">
      <c r="A29">
        <v>27</v>
      </c>
      <c r="B29">
        <v>444</v>
      </c>
      <c r="C29" t="b">
        <v>1</v>
      </c>
      <c r="D29">
        <v>8048</v>
      </c>
      <c r="E29">
        <v>8123</v>
      </c>
      <c r="F29">
        <v>8</v>
      </c>
      <c r="G29">
        <v>2.8</v>
      </c>
      <c r="H29">
        <v>2.8571430000000002</v>
      </c>
      <c r="I29">
        <v>-1.8571428000000001</v>
      </c>
      <c r="J29">
        <v>0.25925925</v>
      </c>
    </row>
    <row r="30" spans="1:10" x14ac:dyDescent="0.3">
      <c r="A30">
        <v>28</v>
      </c>
      <c r="B30">
        <v>460</v>
      </c>
      <c r="C30" t="b">
        <v>1</v>
      </c>
      <c r="D30">
        <v>8048</v>
      </c>
      <c r="E30">
        <v>8117</v>
      </c>
      <c r="F30">
        <v>8</v>
      </c>
      <c r="G30">
        <v>2.8</v>
      </c>
      <c r="H30">
        <v>2.8571430000000002</v>
      </c>
      <c r="I30">
        <v>-1.8571428000000001</v>
      </c>
      <c r="J30">
        <v>0.25925925</v>
      </c>
    </row>
    <row r="31" spans="1:10" x14ac:dyDescent="0.3">
      <c r="A31">
        <v>29</v>
      </c>
      <c r="B31">
        <v>475</v>
      </c>
      <c r="C31" t="b">
        <v>1</v>
      </c>
      <c r="D31">
        <v>8054</v>
      </c>
      <c r="E31">
        <v>8123</v>
      </c>
      <c r="F31">
        <v>8</v>
      </c>
      <c r="G31">
        <v>3.2</v>
      </c>
      <c r="H31">
        <v>2.5</v>
      </c>
      <c r="I31">
        <v>-1.5</v>
      </c>
      <c r="J31">
        <v>0.28571429999999998</v>
      </c>
    </row>
    <row r="32" spans="1:10" x14ac:dyDescent="0.3">
      <c r="A32">
        <v>30</v>
      </c>
      <c r="B32">
        <v>491</v>
      </c>
      <c r="C32" t="b">
        <v>1</v>
      </c>
      <c r="D32">
        <v>8048</v>
      </c>
      <c r="E32">
        <v>8123</v>
      </c>
      <c r="F32">
        <v>8</v>
      </c>
      <c r="G32">
        <v>3.6</v>
      </c>
      <c r="H32">
        <v>2.2222222999999999</v>
      </c>
      <c r="I32">
        <v>-1.2222223000000001</v>
      </c>
      <c r="J32">
        <v>0.31034482000000002</v>
      </c>
    </row>
    <row r="33" spans="1:10" x14ac:dyDescent="0.3">
      <c r="A33">
        <v>31</v>
      </c>
      <c r="B33">
        <v>507</v>
      </c>
      <c r="C33" t="b">
        <v>1</v>
      </c>
      <c r="D33">
        <v>8054</v>
      </c>
      <c r="E33">
        <v>8117</v>
      </c>
      <c r="F33">
        <v>8</v>
      </c>
      <c r="G33">
        <v>4</v>
      </c>
      <c r="H33">
        <v>2</v>
      </c>
      <c r="I33">
        <v>-1</v>
      </c>
      <c r="J33">
        <v>0.33333333999999998</v>
      </c>
    </row>
    <row r="34" spans="1:10" x14ac:dyDescent="0.3">
      <c r="A34">
        <v>32</v>
      </c>
      <c r="B34">
        <v>523</v>
      </c>
      <c r="C34" t="b">
        <v>1</v>
      </c>
      <c r="D34">
        <v>8048</v>
      </c>
      <c r="E34">
        <v>8117</v>
      </c>
      <c r="F34">
        <v>8</v>
      </c>
      <c r="G34">
        <v>4</v>
      </c>
      <c r="H34">
        <v>2</v>
      </c>
      <c r="I34">
        <v>-1</v>
      </c>
      <c r="J34">
        <v>0.33333333999999998</v>
      </c>
    </row>
    <row r="35" spans="1:10" x14ac:dyDescent="0.3">
      <c r="A35">
        <v>33</v>
      </c>
      <c r="B35">
        <v>539</v>
      </c>
      <c r="C35" t="b">
        <v>1</v>
      </c>
      <c r="D35">
        <v>8054</v>
      </c>
      <c r="E35">
        <v>8117</v>
      </c>
      <c r="F35">
        <v>8.4</v>
      </c>
      <c r="G35">
        <v>4</v>
      </c>
      <c r="H35">
        <v>2.1</v>
      </c>
      <c r="I35">
        <v>-1.0999999</v>
      </c>
      <c r="J35">
        <v>0.32258067000000001</v>
      </c>
    </row>
    <row r="36" spans="1:10" x14ac:dyDescent="0.3">
      <c r="A36">
        <v>34</v>
      </c>
      <c r="B36">
        <v>555</v>
      </c>
      <c r="C36" t="b">
        <v>1</v>
      </c>
      <c r="D36">
        <v>8048</v>
      </c>
      <c r="E36">
        <v>8117</v>
      </c>
      <c r="F36">
        <v>8.4</v>
      </c>
      <c r="G36">
        <v>4</v>
      </c>
      <c r="H36">
        <v>2.1</v>
      </c>
      <c r="I36">
        <v>-1.0999999</v>
      </c>
      <c r="J36">
        <v>0.32258067000000001</v>
      </c>
    </row>
    <row r="37" spans="1:10" x14ac:dyDescent="0.3">
      <c r="A37">
        <v>35</v>
      </c>
      <c r="B37">
        <v>571</v>
      </c>
      <c r="C37" t="b">
        <v>1</v>
      </c>
      <c r="D37">
        <v>8048</v>
      </c>
      <c r="E37">
        <v>8117</v>
      </c>
      <c r="F37">
        <v>8.4</v>
      </c>
      <c r="G37">
        <v>4</v>
      </c>
      <c r="H37">
        <v>2.1</v>
      </c>
      <c r="I37">
        <v>-1.0999999</v>
      </c>
      <c r="J37">
        <v>0.32258067000000001</v>
      </c>
    </row>
    <row r="38" spans="1:10" x14ac:dyDescent="0.3">
      <c r="A38">
        <v>36</v>
      </c>
      <c r="B38">
        <v>587</v>
      </c>
      <c r="C38" t="b">
        <v>1</v>
      </c>
      <c r="D38">
        <v>8054</v>
      </c>
      <c r="E38">
        <v>8117</v>
      </c>
      <c r="F38">
        <v>8.4</v>
      </c>
      <c r="G38">
        <v>4</v>
      </c>
      <c r="H38">
        <v>2.1</v>
      </c>
      <c r="I38">
        <v>-1.0999999</v>
      </c>
      <c r="J38">
        <v>0.32258067000000001</v>
      </c>
    </row>
    <row r="39" spans="1:10" x14ac:dyDescent="0.3">
      <c r="A39">
        <v>37</v>
      </c>
      <c r="B39">
        <v>603</v>
      </c>
      <c r="C39" t="b">
        <v>1</v>
      </c>
      <c r="D39">
        <v>8048</v>
      </c>
      <c r="E39">
        <v>8123</v>
      </c>
      <c r="F39">
        <v>8.4</v>
      </c>
      <c r="G39">
        <v>4</v>
      </c>
      <c r="H39">
        <v>2.1</v>
      </c>
      <c r="I39">
        <v>-1.0999999</v>
      </c>
      <c r="J39">
        <v>0.32258067000000001</v>
      </c>
    </row>
    <row r="40" spans="1:10" x14ac:dyDescent="0.3">
      <c r="A40">
        <v>38</v>
      </c>
      <c r="B40">
        <v>619</v>
      </c>
      <c r="C40" t="b">
        <v>1</v>
      </c>
      <c r="D40">
        <v>8048</v>
      </c>
      <c r="E40">
        <v>8123</v>
      </c>
      <c r="F40">
        <v>8.4</v>
      </c>
      <c r="G40">
        <v>4</v>
      </c>
      <c r="H40">
        <v>2.1</v>
      </c>
      <c r="I40">
        <v>-1.0999999</v>
      </c>
      <c r="J40">
        <v>0.32258067000000001</v>
      </c>
    </row>
    <row r="41" spans="1:10" x14ac:dyDescent="0.3">
      <c r="A41">
        <v>39</v>
      </c>
      <c r="B41">
        <v>635</v>
      </c>
      <c r="C41" t="b">
        <v>1</v>
      </c>
      <c r="D41">
        <v>8048</v>
      </c>
      <c r="E41">
        <v>8117</v>
      </c>
      <c r="F41">
        <v>8.4</v>
      </c>
      <c r="G41">
        <v>4</v>
      </c>
      <c r="H41">
        <v>2.1</v>
      </c>
      <c r="I41">
        <v>-1.0999999</v>
      </c>
      <c r="J41">
        <v>0.32258067000000001</v>
      </c>
    </row>
    <row r="42" spans="1:10" x14ac:dyDescent="0.3">
      <c r="A42">
        <v>40</v>
      </c>
      <c r="B42">
        <v>651</v>
      </c>
      <c r="C42" t="b">
        <v>1</v>
      </c>
      <c r="D42">
        <v>8054</v>
      </c>
      <c r="E42">
        <v>8123</v>
      </c>
      <c r="F42">
        <v>8.4</v>
      </c>
      <c r="G42">
        <v>4.4000000000000004</v>
      </c>
      <c r="H42">
        <v>1.9090908</v>
      </c>
      <c r="I42">
        <v>-0.90909076</v>
      </c>
      <c r="J42">
        <v>0.34375002999999998</v>
      </c>
    </row>
    <row r="43" spans="1:10" x14ac:dyDescent="0.3">
      <c r="A43">
        <v>41</v>
      </c>
      <c r="B43">
        <v>674</v>
      </c>
      <c r="C43" t="b">
        <v>1</v>
      </c>
      <c r="D43">
        <v>8042</v>
      </c>
      <c r="E43">
        <v>8123</v>
      </c>
      <c r="F43">
        <v>8.4</v>
      </c>
      <c r="G43">
        <v>4.8</v>
      </c>
      <c r="H43">
        <v>1.7499998999999999</v>
      </c>
      <c r="I43">
        <v>-0.74999990000000005</v>
      </c>
      <c r="J43">
        <v>0.36363636999999999</v>
      </c>
    </row>
    <row r="44" spans="1:10" x14ac:dyDescent="0.3">
      <c r="A44">
        <v>42</v>
      </c>
      <c r="B44">
        <v>690</v>
      </c>
      <c r="C44" t="b">
        <v>1</v>
      </c>
      <c r="D44">
        <v>8048</v>
      </c>
      <c r="E44">
        <v>8123</v>
      </c>
      <c r="F44">
        <v>8.4</v>
      </c>
      <c r="G44">
        <v>4.8</v>
      </c>
      <c r="H44">
        <v>1.7499998999999999</v>
      </c>
      <c r="I44">
        <v>-0.74999990000000005</v>
      </c>
      <c r="J44">
        <v>0.36363636999999999</v>
      </c>
    </row>
    <row r="45" spans="1:10" x14ac:dyDescent="0.3">
      <c r="A45">
        <v>43</v>
      </c>
      <c r="B45">
        <v>706</v>
      </c>
      <c r="C45" t="b">
        <v>1</v>
      </c>
      <c r="D45">
        <v>8054</v>
      </c>
      <c r="E45">
        <v>8123</v>
      </c>
      <c r="F45">
        <v>8.4</v>
      </c>
      <c r="G45">
        <v>4.8</v>
      </c>
      <c r="H45">
        <v>1.7499998999999999</v>
      </c>
      <c r="I45">
        <v>-0.74999990000000005</v>
      </c>
      <c r="J45">
        <v>0.36363636999999999</v>
      </c>
    </row>
    <row r="46" spans="1:10" x14ac:dyDescent="0.3">
      <c r="A46">
        <v>44</v>
      </c>
      <c r="B46">
        <v>721</v>
      </c>
      <c r="C46" t="b">
        <v>1</v>
      </c>
      <c r="D46">
        <v>8048</v>
      </c>
      <c r="E46">
        <v>8117</v>
      </c>
      <c r="F46">
        <v>8.4</v>
      </c>
      <c r="G46">
        <v>4.8</v>
      </c>
      <c r="H46">
        <v>1.7499998999999999</v>
      </c>
      <c r="I46">
        <v>-0.74999990000000005</v>
      </c>
      <c r="J46">
        <v>0.36363636999999999</v>
      </c>
    </row>
    <row r="47" spans="1:10" x14ac:dyDescent="0.3">
      <c r="A47">
        <v>45</v>
      </c>
      <c r="B47">
        <v>737</v>
      </c>
      <c r="C47" t="b">
        <v>1</v>
      </c>
      <c r="D47">
        <v>8048</v>
      </c>
      <c r="E47">
        <v>8123</v>
      </c>
      <c r="F47">
        <v>8.4</v>
      </c>
      <c r="G47">
        <v>4.8</v>
      </c>
      <c r="H47">
        <v>1.7499998999999999</v>
      </c>
      <c r="I47">
        <v>-0.74999990000000005</v>
      </c>
      <c r="J47">
        <v>0.36363636999999999</v>
      </c>
    </row>
    <row r="48" spans="1:10" x14ac:dyDescent="0.3">
      <c r="A48">
        <v>46</v>
      </c>
      <c r="B48">
        <v>753</v>
      </c>
      <c r="C48" t="b">
        <v>1</v>
      </c>
      <c r="D48">
        <v>8048</v>
      </c>
      <c r="E48">
        <v>8117</v>
      </c>
      <c r="F48">
        <v>8.4</v>
      </c>
      <c r="G48">
        <v>4.8</v>
      </c>
      <c r="H48">
        <v>1.7499998999999999</v>
      </c>
      <c r="I48">
        <v>-0.74999990000000005</v>
      </c>
      <c r="J48">
        <v>0.36363636999999999</v>
      </c>
    </row>
    <row r="49" spans="1:10" x14ac:dyDescent="0.3">
      <c r="A49">
        <v>47</v>
      </c>
      <c r="B49">
        <v>769</v>
      </c>
      <c r="C49" t="b">
        <v>1</v>
      </c>
      <c r="D49">
        <v>8048</v>
      </c>
      <c r="E49">
        <v>8123</v>
      </c>
      <c r="F49">
        <v>8.4</v>
      </c>
      <c r="G49">
        <v>5.2</v>
      </c>
      <c r="H49">
        <v>1.6153846000000001</v>
      </c>
      <c r="I49">
        <v>-0.61538459999999995</v>
      </c>
      <c r="J49">
        <v>0.38235295000000002</v>
      </c>
    </row>
    <row r="50" spans="1:10" x14ac:dyDescent="0.3">
      <c r="A50">
        <v>48</v>
      </c>
      <c r="B50">
        <v>785</v>
      </c>
      <c r="C50" t="b">
        <v>1</v>
      </c>
      <c r="D50">
        <v>8048</v>
      </c>
      <c r="E50">
        <v>8123</v>
      </c>
      <c r="F50">
        <v>8</v>
      </c>
      <c r="G50">
        <v>5.6</v>
      </c>
      <c r="H50">
        <v>1.4285715000000001</v>
      </c>
      <c r="I50">
        <v>-0.42857146000000002</v>
      </c>
      <c r="J50">
        <v>0.41176467999999999</v>
      </c>
    </row>
    <row r="51" spans="1:10" x14ac:dyDescent="0.3">
      <c r="A51">
        <v>49</v>
      </c>
      <c r="B51">
        <v>801</v>
      </c>
      <c r="C51" t="b">
        <v>1</v>
      </c>
      <c r="D51">
        <v>8048</v>
      </c>
      <c r="E51">
        <v>8123</v>
      </c>
      <c r="F51">
        <v>8</v>
      </c>
      <c r="G51">
        <v>6</v>
      </c>
      <c r="H51">
        <v>1.3333333999999999</v>
      </c>
      <c r="I51">
        <v>-0.33333333999999998</v>
      </c>
      <c r="J51">
        <v>0.42857142999999998</v>
      </c>
    </row>
    <row r="52" spans="1:10" x14ac:dyDescent="0.3">
      <c r="A52">
        <v>50</v>
      </c>
      <c r="B52">
        <v>817</v>
      </c>
      <c r="C52" t="b">
        <v>1</v>
      </c>
      <c r="D52">
        <v>8048</v>
      </c>
      <c r="E52">
        <v>8117</v>
      </c>
      <c r="F52">
        <v>8</v>
      </c>
      <c r="G52">
        <v>6.4</v>
      </c>
      <c r="H52">
        <v>1.25</v>
      </c>
      <c r="I52">
        <v>-0.24999999000000001</v>
      </c>
      <c r="J52">
        <v>0.44444447999999998</v>
      </c>
    </row>
    <row r="53" spans="1:10" x14ac:dyDescent="0.3">
      <c r="A53">
        <v>51</v>
      </c>
      <c r="B53">
        <v>832</v>
      </c>
      <c r="C53" t="b">
        <v>1</v>
      </c>
      <c r="D53">
        <v>8048</v>
      </c>
      <c r="E53">
        <v>8123</v>
      </c>
      <c r="F53">
        <v>8</v>
      </c>
      <c r="G53">
        <v>6.8</v>
      </c>
      <c r="H53">
        <v>1.1764705</v>
      </c>
      <c r="I53">
        <v>-0.17647055</v>
      </c>
      <c r="J53">
        <v>0.45945944999999999</v>
      </c>
    </row>
    <row r="54" spans="1:10" x14ac:dyDescent="0.3">
      <c r="A54">
        <v>52</v>
      </c>
      <c r="B54">
        <v>848</v>
      </c>
      <c r="C54" t="b">
        <v>1</v>
      </c>
      <c r="D54">
        <v>8048</v>
      </c>
      <c r="E54">
        <v>8123</v>
      </c>
      <c r="F54">
        <v>8</v>
      </c>
      <c r="G54">
        <v>7.2</v>
      </c>
      <c r="H54">
        <v>1.1111112000000001</v>
      </c>
      <c r="I54">
        <v>-0.11111114</v>
      </c>
      <c r="J54">
        <v>0.4736842</v>
      </c>
    </row>
    <row r="55" spans="1:10" x14ac:dyDescent="0.3">
      <c r="A55">
        <v>53</v>
      </c>
      <c r="B55">
        <v>864</v>
      </c>
      <c r="C55" t="b">
        <v>1</v>
      </c>
      <c r="D55">
        <v>8048</v>
      </c>
      <c r="E55">
        <v>8123</v>
      </c>
      <c r="F55">
        <v>8</v>
      </c>
      <c r="G55">
        <v>7.6</v>
      </c>
      <c r="H55">
        <v>1.0526316</v>
      </c>
      <c r="I55">
        <v>-5.2631589999999999E-2</v>
      </c>
      <c r="J55">
        <v>0.48717946000000001</v>
      </c>
    </row>
    <row r="56" spans="1:10" x14ac:dyDescent="0.3">
      <c r="A56">
        <v>54</v>
      </c>
      <c r="B56">
        <v>880</v>
      </c>
      <c r="C56" t="b">
        <v>1</v>
      </c>
      <c r="D56">
        <v>8048</v>
      </c>
      <c r="E56">
        <v>8123</v>
      </c>
      <c r="F56">
        <v>8</v>
      </c>
      <c r="G56">
        <v>8</v>
      </c>
      <c r="H56">
        <v>1</v>
      </c>
      <c r="I56">
        <v>0</v>
      </c>
      <c r="J56">
        <v>0.5</v>
      </c>
    </row>
    <row r="57" spans="1:10" x14ac:dyDescent="0.3">
      <c r="A57">
        <v>55</v>
      </c>
      <c r="B57">
        <v>896</v>
      </c>
      <c r="C57" t="b">
        <v>1</v>
      </c>
      <c r="D57">
        <v>8048</v>
      </c>
      <c r="E57">
        <v>8117</v>
      </c>
      <c r="F57">
        <v>8</v>
      </c>
      <c r="G57">
        <v>8</v>
      </c>
      <c r="H57">
        <v>1</v>
      </c>
      <c r="I57">
        <v>0</v>
      </c>
      <c r="J57">
        <v>0.5</v>
      </c>
    </row>
    <row r="58" spans="1:10" x14ac:dyDescent="0.3">
      <c r="A58">
        <v>56</v>
      </c>
      <c r="B58">
        <v>912</v>
      </c>
      <c r="C58" t="b">
        <v>1</v>
      </c>
      <c r="D58">
        <v>8048</v>
      </c>
      <c r="E58">
        <v>8117</v>
      </c>
      <c r="F58">
        <v>8</v>
      </c>
      <c r="G58">
        <v>8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928</v>
      </c>
      <c r="C59" t="b">
        <v>1</v>
      </c>
      <c r="D59">
        <v>8048</v>
      </c>
      <c r="E59">
        <v>8117</v>
      </c>
      <c r="F59">
        <v>8</v>
      </c>
      <c r="G59">
        <v>7.6</v>
      </c>
      <c r="H59">
        <v>1.0526316</v>
      </c>
      <c r="I59">
        <v>-5.2631589999999999E-2</v>
      </c>
      <c r="J59">
        <v>0.48717946000000001</v>
      </c>
    </row>
    <row r="60" spans="1:10" x14ac:dyDescent="0.3">
      <c r="A60">
        <v>58</v>
      </c>
      <c r="B60">
        <v>944</v>
      </c>
      <c r="C60" t="b">
        <v>1</v>
      </c>
      <c r="D60">
        <v>8048</v>
      </c>
      <c r="E60">
        <v>8117</v>
      </c>
      <c r="F60">
        <v>8</v>
      </c>
      <c r="G60">
        <v>7.2</v>
      </c>
      <c r="H60">
        <v>1.1111112000000001</v>
      </c>
      <c r="I60">
        <v>-0.11111114</v>
      </c>
      <c r="J60">
        <v>0.4736842</v>
      </c>
    </row>
    <row r="61" spans="1:10" x14ac:dyDescent="0.3">
      <c r="A61">
        <v>59</v>
      </c>
      <c r="B61">
        <v>960</v>
      </c>
      <c r="C61" t="b">
        <v>1</v>
      </c>
      <c r="D61">
        <v>8048</v>
      </c>
      <c r="E61">
        <v>8117</v>
      </c>
      <c r="F61">
        <v>8</v>
      </c>
      <c r="G61">
        <v>6.8</v>
      </c>
      <c r="H61">
        <v>1.1764705</v>
      </c>
      <c r="I61">
        <v>-0.17647055</v>
      </c>
      <c r="J61">
        <v>0.45945944999999999</v>
      </c>
    </row>
    <row r="62" spans="1:10" x14ac:dyDescent="0.3">
      <c r="A62">
        <v>60</v>
      </c>
      <c r="B62">
        <v>975</v>
      </c>
      <c r="C62" t="b">
        <v>1</v>
      </c>
      <c r="D62">
        <v>8048</v>
      </c>
      <c r="E62">
        <v>8123</v>
      </c>
      <c r="F62">
        <v>8</v>
      </c>
      <c r="G62">
        <v>6.4</v>
      </c>
      <c r="H62">
        <v>1.25</v>
      </c>
      <c r="I62">
        <v>-0.24999999000000001</v>
      </c>
      <c r="J62">
        <v>0.44444447999999998</v>
      </c>
    </row>
    <row r="63" spans="1:10" x14ac:dyDescent="0.3">
      <c r="A63">
        <v>61</v>
      </c>
      <c r="B63">
        <v>991</v>
      </c>
      <c r="C63" t="b">
        <v>1</v>
      </c>
      <c r="D63">
        <v>8048</v>
      </c>
      <c r="E63">
        <v>8123</v>
      </c>
      <c r="F63">
        <v>8</v>
      </c>
      <c r="G63">
        <v>6</v>
      </c>
      <c r="H63">
        <v>1.3333333999999999</v>
      </c>
      <c r="I63">
        <v>-0.33333333999999998</v>
      </c>
      <c r="J63">
        <v>0.42857142999999998</v>
      </c>
    </row>
    <row r="64" spans="1:10" x14ac:dyDescent="0.3">
      <c r="A64">
        <v>62</v>
      </c>
      <c r="B64">
        <v>1007</v>
      </c>
      <c r="C64" t="b">
        <v>1</v>
      </c>
      <c r="D64">
        <v>8048</v>
      </c>
      <c r="E64">
        <v>8123</v>
      </c>
      <c r="F64">
        <v>8</v>
      </c>
      <c r="G64">
        <v>6</v>
      </c>
      <c r="H64">
        <v>1.3333333999999999</v>
      </c>
      <c r="I64">
        <v>-0.33333333999999998</v>
      </c>
      <c r="J64">
        <v>0.42857142999999998</v>
      </c>
    </row>
    <row r="65" spans="1:10" x14ac:dyDescent="0.3">
      <c r="A65">
        <v>63</v>
      </c>
      <c r="B65">
        <v>1023</v>
      </c>
      <c r="C65" t="b">
        <v>1</v>
      </c>
      <c r="D65">
        <v>8048</v>
      </c>
      <c r="E65">
        <v>8123</v>
      </c>
      <c r="F65">
        <v>8</v>
      </c>
      <c r="G65">
        <v>6</v>
      </c>
      <c r="H65">
        <v>1.3333333999999999</v>
      </c>
      <c r="I65">
        <v>-0.33333333999999998</v>
      </c>
      <c r="J65">
        <v>0.42857142999999998</v>
      </c>
    </row>
    <row r="66" spans="1:10" x14ac:dyDescent="0.3">
      <c r="A66">
        <v>64</v>
      </c>
      <c r="B66">
        <v>1039</v>
      </c>
      <c r="C66" t="b">
        <v>1</v>
      </c>
      <c r="D66">
        <v>8042</v>
      </c>
      <c r="E66">
        <v>8123</v>
      </c>
      <c r="F66">
        <v>8</v>
      </c>
      <c r="G66">
        <v>6</v>
      </c>
      <c r="H66">
        <v>1.3333333999999999</v>
      </c>
      <c r="I66">
        <v>-0.33333333999999998</v>
      </c>
      <c r="J66">
        <v>0.42857142999999998</v>
      </c>
    </row>
    <row r="67" spans="1:10" x14ac:dyDescent="0.3">
      <c r="A67">
        <v>65</v>
      </c>
      <c r="B67">
        <v>1055</v>
      </c>
      <c r="C67" t="b">
        <v>1</v>
      </c>
      <c r="D67">
        <v>8048</v>
      </c>
      <c r="E67">
        <v>8123</v>
      </c>
      <c r="F67">
        <v>8</v>
      </c>
      <c r="G67">
        <v>6</v>
      </c>
      <c r="H67">
        <v>1.3333333999999999</v>
      </c>
      <c r="I67">
        <v>-0.33333333999999998</v>
      </c>
      <c r="J67">
        <v>0.42857142999999998</v>
      </c>
    </row>
    <row r="68" spans="1:10" x14ac:dyDescent="0.3">
      <c r="A68">
        <v>66</v>
      </c>
      <c r="B68">
        <v>1071</v>
      </c>
      <c r="C68" t="b">
        <v>1</v>
      </c>
      <c r="D68">
        <v>8048</v>
      </c>
      <c r="E68">
        <v>8117</v>
      </c>
      <c r="F68">
        <v>8</v>
      </c>
      <c r="G68">
        <v>6</v>
      </c>
      <c r="H68">
        <v>1.3333333999999999</v>
      </c>
      <c r="I68">
        <v>-0.33333333999999998</v>
      </c>
      <c r="J68">
        <v>0.42857142999999998</v>
      </c>
    </row>
    <row r="69" spans="1:10" x14ac:dyDescent="0.3">
      <c r="A69">
        <v>67</v>
      </c>
      <c r="B69">
        <v>1087</v>
      </c>
      <c r="C69" t="b">
        <v>1</v>
      </c>
      <c r="D69">
        <v>8048</v>
      </c>
      <c r="E69">
        <v>8123</v>
      </c>
      <c r="F69">
        <v>8</v>
      </c>
      <c r="G69">
        <v>6</v>
      </c>
      <c r="H69">
        <v>1.3333333999999999</v>
      </c>
      <c r="I69">
        <v>-0.33333333999999998</v>
      </c>
      <c r="J69">
        <v>0.42857142999999998</v>
      </c>
    </row>
    <row r="70" spans="1:10" x14ac:dyDescent="0.3">
      <c r="A70">
        <v>68</v>
      </c>
      <c r="B70">
        <v>1103</v>
      </c>
      <c r="C70" t="b">
        <v>1</v>
      </c>
      <c r="D70">
        <v>8048</v>
      </c>
      <c r="E70">
        <v>8123</v>
      </c>
      <c r="F70">
        <v>8</v>
      </c>
      <c r="G70">
        <v>6</v>
      </c>
      <c r="H70">
        <v>1.3333333999999999</v>
      </c>
      <c r="I70">
        <v>-0.33333333999999998</v>
      </c>
      <c r="J70">
        <v>0.42857142999999998</v>
      </c>
    </row>
    <row r="71" spans="1:10" x14ac:dyDescent="0.3">
      <c r="A71">
        <v>69</v>
      </c>
      <c r="B71">
        <v>1119</v>
      </c>
      <c r="C71" t="b">
        <v>1</v>
      </c>
      <c r="D71">
        <v>8054</v>
      </c>
      <c r="E71">
        <v>8123</v>
      </c>
      <c r="F71">
        <v>8</v>
      </c>
      <c r="G71">
        <v>6</v>
      </c>
      <c r="H71">
        <v>1.3333333999999999</v>
      </c>
      <c r="I71">
        <v>-0.33333333999999998</v>
      </c>
      <c r="J71">
        <v>0.42857142999999998</v>
      </c>
    </row>
    <row r="72" spans="1:10" x14ac:dyDescent="0.3">
      <c r="A72">
        <v>70</v>
      </c>
      <c r="B72">
        <v>1135</v>
      </c>
      <c r="C72" t="b">
        <v>1</v>
      </c>
      <c r="D72">
        <v>8048</v>
      </c>
      <c r="E72">
        <v>8123</v>
      </c>
      <c r="F72">
        <v>8</v>
      </c>
      <c r="G72">
        <v>6</v>
      </c>
      <c r="H72">
        <v>1.3333333999999999</v>
      </c>
      <c r="I72">
        <v>-0.33333333999999998</v>
      </c>
      <c r="J72">
        <v>0.42857142999999998</v>
      </c>
    </row>
    <row r="73" spans="1:10" x14ac:dyDescent="0.3">
      <c r="A73">
        <v>71</v>
      </c>
      <c r="B73">
        <v>1151</v>
      </c>
      <c r="C73" t="b">
        <v>1</v>
      </c>
      <c r="D73">
        <v>8048</v>
      </c>
      <c r="E73">
        <v>8117</v>
      </c>
      <c r="F73">
        <v>8</v>
      </c>
      <c r="G73">
        <v>6</v>
      </c>
      <c r="H73">
        <v>1.3333333999999999</v>
      </c>
      <c r="I73">
        <v>-0.33333333999999998</v>
      </c>
      <c r="J73">
        <v>0.42857142999999998</v>
      </c>
    </row>
    <row r="74" spans="1:10" x14ac:dyDescent="0.3">
      <c r="A74">
        <v>72</v>
      </c>
      <c r="B74">
        <v>1167</v>
      </c>
      <c r="C74" t="b">
        <v>1</v>
      </c>
      <c r="D74">
        <v>8048</v>
      </c>
      <c r="E74">
        <v>8117</v>
      </c>
      <c r="F74">
        <v>8</v>
      </c>
      <c r="G74">
        <v>6.4</v>
      </c>
      <c r="H74">
        <v>1.25</v>
      </c>
      <c r="I74">
        <v>-0.24999999000000001</v>
      </c>
      <c r="J74">
        <v>0.44444447999999998</v>
      </c>
    </row>
    <row r="75" spans="1:10" x14ac:dyDescent="0.3">
      <c r="A75">
        <v>73</v>
      </c>
      <c r="B75">
        <v>1183</v>
      </c>
      <c r="C75" t="b">
        <v>1</v>
      </c>
      <c r="D75">
        <v>8048</v>
      </c>
      <c r="E75">
        <v>8129</v>
      </c>
      <c r="F75">
        <v>8</v>
      </c>
      <c r="G75">
        <v>6.8</v>
      </c>
      <c r="H75">
        <v>1.1764705</v>
      </c>
      <c r="I75">
        <v>-0.17647055</v>
      </c>
      <c r="J75">
        <v>0.45945944999999999</v>
      </c>
    </row>
    <row r="76" spans="1:10" x14ac:dyDescent="0.3">
      <c r="A76">
        <v>74</v>
      </c>
      <c r="B76">
        <v>1198</v>
      </c>
      <c r="C76" t="b">
        <v>1</v>
      </c>
      <c r="D76">
        <v>8048</v>
      </c>
      <c r="E76">
        <v>8123</v>
      </c>
      <c r="F76">
        <v>8</v>
      </c>
      <c r="G76">
        <v>7.2</v>
      </c>
      <c r="H76">
        <v>1.1111112000000001</v>
      </c>
      <c r="I76">
        <v>-0.11111114</v>
      </c>
      <c r="J76">
        <v>0.4736842</v>
      </c>
    </row>
    <row r="77" spans="1:10" x14ac:dyDescent="0.3">
      <c r="A77">
        <v>75</v>
      </c>
      <c r="B77">
        <v>1214</v>
      </c>
      <c r="C77" t="b">
        <v>1</v>
      </c>
      <c r="D77">
        <v>8048</v>
      </c>
      <c r="E77">
        <v>8123</v>
      </c>
      <c r="F77">
        <v>8</v>
      </c>
      <c r="G77">
        <v>7.6</v>
      </c>
      <c r="H77">
        <v>1.0526316</v>
      </c>
      <c r="I77">
        <v>-5.2631589999999999E-2</v>
      </c>
      <c r="J77">
        <v>0.48717946000000001</v>
      </c>
    </row>
    <row r="78" spans="1:10" x14ac:dyDescent="0.3">
      <c r="A78">
        <v>76</v>
      </c>
      <c r="B78">
        <v>1230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1246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1261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1277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1293</v>
      </c>
      <c r="C82" t="b">
        <v>1</v>
      </c>
      <c r="D82">
        <v>8048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1308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1324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1340</v>
      </c>
      <c r="C85" t="b">
        <v>1</v>
      </c>
      <c r="D85">
        <v>8054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1356</v>
      </c>
      <c r="C86" t="b">
        <v>1</v>
      </c>
      <c r="D86">
        <v>8048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1372</v>
      </c>
      <c r="C87" t="b">
        <v>1</v>
      </c>
      <c r="D87">
        <v>8048</v>
      </c>
      <c r="E87">
        <v>8123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1388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1403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1419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1435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1451</v>
      </c>
      <c r="C92" t="b">
        <v>1</v>
      </c>
      <c r="D92">
        <v>8048</v>
      </c>
      <c r="E92">
        <v>8123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1467</v>
      </c>
      <c r="C93" t="b">
        <v>1</v>
      </c>
      <c r="D93">
        <v>8048</v>
      </c>
      <c r="E93">
        <v>8123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1483</v>
      </c>
      <c r="C94" t="b">
        <v>1</v>
      </c>
      <c r="D94">
        <v>8048</v>
      </c>
      <c r="E94">
        <v>8129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1499</v>
      </c>
      <c r="C95" t="b">
        <v>1</v>
      </c>
      <c r="D95">
        <v>8048</v>
      </c>
      <c r="E95">
        <v>8129</v>
      </c>
      <c r="F95">
        <v>8</v>
      </c>
      <c r="G95">
        <v>8</v>
      </c>
      <c r="H95">
        <v>1</v>
      </c>
      <c r="I95">
        <v>0</v>
      </c>
      <c r="J95">
        <v>0.5</v>
      </c>
    </row>
    <row r="96" spans="1:10" x14ac:dyDescent="0.3">
      <c r="A96">
        <v>94</v>
      </c>
      <c r="B96">
        <v>1515</v>
      </c>
      <c r="C96" t="b">
        <v>1</v>
      </c>
      <c r="D96">
        <v>8048</v>
      </c>
      <c r="E96">
        <v>8129</v>
      </c>
      <c r="F96">
        <v>8</v>
      </c>
      <c r="G96">
        <v>8.4</v>
      </c>
      <c r="H96">
        <v>0.95238100000000003</v>
      </c>
      <c r="I96">
        <v>4.7619003999999999E-2</v>
      </c>
      <c r="J96">
        <v>0.51219510000000001</v>
      </c>
    </row>
    <row r="97" spans="1:10" x14ac:dyDescent="0.3">
      <c r="A97">
        <v>95</v>
      </c>
      <c r="B97">
        <v>1531</v>
      </c>
      <c r="C97" t="b">
        <v>1</v>
      </c>
      <c r="D97">
        <v>8048</v>
      </c>
      <c r="E97">
        <v>8129</v>
      </c>
      <c r="F97">
        <v>8</v>
      </c>
      <c r="G97">
        <v>8.8000000000000007</v>
      </c>
      <c r="H97">
        <v>0.90909090000000004</v>
      </c>
      <c r="I97">
        <v>9.0909110000000001E-2</v>
      </c>
      <c r="J97">
        <v>0.52380954999999996</v>
      </c>
    </row>
    <row r="98" spans="1:10" x14ac:dyDescent="0.3">
      <c r="A98">
        <v>96</v>
      </c>
      <c r="B98">
        <v>1546</v>
      </c>
      <c r="C98" t="b">
        <v>1</v>
      </c>
      <c r="D98">
        <v>8048</v>
      </c>
      <c r="E98">
        <v>8123</v>
      </c>
      <c r="F98">
        <v>8</v>
      </c>
      <c r="G98">
        <v>9.1999999999999993</v>
      </c>
      <c r="H98">
        <v>0.86956524999999996</v>
      </c>
      <c r="I98">
        <v>0.13043477000000001</v>
      </c>
      <c r="J98">
        <v>0.53488369999999996</v>
      </c>
    </row>
    <row r="99" spans="1:10" x14ac:dyDescent="0.3">
      <c r="A99">
        <v>97</v>
      </c>
      <c r="B99">
        <v>1563</v>
      </c>
      <c r="C99" t="b">
        <v>1</v>
      </c>
      <c r="D99">
        <v>8048</v>
      </c>
      <c r="E99">
        <v>8129</v>
      </c>
      <c r="F99">
        <v>8</v>
      </c>
      <c r="G99">
        <v>9.6</v>
      </c>
      <c r="H99">
        <v>0.83333330000000005</v>
      </c>
      <c r="I99">
        <v>0.1666667</v>
      </c>
      <c r="J99">
        <v>0.54545456000000003</v>
      </c>
    </row>
    <row r="100" spans="1:10" x14ac:dyDescent="0.3">
      <c r="A100">
        <v>98</v>
      </c>
      <c r="B100">
        <v>1578</v>
      </c>
      <c r="C100" t="b">
        <v>1</v>
      </c>
      <c r="D100">
        <v>8048</v>
      </c>
      <c r="E100">
        <v>8123</v>
      </c>
      <c r="F100">
        <v>8</v>
      </c>
      <c r="G100">
        <v>10</v>
      </c>
      <c r="H100">
        <v>0.8</v>
      </c>
      <c r="I100">
        <v>0.2</v>
      </c>
      <c r="J100">
        <v>0.55555560000000004</v>
      </c>
    </row>
    <row r="101" spans="1:10" x14ac:dyDescent="0.3">
      <c r="A101">
        <v>99</v>
      </c>
      <c r="B101">
        <v>1594</v>
      </c>
      <c r="C101" t="b">
        <v>1</v>
      </c>
      <c r="D101">
        <v>8048</v>
      </c>
      <c r="E101">
        <v>8123</v>
      </c>
      <c r="F101">
        <v>8</v>
      </c>
      <c r="G101">
        <v>10</v>
      </c>
      <c r="H101">
        <v>0.8</v>
      </c>
      <c r="I101">
        <v>0.2</v>
      </c>
      <c r="J101">
        <v>0.55555560000000004</v>
      </c>
    </row>
    <row r="102" spans="1:10" x14ac:dyDescent="0.3">
      <c r="A102">
        <v>100</v>
      </c>
      <c r="B102">
        <v>1610</v>
      </c>
      <c r="C102" t="b">
        <v>1</v>
      </c>
      <c r="D102">
        <v>8042</v>
      </c>
      <c r="E102">
        <v>8123</v>
      </c>
      <c r="F102">
        <v>8</v>
      </c>
      <c r="G102">
        <v>10</v>
      </c>
      <c r="H102">
        <v>0.8</v>
      </c>
      <c r="I102">
        <v>0.2</v>
      </c>
      <c r="J102">
        <v>0.55555560000000004</v>
      </c>
    </row>
    <row r="103" spans="1:10" x14ac:dyDescent="0.3">
      <c r="A103">
        <v>101</v>
      </c>
      <c r="B103">
        <v>1626</v>
      </c>
      <c r="C103" t="b">
        <v>1</v>
      </c>
      <c r="D103">
        <v>8048</v>
      </c>
      <c r="E103">
        <v>8123</v>
      </c>
      <c r="F103">
        <v>8</v>
      </c>
      <c r="G103">
        <v>10</v>
      </c>
      <c r="H103">
        <v>0.8</v>
      </c>
      <c r="I103">
        <v>0.2</v>
      </c>
      <c r="J103">
        <v>0.55555560000000004</v>
      </c>
    </row>
    <row r="104" spans="1:10" x14ac:dyDescent="0.3">
      <c r="A104">
        <v>102</v>
      </c>
      <c r="B104">
        <v>1642</v>
      </c>
      <c r="C104" t="b">
        <v>1</v>
      </c>
      <c r="D104">
        <v>8042</v>
      </c>
      <c r="E104">
        <v>8123</v>
      </c>
      <c r="F104">
        <v>8</v>
      </c>
      <c r="G104">
        <v>10</v>
      </c>
      <c r="H104">
        <v>0.8</v>
      </c>
      <c r="I104">
        <v>0.2</v>
      </c>
      <c r="J104">
        <v>0.55555560000000004</v>
      </c>
    </row>
    <row r="105" spans="1:10" x14ac:dyDescent="0.3">
      <c r="A105">
        <v>103</v>
      </c>
      <c r="B105">
        <v>1658</v>
      </c>
      <c r="C105" t="b">
        <v>1</v>
      </c>
      <c r="D105">
        <v>8042</v>
      </c>
      <c r="E105">
        <v>8123</v>
      </c>
      <c r="F105">
        <v>7.6</v>
      </c>
      <c r="G105">
        <v>10</v>
      </c>
      <c r="H105">
        <v>0.76</v>
      </c>
      <c r="I105">
        <v>0.24000001000000001</v>
      </c>
      <c r="J105">
        <v>0.56818179999999996</v>
      </c>
    </row>
    <row r="106" spans="1:10" x14ac:dyDescent="0.3">
      <c r="A106">
        <v>104</v>
      </c>
      <c r="B106">
        <v>1674</v>
      </c>
      <c r="C106" t="b">
        <v>1</v>
      </c>
      <c r="D106">
        <v>8042</v>
      </c>
      <c r="E106">
        <v>8123</v>
      </c>
      <c r="F106">
        <v>7.2</v>
      </c>
      <c r="G106">
        <v>10</v>
      </c>
      <c r="H106">
        <v>0.71999997000000004</v>
      </c>
      <c r="I106">
        <v>0.28000003000000001</v>
      </c>
      <c r="J106">
        <v>0.58139529999999995</v>
      </c>
    </row>
    <row r="107" spans="1:10" x14ac:dyDescent="0.3">
      <c r="A107">
        <v>105</v>
      </c>
      <c r="B107">
        <v>1690</v>
      </c>
      <c r="C107" t="b">
        <v>1</v>
      </c>
      <c r="D107">
        <v>8042</v>
      </c>
      <c r="E107">
        <v>8123</v>
      </c>
      <c r="F107">
        <v>6.8</v>
      </c>
      <c r="G107">
        <v>10</v>
      </c>
      <c r="H107">
        <v>0.68</v>
      </c>
      <c r="I107">
        <v>0.32</v>
      </c>
      <c r="J107">
        <v>0.59523815000000002</v>
      </c>
    </row>
    <row r="108" spans="1:10" x14ac:dyDescent="0.3">
      <c r="A108">
        <v>106</v>
      </c>
      <c r="B108">
        <v>1706</v>
      </c>
      <c r="C108" t="b">
        <v>1</v>
      </c>
      <c r="D108">
        <v>8037</v>
      </c>
      <c r="E108">
        <v>8123</v>
      </c>
      <c r="F108">
        <v>6.4</v>
      </c>
      <c r="G108">
        <v>10</v>
      </c>
      <c r="H108">
        <v>0.64</v>
      </c>
      <c r="I108">
        <v>0.35999998</v>
      </c>
      <c r="J108">
        <v>0.60975610000000002</v>
      </c>
    </row>
    <row r="109" spans="1:10" x14ac:dyDescent="0.3">
      <c r="A109">
        <v>107</v>
      </c>
      <c r="B109">
        <v>1722</v>
      </c>
      <c r="C109" t="b">
        <v>1</v>
      </c>
      <c r="D109">
        <v>8048</v>
      </c>
      <c r="E109">
        <v>8123</v>
      </c>
      <c r="F109">
        <v>6</v>
      </c>
      <c r="G109">
        <v>10</v>
      </c>
      <c r="H109">
        <v>0.6</v>
      </c>
      <c r="I109">
        <v>0.4</v>
      </c>
      <c r="J109">
        <v>0.625</v>
      </c>
    </row>
    <row r="110" spans="1:10" x14ac:dyDescent="0.3">
      <c r="A110">
        <v>108</v>
      </c>
      <c r="B110">
        <v>1738</v>
      </c>
      <c r="C110" t="b">
        <v>1</v>
      </c>
      <c r="D110">
        <v>8048</v>
      </c>
      <c r="E110">
        <v>8123</v>
      </c>
      <c r="F110">
        <v>5.6</v>
      </c>
      <c r="G110">
        <v>10</v>
      </c>
      <c r="H110">
        <v>0.56000000000000005</v>
      </c>
      <c r="I110">
        <v>0.44</v>
      </c>
      <c r="J110">
        <v>0.64102559999999997</v>
      </c>
    </row>
    <row r="111" spans="1:10" x14ac:dyDescent="0.3">
      <c r="A111">
        <v>109</v>
      </c>
      <c r="B111">
        <v>1754</v>
      </c>
      <c r="C111" t="b">
        <v>1</v>
      </c>
      <c r="D111">
        <v>8048</v>
      </c>
      <c r="E111">
        <v>8123</v>
      </c>
      <c r="F111">
        <v>5.6</v>
      </c>
      <c r="G111">
        <v>9.6</v>
      </c>
      <c r="H111">
        <v>0.58333330000000005</v>
      </c>
      <c r="I111">
        <v>0.4166667</v>
      </c>
      <c r="J111">
        <v>0.63157890000000005</v>
      </c>
    </row>
    <row r="112" spans="1:10" x14ac:dyDescent="0.3">
      <c r="A112">
        <v>110</v>
      </c>
      <c r="B112">
        <v>1770</v>
      </c>
      <c r="C112" t="b">
        <v>1</v>
      </c>
      <c r="D112">
        <v>8048</v>
      </c>
      <c r="E112">
        <v>8123</v>
      </c>
      <c r="F112">
        <v>5.6</v>
      </c>
      <c r="G112">
        <v>9.1999999999999993</v>
      </c>
      <c r="H112">
        <v>0.6086956</v>
      </c>
      <c r="I112">
        <v>0.39130433999999997</v>
      </c>
      <c r="J112">
        <v>0.62162167000000002</v>
      </c>
    </row>
    <row r="113" spans="1:10" x14ac:dyDescent="0.3">
      <c r="A113">
        <v>111</v>
      </c>
      <c r="B113">
        <v>1786</v>
      </c>
      <c r="C113" t="b">
        <v>1</v>
      </c>
      <c r="D113">
        <v>8048</v>
      </c>
      <c r="E113">
        <v>8123</v>
      </c>
      <c r="F113">
        <v>5.6</v>
      </c>
      <c r="G113">
        <v>8.8000000000000007</v>
      </c>
      <c r="H113">
        <v>0.63636360000000003</v>
      </c>
      <c r="I113">
        <v>0.36363636999999999</v>
      </c>
      <c r="J113">
        <v>0.61111115999999999</v>
      </c>
    </row>
    <row r="114" spans="1:10" x14ac:dyDescent="0.3">
      <c r="A114">
        <v>112</v>
      </c>
      <c r="B114">
        <v>1802</v>
      </c>
      <c r="C114" t="b">
        <v>1</v>
      </c>
      <c r="D114">
        <v>8054</v>
      </c>
      <c r="E114">
        <v>8117</v>
      </c>
      <c r="F114">
        <v>5.6</v>
      </c>
      <c r="G114">
        <v>8.4</v>
      </c>
      <c r="H114">
        <v>0.66666669999999995</v>
      </c>
      <c r="I114">
        <v>0.3333333</v>
      </c>
      <c r="J114">
        <v>0.59999996</v>
      </c>
    </row>
    <row r="115" spans="1:10" x14ac:dyDescent="0.3">
      <c r="A115">
        <v>113</v>
      </c>
      <c r="B115">
        <v>1818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1833</v>
      </c>
      <c r="C116" t="b">
        <v>1</v>
      </c>
      <c r="D116">
        <v>8048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1849</v>
      </c>
      <c r="C117" t="b">
        <v>1</v>
      </c>
      <c r="D117">
        <v>8048</v>
      </c>
      <c r="E117">
        <v>8117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1865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1881</v>
      </c>
      <c r="C119" t="b">
        <v>1</v>
      </c>
      <c r="D119">
        <v>8048</v>
      </c>
      <c r="E119">
        <v>8117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1897</v>
      </c>
      <c r="C120" t="b">
        <v>1</v>
      </c>
      <c r="D120">
        <v>8054</v>
      </c>
      <c r="E120">
        <v>8123</v>
      </c>
      <c r="F120">
        <v>6</v>
      </c>
      <c r="G120">
        <v>8</v>
      </c>
      <c r="H120">
        <v>0.75</v>
      </c>
      <c r="I120">
        <v>0.25</v>
      </c>
      <c r="J120">
        <v>0.57142859999999995</v>
      </c>
    </row>
    <row r="121" spans="1:10" x14ac:dyDescent="0.3">
      <c r="A121">
        <v>119</v>
      </c>
      <c r="B121">
        <v>1912</v>
      </c>
      <c r="C121" t="b">
        <v>1</v>
      </c>
      <c r="D121">
        <v>8048</v>
      </c>
      <c r="E121">
        <v>8123</v>
      </c>
      <c r="F121">
        <v>6.4</v>
      </c>
      <c r="G121">
        <v>8</v>
      </c>
      <c r="H121">
        <v>0.8</v>
      </c>
      <c r="I121">
        <v>0.19999998999999999</v>
      </c>
      <c r="J121">
        <v>0.55555560000000004</v>
      </c>
    </row>
    <row r="122" spans="1:10" x14ac:dyDescent="0.3">
      <c r="A122">
        <v>120</v>
      </c>
      <c r="B122">
        <v>1928</v>
      </c>
      <c r="C122" t="b">
        <v>1</v>
      </c>
      <c r="D122">
        <v>8048</v>
      </c>
      <c r="E122">
        <v>8117</v>
      </c>
      <c r="F122">
        <v>6.8</v>
      </c>
      <c r="G122">
        <v>8</v>
      </c>
      <c r="H122">
        <v>0.85</v>
      </c>
      <c r="I122">
        <v>0.14999998</v>
      </c>
      <c r="J122">
        <v>0.54054049999999998</v>
      </c>
    </row>
    <row r="123" spans="1:10" x14ac:dyDescent="0.3">
      <c r="A123">
        <v>121</v>
      </c>
      <c r="B123">
        <v>1944</v>
      </c>
      <c r="C123" t="b">
        <v>1</v>
      </c>
      <c r="D123">
        <v>8054</v>
      </c>
      <c r="E123">
        <v>8123</v>
      </c>
      <c r="F123">
        <v>7.2</v>
      </c>
      <c r="G123">
        <v>8</v>
      </c>
      <c r="H123">
        <v>0.9</v>
      </c>
      <c r="I123">
        <v>0.10000002400000001</v>
      </c>
      <c r="J123">
        <v>0.5263158</v>
      </c>
    </row>
    <row r="124" spans="1:10" x14ac:dyDescent="0.3">
      <c r="A124">
        <v>122</v>
      </c>
      <c r="B124">
        <v>1960</v>
      </c>
      <c r="C124" t="b">
        <v>1</v>
      </c>
      <c r="D124">
        <v>8048</v>
      </c>
      <c r="E124">
        <v>8123</v>
      </c>
      <c r="F124">
        <v>7.6</v>
      </c>
      <c r="G124">
        <v>8</v>
      </c>
      <c r="H124">
        <v>0.95</v>
      </c>
      <c r="I124">
        <v>5.0000012000000003E-2</v>
      </c>
      <c r="J124">
        <v>0.51282050000000001</v>
      </c>
    </row>
    <row r="125" spans="1:10" x14ac:dyDescent="0.3">
      <c r="A125">
        <v>123</v>
      </c>
      <c r="B125">
        <v>1975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1992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2008</v>
      </c>
      <c r="C127" t="b">
        <v>1</v>
      </c>
      <c r="D127">
        <v>8048</v>
      </c>
      <c r="E127">
        <v>8117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2024</v>
      </c>
      <c r="C128" t="b">
        <v>1</v>
      </c>
      <c r="D128">
        <v>8048</v>
      </c>
      <c r="E128">
        <v>8117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8054</v>
      </c>
      <c r="E129">
        <v>8117</v>
      </c>
      <c r="F129">
        <v>8</v>
      </c>
      <c r="G129">
        <v>7.6</v>
      </c>
      <c r="H129">
        <v>1.0526316</v>
      </c>
      <c r="I129">
        <v>-5.2631589999999999E-2</v>
      </c>
      <c r="J129">
        <v>0.48717946000000001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8117</v>
      </c>
      <c r="F130">
        <v>8</v>
      </c>
      <c r="G130">
        <v>7.2</v>
      </c>
      <c r="H130">
        <v>1.1111112000000001</v>
      </c>
      <c r="I130">
        <v>-0.11111114</v>
      </c>
      <c r="J130">
        <v>0.4736842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8123</v>
      </c>
      <c r="F131">
        <v>8</v>
      </c>
      <c r="G131">
        <v>6.8</v>
      </c>
      <c r="H131">
        <v>1.1764705</v>
      </c>
      <c r="I131">
        <v>-0.17647055</v>
      </c>
      <c r="J131">
        <v>0.45945944999999999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6.4</v>
      </c>
      <c r="H132">
        <v>1.25</v>
      </c>
      <c r="I132">
        <v>-0.24999999000000001</v>
      </c>
      <c r="J132">
        <v>0.44444447999999998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8123</v>
      </c>
      <c r="F133">
        <v>8</v>
      </c>
      <c r="G133">
        <v>6.4</v>
      </c>
      <c r="H133">
        <v>1.25</v>
      </c>
      <c r="I133">
        <v>-0.24999999000000001</v>
      </c>
      <c r="J133">
        <v>0.44444447999999998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8117</v>
      </c>
      <c r="F134">
        <v>8</v>
      </c>
      <c r="G134">
        <v>6.4</v>
      </c>
      <c r="H134">
        <v>1.25</v>
      </c>
      <c r="I134">
        <v>-0.24999999000000001</v>
      </c>
      <c r="J134">
        <v>0.44444447999999998</v>
      </c>
    </row>
    <row r="135" spans="1:10" x14ac:dyDescent="0.3">
      <c r="A135">
        <v>133</v>
      </c>
      <c r="B135">
        <v>2135</v>
      </c>
      <c r="C135" t="b">
        <v>1</v>
      </c>
      <c r="D135">
        <v>8048</v>
      </c>
      <c r="E135">
        <v>8123</v>
      </c>
      <c r="F135">
        <v>8</v>
      </c>
      <c r="G135">
        <v>6.4</v>
      </c>
      <c r="H135">
        <v>1.25</v>
      </c>
      <c r="I135">
        <v>-0.24999999000000001</v>
      </c>
      <c r="J135">
        <v>0.44444447999999998</v>
      </c>
    </row>
    <row r="136" spans="1:10" x14ac:dyDescent="0.3">
      <c r="A136">
        <v>134</v>
      </c>
      <c r="B136">
        <v>2151</v>
      </c>
      <c r="C136" t="b">
        <v>1</v>
      </c>
      <c r="D136">
        <v>8048</v>
      </c>
      <c r="E136">
        <v>8123</v>
      </c>
      <c r="F136">
        <v>8</v>
      </c>
      <c r="G136">
        <v>6.4</v>
      </c>
      <c r="H136">
        <v>1.25</v>
      </c>
      <c r="I136">
        <v>-0.24999999000000001</v>
      </c>
      <c r="J136">
        <v>0.44444447999999998</v>
      </c>
    </row>
    <row r="137" spans="1:10" x14ac:dyDescent="0.3">
      <c r="A137">
        <v>135</v>
      </c>
      <c r="B137">
        <v>2167</v>
      </c>
      <c r="C137" t="b">
        <v>1</v>
      </c>
      <c r="D137">
        <v>8048</v>
      </c>
      <c r="E137">
        <v>8117</v>
      </c>
      <c r="F137">
        <v>8</v>
      </c>
      <c r="G137">
        <v>6.4</v>
      </c>
      <c r="H137">
        <v>1.25</v>
      </c>
      <c r="I137">
        <v>-0.24999999000000001</v>
      </c>
      <c r="J137">
        <v>0.44444447999999998</v>
      </c>
    </row>
    <row r="138" spans="1:10" x14ac:dyDescent="0.3">
      <c r="A138">
        <v>136</v>
      </c>
      <c r="B138">
        <v>2183</v>
      </c>
      <c r="C138" t="b">
        <v>1</v>
      </c>
      <c r="D138">
        <v>8054</v>
      </c>
      <c r="E138">
        <v>8123</v>
      </c>
      <c r="F138">
        <v>8</v>
      </c>
      <c r="G138">
        <v>6.4</v>
      </c>
      <c r="H138">
        <v>1.25</v>
      </c>
      <c r="I138">
        <v>-0.24999999000000001</v>
      </c>
      <c r="J138">
        <v>0.44444447999999998</v>
      </c>
    </row>
    <row r="139" spans="1:10" x14ac:dyDescent="0.3">
      <c r="A139">
        <v>137</v>
      </c>
      <c r="B139">
        <v>2199</v>
      </c>
      <c r="C139" t="b">
        <v>1</v>
      </c>
      <c r="D139">
        <v>8054</v>
      </c>
      <c r="E139">
        <v>8117</v>
      </c>
      <c r="F139">
        <v>8</v>
      </c>
      <c r="G139">
        <v>6.4</v>
      </c>
      <c r="H139">
        <v>1.25</v>
      </c>
      <c r="I139">
        <v>-0.24999999000000001</v>
      </c>
      <c r="J139">
        <v>0.44444447999999998</v>
      </c>
    </row>
    <row r="140" spans="1:10" x14ac:dyDescent="0.3">
      <c r="A140">
        <v>138</v>
      </c>
      <c r="B140">
        <v>2215</v>
      </c>
      <c r="C140" t="b">
        <v>1</v>
      </c>
      <c r="D140">
        <v>8054</v>
      </c>
      <c r="E140">
        <v>8117</v>
      </c>
      <c r="F140">
        <v>8.4</v>
      </c>
      <c r="G140">
        <v>6</v>
      </c>
      <c r="H140">
        <v>1.4</v>
      </c>
      <c r="I140">
        <v>-0.39999994999999999</v>
      </c>
      <c r="J140">
        <v>0.4166667</v>
      </c>
    </row>
    <row r="141" spans="1:10" x14ac:dyDescent="0.3">
      <c r="A141">
        <v>139</v>
      </c>
      <c r="B141">
        <v>2230</v>
      </c>
      <c r="C141" t="b">
        <v>1</v>
      </c>
      <c r="D141">
        <v>8042</v>
      </c>
      <c r="E141">
        <v>8123</v>
      </c>
      <c r="F141">
        <v>8.8000000000000007</v>
      </c>
      <c r="G141">
        <v>5.6</v>
      </c>
      <c r="H141">
        <v>1.5714287</v>
      </c>
      <c r="I141">
        <v>-0.57142866000000003</v>
      </c>
      <c r="J141">
        <v>0.38888889999999998</v>
      </c>
    </row>
    <row r="142" spans="1:10" x14ac:dyDescent="0.3">
      <c r="A142">
        <v>140</v>
      </c>
      <c r="B142">
        <v>2246</v>
      </c>
      <c r="C142" t="b">
        <v>1</v>
      </c>
      <c r="D142">
        <v>8042</v>
      </c>
      <c r="E142">
        <v>8123</v>
      </c>
      <c r="F142">
        <v>9.1999999999999993</v>
      </c>
      <c r="G142">
        <v>5.6</v>
      </c>
      <c r="H142">
        <v>1.6428571999999999</v>
      </c>
      <c r="I142">
        <v>-0.64285713</v>
      </c>
      <c r="J142">
        <v>0.3783784</v>
      </c>
    </row>
    <row r="143" spans="1:10" x14ac:dyDescent="0.3">
      <c r="A143">
        <v>141</v>
      </c>
      <c r="B143">
        <v>2262</v>
      </c>
      <c r="C143" t="b">
        <v>1</v>
      </c>
      <c r="D143">
        <v>8042</v>
      </c>
      <c r="E143">
        <v>8123</v>
      </c>
      <c r="F143">
        <v>8.8000000000000007</v>
      </c>
      <c r="G143">
        <v>5.6</v>
      </c>
      <c r="H143">
        <v>1.5714287</v>
      </c>
      <c r="I143">
        <v>-0.57142866000000003</v>
      </c>
      <c r="J143">
        <v>0.38888889999999998</v>
      </c>
    </row>
    <row r="144" spans="1:10" x14ac:dyDescent="0.3">
      <c r="A144">
        <v>142</v>
      </c>
      <c r="B144">
        <v>2278</v>
      </c>
      <c r="C144" t="b">
        <v>1</v>
      </c>
      <c r="D144">
        <v>8042</v>
      </c>
      <c r="E144">
        <v>8123</v>
      </c>
      <c r="F144">
        <v>8.4</v>
      </c>
      <c r="G144">
        <v>6</v>
      </c>
      <c r="H144">
        <v>1.4</v>
      </c>
      <c r="I144">
        <v>-0.39999994999999999</v>
      </c>
      <c r="J144">
        <v>0.4166667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8</v>
      </c>
      <c r="G145">
        <v>6.4</v>
      </c>
      <c r="H145">
        <v>1.25</v>
      </c>
      <c r="I145">
        <v>-0.24999999000000001</v>
      </c>
      <c r="J145">
        <v>0.44444447999999998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8117</v>
      </c>
      <c r="F146">
        <v>7.6</v>
      </c>
      <c r="G146">
        <v>6.8</v>
      </c>
      <c r="H146">
        <v>1.1176470000000001</v>
      </c>
      <c r="I146">
        <v>-0.11764701499999999</v>
      </c>
      <c r="J146">
        <v>0.47222224000000002</v>
      </c>
    </row>
    <row r="147" spans="1:10" x14ac:dyDescent="0.3">
      <c r="A147">
        <v>145</v>
      </c>
      <c r="B147">
        <v>2325</v>
      </c>
      <c r="C147" t="b">
        <v>1</v>
      </c>
      <c r="D147">
        <v>8054</v>
      </c>
      <c r="E147">
        <v>8123</v>
      </c>
      <c r="F147">
        <v>7.2</v>
      </c>
      <c r="G147">
        <v>7.2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2341</v>
      </c>
      <c r="C148" t="b">
        <v>1</v>
      </c>
      <c r="D148">
        <v>8048</v>
      </c>
      <c r="E148">
        <v>8123</v>
      </c>
      <c r="F148">
        <v>6.8</v>
      </c>
      <c r="G148">
        <v>7.2</v>
      </c>
      <c r="H148">
        <v>0.94444450000000002</v>
      </c>
      <c r="I148">
        <v>5.5555503999999999E-2</v>
      </c>
      <c r="J148">
        <v>0.51428569999999996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8117</v>
      </c>
      <c r="F149">
        <v>6.8</v>
      </c>
      <c r="G149">
        <v>7.2</v>
      </c>
      <c r="H149">
        <v>0.94444450000000002</v>
      </c>
      <c r="I149">
        <v>5.5555503999999999E-2</v>
      </c>
      <c r="J149">
        <v>0.51428569999999996</v>
      </c>
    </row>
    <row r="150" spans="1:10" x14ac:dyDescent="0.3">
      <c r="A150">
        <v>148</v>
      </c>
      <c r="B150">
        <v>2373</v>
      </c>
      <c r="C150" t="b">
        <v>1</v>
      </c>
      <c r="D150">
        <v>8048</v>
      </c>
      <c r="E150">
        <v>8117</v>
      </c>
      <c r="F150">
        <v>6.8</v>
      </c>
      <c r="G150">
        <v>6.8</v>
      </c>
      <c r="H150">
        <v>1</v>
      </c>
      <c r="I150">
        <v>0</v>
      </c>
      <c r="J150">
        <v>0.5</v>
      </c>
    </row>
    <row r="151" spans="1:10" x14ac:dyDescent="0.3">
      <c r="A151">
        <v>149</v>
      </c>
      <c r="B151">
        <v>2389</v>
      </c>
      <c r="C151" t="b">
        <v>1</v>
      </c>
      <c r="D151">
        <v>8048</v>
      </c>
      <c r="E151">
        <v>8117</v>
      </c>
      <c r="F151">
        <v>6.8</v>
      </c>
      <c r="G151">
        <v>6.4</v>
      </c>
      <c r="H151">
        <v>1.0625</v>
      </c>
      <c r="I151">
        <v>-6.2500015000000006E-2</v>
      </c>
      <c r="J151">
        <v>0.48484846999999998</v>
      </c>
    </row>
    <row r="152" spans="1:10" x14ac:dyDescent="0.3">
      <c r="A152">
        <v>150</v>
      </c>
      <c r="B152">
        <v>2405</v>
      </c>
      <c r="C152" t="b">
        <v>1</v>
      </c>
      <c r="D152">
        <v>8048</v>
      </c>
      <c r="E152">
        <v>8117</v>
      </c>
      <c r="F152">
        <v>6.8</v>
      </c>
      <c r="G152">
        <v>6</v>
      </c>
      <c r="H152">
        <v>1.1333333000000001</v>
      </c>
      <c r="I152">
        <v>-0.13333337000000001</v>
      </c>
      <c r="J152">
        <v>0.46875</v>
      </c>
    </row>
    <row r="153" spans="1:10" x14ac:dyDescent="0.3">
      <c r="A153">
        <v>151</v>
      </c>
      <c r="B153">
        <v>2421</v>
      </c>
      <c r="C153" t="b">
        <v>1</v>
      </c>
      <c r="D153">
        <v>8048</v>
      </c>
      <c r="E153">
        <v>8123</v>
      </c>
      <c r="F153">
        <v>6.8</v>
      </c>
      <c r="G153">
        <v>5.6</v>
      </c>
      <c r="H153">
        <v>1.2142857</v>
      </c>
      <c r="I153">
        <v>-0.21428578000000001</v>
      </c>
      <c r="J153">
        <v>0.45161291999999997</v>
      </c>
    </row>
    <row r="154" spans="1:10" x14ac:dyDescent="0.3">
      <c r="A154">
        <v>152</v>
      </c>
      <c r="B154">
        <v>2437</v>
      </c>
      <c r="C154" t="b">
        <v>1</v>
      </c>
      <c r="D154">
        <v>8048</v>
      </c>
      <c r="E154">
        <v>8117</v>
      </c>
      <c r="F154">
        <v>6.8</v>
      </c>
      <c r="G154">
        <v>5.2</v>
      </c>
      <c r="H154">
        <v>1.3076924000000001</v>
      </c>
      <c r="I154">
        <v>-0.30769237999999999</v>
      </c>
      <c r="J154">
        <v>0.43333329999999998</v>
      </c>
    </row>
    <row r="155" spans="1:10" x14ac:dyDescent="0.3">
      <c r="A155">
        <v>153</v>
      </c>
      <c r="B155">
        <v>2452</v>
      </c>
      <c r="C155" t="b">
        <v>1</v>
      </c>
      <c r="D155">
        <v>8048</v>
      </c>
      <c r="E155">
        <v>8117</v>
      </c>
      <c r="F155">
        <v>6.4</v>
      </c>
      <c r="G155">
        <v>5.2</v>
      </c>
      <c r="H155">
        <v>1.2307693</v>
      </c>
      <c r="I155">
        <v>-0.23076928999999999</v>
      </c>
      <c r="J155">
        <v>0.44827582999999999</v>
      </c>
    </row>
    <row r="156" spans="1:10" x14ac:dyDescent="0.3">
      <c r="A156">
        <v>154</v>
      </c>
      <c r="B156">
        <v>2468</v>
      </c>
      <c r="C156" t="b">
        <v>1</v>
      </c>
      <c r="D156">
        <v>8054</v>
      </c>
      <c r="E156">
        <v>8123</v>
      </c>
      <c r="F156">
        <v>6</v>
      </c>
      <c r="G156">
        <v>5.2</v>
      </c>
      <c r="H156">
        <v>1.1538461</v>
      </c>
      <c r="I156">
        <v>-0.15384618999999999</v>
      </c>
      <c r="J156">
        <v>0.46428570000000002</v>
      </c>
    </row>
    <row r="157" spans="1:10" x14ac:dyDescent="0.3">
      <c r="A157">
        <v>155</v>
      </c>
      <c r="B157">
        <v>2484</v>
      </c>
      <c r="C157" t="b">
        <v>1</v>
      </c>
      <c r="D157">
        <v>8042</v>
      </c>
      <c r="E157">
        <v>8123</v>
      </c>
      <c r="F157">
        <v>5.6</v>
      </c>
      <c r="G157">
        <v>5.2</v>
      </c>
      <c r="H157">
        <v>1.0769230999999999</v>
      </c>
      <c r="I157">
        <v>-7.6923094999999997E-2</v>
      </c>
      <c r="J157">
        <v>0.48148150000000001</v>
      </c>
    </row>
    <row r="158" spans="1:10" x14ac:dyDescent="0.3">
      <c r="A158">
        <v>156</v>
      </c>
      <c r="B158">
        <v>2500</v>
      </c>
      <c r="C158" t="b">
        <v>1</v>
      </c>
      <c r="D158">
        <v>8048</v>
      </c>
      <c r="E158">
        <v>8117</v>
      </c>
      <c r="F158">
        <v>6</v>
      </c>
      <c r="G158">
        <v>4.8</v>
      </c>
      <c r="H158">
        <v>1.25</v>
      </c>
      <c r="I158">
        <v>-0.24999995999999999</v>
      </c>
      <c r="J158">
        <v>0.44444444999999999</v>
      </c>
    </row>
    <row r="159" spans="1:10" x14ac:dyDescent="0.3">
      <c r="A159">
        <v>157</v>
      </c>
      <c r="B159">
        <v>2516</v>
      </c>
      <c r="C159" t="b">
        <v>1</v>
      </c>
      <c r="D159">
        <v>8048</v>
      </c>
      <c r="E159">
        <v>8123</v>
      </c>
      <c r="F159">
        <v>6.4</v>
      </c>
      <c r="G159">
        <v>4.8</v>
      </c>
      <c r="H159">
        <v>1.3333333000000001</v>
      </c>
      <c r="I159">
        <v>-0.3333333</v>
      </c>
      <c r="J159">
        <v>0.42857139999999999</v>
      </c>
    </row>
    <row r="160" spans="1:10" x14ac:dyDescent="0.3">
      <c r="A160">
        <v>158</v>
      </c>
      <c r="B160">
        <v>2532</v>
      </c>
      <c r="C160" t="b">
        <v>1</v>
      </c>
      <c r="D160">
        <v>8054</v>
      </c>
      <c r="E160">
        <v>8123</v>
      </c>
      <c r="F160">
        <v>6.8</v>
      </c>
      <c r="G160">
        <v>4.8</v>
      </c>
      <c r="H160">
        <v>1.4166666000000001</v>
      </c>
      <c r="I160">
        <v>-0.41666666000000002</v>
      </c>
      <c r="J160">
        <v>0.41379312000000001</v>
      </c>
    </row>
    <row r="161" spans="1:10" x14ac:dyDescent="0.3">
      <c r="A161">
        <v>159</v>
      </c>
      <c r="B161">
        <v>2548</v>
      </c>
      <c r="C161" t="b">
        <v>1</v>
      </c>
      <c r="D161">
        <v>8048</v>
      </c>
      <c r="E161">
        <v>8123</v>
      </c>
      <c r="F161">
        <v>7.2</v>
      </c>
      <c r="G161">
        <v>4.8</v>
      </c>
      <c r="H161">
        <v>1.4999998999999999</v>
      </c>
      <c r="I161">
        <v>-0.4999999</v>
      </c>
      <c r="J161">
        <v>0.4</v>
      </c>
    </row>
    <row r="162" spans="1:10" x14ac:dyDescent="0.3">
      <c r="A162">
        <v>160</v>
      </c>
      <c r="B162">
        <v>2564</v>
      </c>
      <c r="C162" t="b">
        <v>1</v>
      </c>
      <c r="D162">
        <v>8054</v>
      </c>
      <c r="E162">
        <v>8123</v>
      </c>
      <c r="F162">
        <v>7.6</v>
      </c>
      <c r="G162">
        <v>4.8</v>
      </c>
      <c r="H162">
        <v>1.5833333000000001</v>
      </c>
      <c r="I162">
        <v>-0.58333325000000003</v>
      </c>
      <c r="J162">
        <v>0.38709680000000002</v>
      </c>
    </row>
    <row r="163" spans="1:10" x14ac:dyDescent="0.3">
      <c r="A163">
        <v>161</v>
      </c>
      <c r="B163">
        <v>2580</v>
      </c>
      <c r="C163" t="b">
        <v>1</v>
      </c>
      <c r="D163">
        <v>8048</v>
      </c>
      <c r="E163">
        <v>8117</v>
      </c>
      <c r="F163">
        <v>8</v>
      </c>
      <c r="G163">
        <v>4.8</v>
      </c>
      <c r="H163">
        <v>1.6666666000000001</v>
      </c>
      <c r="I163">
        <v>-0.6666666</v>
      </c>
      <c r="J163">
        <v>0.375</v>
      </c>
    </row>
    <row r="164" spans="1:10" x14ac:dyDescent="0.3">
      <c r="A164">
        <v>162</v>
      </c>
      <c r="B164">
        <v>2595</v>
      </c>
      <c r="C164" t="b">
        <v>1</v>
      </c>
      <c r="D164">
        <v>8048</v>
      </c>
      <c r="E164">
        <v>8117</v>
      </c>
      <c r="F164">
        <v>8</v>
      </c>
      <c r="G164">
        <v>4.8</v>
      </c>
      <c r="H164">
        <v>1.6666666000000001</v>
      </c>
      <c r="I164">
        <v>-0.6666666</v>
      </c>
      <c r="J164">
        <v>0.375</v>
      </c>
    </row>
    <row r="165" spans="1:10" x14ac:dyDescent="0.3">
      <c r="A165">
        <v>163</v>
      </c>
      <c r="B165">
        <v>2611</v>
      </c>
      <c r="C165" t="b">
        <v>1</v>
      </c>
      <c r="D165">
        <v>8048</v>
      </c>
      <c r="E165">
        <v>8117</v>
      </c>
      <c r="F165">
        <v>8</v>
      </c>
      <c r="G165">
        <v>4.8</v>
      </c>
      <c r="H165">
        <v>1.6666666000000001</v>
      </c>
      <c r="I165">
        <v>-0.6666666</v>
      </c>
      <c r="J165">
        <v>0.375</v>
      </c>
    </row>
    <row r="166" spans="1:10" x14ac:dyDescent="0.3">
      <c r="A166">
        <v>164</v>
      </c>
      <c r="B166">
        <v>2627</v>
      </c>
      <c r="C166" t="b">
        <v>1</v>
      </c>
      <c r="D166">
        <v>8048</v>
      </c>
      <c r="E166">
        <v>8117</v>
      </c>
      <c r="F166">
        <v>8</v>
      </c>
      <c r="G166">
        <v>4.8</v>
      </c>
      <c r="H166">
        <v>1.6666666000000001</v>
      </c>
      <c r="I166">
        <v>-0.6666666</v>
      </c>
      <c r="J166">
        <v>0.375</v>
      </c>
    </row>
    <row r="167" spans="1:10" x14ac:dyDescent="0.3">
      <c r="A167">
        <v>165</v>
      </c>
      <c r="B167">
        <v>2642</v>
      </c>
      <c r="C167" t="b">
        <v>1</v>
      </c>
      <c r="D167">
        <v>8054</v>
      </c>
      <c r="E167">
        <v>8117</v>
      </c>
      <c r="F167">
        <v>8</v>
      </c>
      <c r="G167">
        <v>4.8</v>
      </c>
      <c r="H167">
        <v>1.6666666000000001</v>
      </c>
      <c r="I167">
        <v>-0.6666666</v>
      </c>
      <c r="J167">
        <v>0.375</v>
      </c>
    </row>
    <row r="168" spans="1:10" x14ac:dyDescent="0.3">
      <c r="A168">
        <v>166</v>
      </c>
      <c r="B168">
        <v>2658</v>
      </c>
      <c r="C168" t="b">
        <v>1</v>
      </c>
      <c r="D168">
        <v>8054</v>
      </c>
      <c r="E168">
        <v>8123</v>
      </c>
      <c r="F168">
        <v>8</v>
      </c>
      <c r="G168">
        <v>4.8</v>
      </c>
      <c r="H168">
        <v>1.6666666000000001</v>
      </c>
      <c r="I168">
        <v>-0.6666666</v>
      </c>
      <c r="J168">
        <v>0.375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8123</v>
      </c>
      <c r="F169">
        <v>8</v>
      </c>
      <c r="G169">
        <v>4.8</v>
      </c>
      <c r="H169">
        <v>1.6666666000000001</v>
      </c>
      <c r="I169">
        <v>-0.6666666</v>
      </c>
      <c r="J169">
        <v>0.375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8117</v>
      </c>
      <c r="F170">
        <v>8</v>
      </c>
      <c r="G170">
        <v>4.8</v>
      </c>
      <c r="H170">
        <v>1.6666666000000001</v>
      </c>
      <c r="I170">
        <v>-0.6666666</v>
      </c>
      <c r="J170">
        <v>0.375</v>
      </c>
    </row>
    <row r="171" spans="1:10" x14ac:dyDescent="0.3">
      <c r="A171">
        <v>169</v>
      </c>
      <c r="B171">
        <v>2706</v>
      </c>
      <c r="C171" t="b">
        <v>1</v>
      </c>
      <c r="D171">
        <v>8048</v>
      </c>
      <c r="E171">
        <v>8123</v>
      </c>
      <c r="F171">
        <v>8</v>
      </c>
      <c r="G171">
        <v>5.2</v>
      </c>
      <c r="H171">
        <v>1.5384616</v>
      </c>
      <c r="I171">
        <v>-0.53846156999999994</v>
      </c>
      <c r="J171">
        <v>0.39393938000000001</v>
      </c>
    </row>
    <row r="172" spans="1:10" x14ac:dyDescent="0.3">
      <c r="A172">
        <v>170</v>
      </c>
      <c r="B172">
        <v>2722</v>
      </c>
      <c r="C172" t="b">
        <v>1</v>
      </c>
      <c r="D172">
        <v>8048</v>
      </c>
      <c r="E172">
        <v>8123</v>
      </c>
      <c r="F172">
        <v>8</v>
      </c>
      <c r="G172">
        <v>5.2</v>
      </c>
      <c r="H172">
        <v>1.5384616</v>
      </c>
      <c r="I172">
        <v>-0.53846156999999994</v>
      </c>
      <c r="J172">
        <v>0.39393938000000001</v>
      </c>
    </row>
    <row r="173" spans="1:10" x14ac:dyDescent="0.3">
      <c r="A173">
        <v>171</v>
      </c>
      <c r="B173">
        <v>2738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2753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2769</v>
      </c>
      <c r="C175" t="b">
        <v>1</v>
      </c>
      <c r="D175">
        <v>8054</v>
      </c>
      <c r="E175">
        <v>8117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2786</v>
      </c>
      <c r="C176" t="b">
        <v>1</v>
      </c>
      <c r="D176">
        <v>8048</v>
      </c>
      <c r="E176">
        <v>8117</v>
      </c>
      <c r="F176">
        <v>8</v>
      </c>
      <c r="G176">
        <v>5.2</v>
      </c>
      <c r="H176">
        <v>1.5384616</v>
      </c>
      <c r="I176">
        <v>-0.53846156999999994</v>
      </c>
      <c r="J176">
        <v>0.39393938000000001</v>
      </c>
    </row>
    <row r="177" spans="1:10" x14ac:dyDescent="0.3">
      <c r="A177">
        <v>175</v>
      </c>
      <c r="B177">
        <v>2801</v>
      </c>
      <c r="C177" t="b">
        <v>1</v>
      </c>
      <c r="D177">
        <v>8048</v>
      </c>
      <c r="E177">
        <v>8123</v>
      </c>
      <c r="F177">
        <v>8</v>
      </c>
      <c r="G177">
        <v>4.8</v>
      </c>
      <c r="H177">
        <v>1.6666666000000001</v>
      </c>
      <c r="I177">
        <v>-0.6666666</v>
      </c>
      <c r="J177">
        <v>0.375</v>
      </c>
    </row>
    <row r="178" spans="1:10" x14ac:dyDescent="0.3">
      <c r="A178">
        <v>176</v>
      </c>
      <c r="B178">
        <v>2817</v>
      </c>
      <c r="C178" t="b">
        <v>1</v>
      </c>
      <c r="D178">
        <v>8048</v>
      </c>
      <c r="E178">
        <v>8123</v>
      </c>
      <c r="F178">
        <v>8</v>
      </c>
      <c r="G178">
        <v>4.4000000000000004</v>
      </c>
      <c r="H178">
        <v>1.8181818000000001</v>
      </c>
      <c r="I178">
        <v>-0.81818175000000004</v>
      </c>
      <c r="J178">
        <v>0.35483872999999999</v>
      </c>
    </row>
    <row r="179" spans="1:10" x14ac:dyDescent="0.3">
      <c r="A179">
        <v>177</v>
      </c>
      <c r="B179">
        <v>2833</v>
      </c>
      <c r="C179" t="b">
        <v>1</v>
      </c>
      <c r="D179">
        <v>8048</v>
      </c>
      <c r="E179">
        <v>8123</v>
      </c>
      <c r="F179">
        <v>8</v>
      </c>
      <c r="G179">
        <v>4.4000000000000004</v>
      </c>
      <c r="H179">
        <v>1.8181818000000001</v>
      </c>
      <c r="I179">
        <v>-0.81818175000000004</v>
      </c>
      <c r="J179">
        <v>0.35483872999999999</v>
      </c>
    </row>
    <row r="180" spans="1:10" x14ac:dyDescent="0.3">
      <c r="A180">
        <v>178</v>
      </c>
      <c r="B180">
        <v>2849</v>
      </c>
      <c r="C180" t="b">
        <v>1</v>
      </c>
      <c r="D180">
        <v>8048</v>
      </c>
      <c r="E180">
        <v>8123</v>
      </c>
      <c r="F180">
        <v>8</v>
      </c>
      <c r="G180">
        <v>4.8</v>
      </c>
      <c r="H180">
        <v>1.6666666000000001</v>
      </c>
      <c r="I180">
        <v>-0.6666666</v>
      </c>
      <c r="J180">
        <v>0.375</v>
      </c>
    </row>
    <row r="181" spans="1:10" x14ac:dyDescent="0.3">
      <c r="A181">
        <v>179</v>
      </c>
      <c r="B181">
        <v>2865</v>
      </c>
      <c r="C181" t="b">
        <v>1</v>
      </c>
      <c r="D181">
        <v>8048</v>
      </c>
      <c r="E181">
        <v>8123</v>
      </c>
      <c r="F181">
        <v>8</v>
      </c>
      <c r="G181">
        <v>5.2</v>
      </c>
      <c r="H181">
        <v>1.5384616</v>
      </c>
      <c r="I181">
        <v>-0.53846156999999994</v>
      </c>
      <c r="J181">
        <v>0.39393938000000001</v>
      </c>
    </row>
    <row r="182" spans="1:10" x14ac:dyDescent="0.3">
      <c r="A182">
        <v>180</v>
      </c>
      <c r="B182">
        <v>2881</v>
      </c>
      <c r="C182" t="b">
        <v>1</v>
      </c>
      <c r="D182">
        <v>8048</v>
      </c>
      <c r="E182">
        <v>8123</v>
      </c>
      <c r="F182">
        <v>8</v>
      </c>
      <c r="G182">
        <v>5.6</v>
      </c>
      <c r="H182">
        <v>1.4285715000000001</v>
      </c>
      <c r="I182">
        <v>-0.42857146000000002</v>
      </c>
      <c r="J182">
        <v>0.41176467999999999</v>
      </c>
    </row>
    <row r="183" spans="1:10" x14ac:dyDescent="0.3">
      <c r="A183">
        <v>181</v>
      </c>
      <c r="B183">
        <v>2896</v>
      </c>
      <c r="C183" t="b">
        <v>1</v>
      </c>
      <c r="D183">
        <v>8048</v>
      </c>
      <c r="E183">
        <v>8123</v>
      </c>
      <c r="F183">
        <v>8</v>
      </c>
      <c r="G183">
        <v>6</v>
      </c>
      <c r="H183">
        <v>1.3333333999999999</v>
      </c>
      <c r="I183">
        <v>-0.33333333999999998</v>
      </c>
      <c r="J183">
        <v>0.42857142999999998</v>
      </c>
    </row>
    <row r="184" spans="1:10" x14ac:dyDescent="0.3">
      <c r="A184">
        <v>182</v>
      </c>
      <c r="B184">
        <v>2912</v>
      </c>
      <c r="C184" t="b">
        <v>1</v>
      </c>
      <c r="D184">
        <v>8048</v>
      </c>
      <c r="E184">
        <v>8123</v>
      </c>
      <c r="F184">
        <v>8</v>
      </c>
      <c r="G184">
        <v>6.4</v>
      </c>
      <c r="H184">
        <v>1.25</v>
      </c>
      <c r="I184">
        <v>-0.24999999000000001</v>
      </c>
      <c r="J184">
        <v>0.44444447999999998</v>
      </c>
    </row>
    <row r="185" spans="1:10" x14ac:dyDescent="0.3">
      <c r="A185">
        <v>183</v>
      </c>
      <c r="B185">
        <v>2928</v>
      </c>
      <c r="C185" t="b">
        <v>1</v>
      </c>
      <c r="D185">
        <v>8054</v>
      </c>
      <c r="E185">
        <v>8117</v>
      </c>
      <c r="F185">
        <v>8</v>
      </c>
      <c r="G185">
        <v>6.8</v>
      </c>
      <c r="H185">
        <v>1.1764705</v>
      </c>
      <c r="I185">
        <v>-0.17647055</v>
      </c>
      <c r="J185">
        <v>0.45945944999999999</v>
      </c>
    </row>
    <row r="186" spans="1:10" x14ac:dyDescent="0.3">
      <c r="A186">
        <v>184</v>
      </c>
      <c r="B186">
        <v>2944</v>
      </c>
      <c r="C186" t="b">
        <v>1</v>
      </c>
      <c r="D186">
        <v>8054</v>
      </c>
      <c r="E186">
        <v>8123</v>
      </c>
      <c r="F186">
        <v>8</v>
      </c>
      <c r="G186">
        <v>6.8</v>
      </c>
      <c r="H186">
        <v>1.1764705</v>
      </c>
      <c r="I186">
        <v>-0.17647055</v>
      </c>
      <c r="J186">
        <v>0.45945944999999999</v>
      </c>
    </row>
    <row r="187" spans="1:10" x14ac:dyDescent="0.3">
      <c r="A187">
        <v>185</v>
      </c>
      <c r="B187">
        <v>2960</v>
      </c>
      <c r="C187" t="b">
        <v>1</v>
      </c>
      <c r="D187">
        <v>8048</v>
      </c>
      <c r="E187">
        <v>8123</v>
      </c>
      <c r="F187">
        <v>8</v>
      </c>
      <c r="G187">
        <v>6.8</v>
      </c>
      <c r="H187">
        <v>1.1764705</v>
      </c>
      <c r="I187">
        <v>-0.17647055</v>
      </c>
      <c r="J187">
        <v>0.45945944999999999</v>
      </c>
    </row>
    <row r="188" spans="1:10" x14ac:dyDescent="0.3">
      <c r="A188">
        <v>186</v>
      </c>
      <c r="B188">
        <v>2976</v>
      </c>
      <c r="C188" t="b">
        <v>1</v>
      </c>
      <c r="D188">
        <v>8054</v>
      </c>
      <c r="E188">
        <v>8117</v>
      </c>
      <c r="F188">
        <v>8.4</v>
      </c>
      <c r="G188">
        <v>6.8</v>
      </c>
      <c r="H188">
        <v>1.2352939999999999</v>
      </c>
      <c r="I188">
        <v>-0.23529402999999999</v>
      </c>
      <c r="J188">
        <v>0.44736843999999998</v>
      </c>
    </row>
    <row r="189" spans="1:10" x14ac:dyDescent="0.3">
      <c r="A189">
        <v>187</v>
      </c>
      <c r="B189">
        <v>2992</v>
      </c>
      <c r="C189" t="b">
        <v>1</v>
      </c>
      <c r="D189">
        <v>8054</v>
      </c>
      <c r="E189">
        <v>8117</v>
      </c>
      <c r="F189">
        <v>8.8000000000000007</v>
      </c>
      <c r="G189">
        <v>6.4</v>
      </c>
      <c r="H189">
        <v>1.375</v>
      </c>
      <c r="I189">
        <v>-0.375</v>
      </c>
      <c r="J189">
        <v>0.4210526</v>
      </c>
    </row>
    <row r="190" spans="1:10" x14ac:dyDescent="0.3">
      <c r="A190">
        <v>188</v>
      </c>
      <c r="B190">
        <v>3007</v>
      </c>
      <c r="C190" t="b">
        <v>1</v>
      </c>
      <c r="D190">
        <v>8048</v>
      </c>
      <c r="E190">
        <v>8123</v>
      </c>
      <c r="F190">
        <v>9.1999999999999993</v>
      </c>
      <c r="G190">
        <v>6.4</v>
      </c>
      <c r="H190">
        <v>1.4375</v>
      </c>
      <c r="I190">
        <v>-0.43749993999999998</v>
      </c>
      <c r="J190">
        <v>0.41025642000000001</v>
      </c>
    </row>
    <row r="191" spans="1:10" x14ac:dyDescent="0.3">
      <c r="A191">
        <v>189</v>
      </c>
      <c r="B191">
        <v>3023</v>
      </c>
      <c r="C191" t="b">
        <v>1</v>
      </c>
      <c r="D191">
        <v>8054</v>
      </c>
      <c r="E191">
        <v>8123</v>
      </c>
      <c r="F191">
        <v>9.6</v>
      </c>
      <c r="G191">
        <v>6.8</v>
      </c>
      <c r="H191">
        <v>1.4117647</v>
      </c>
      <c r="I191">
        <v>-0.41176469999999998</v>
      </c>
      <c r="J191">
        <v>0.41463410000000001</v>
      </c>
    </row>
    <row r="192" spans="1:10" x14ac:dyDescent="0.3">
      <c r="A192">
        <v>190</v>
      </c>
      <c r="B192">
        <v>3039</v>
      </c>
      <c r="C192" t="b">
        <v>1</v>
      </c>
      <c r="D192">
        <v>8048</v>
      </c>
      <c r="E192">
        <v>8117</v>
      </c>
      <c r="F192">
        <v>10</v>
      </c>
      <c r="G192">
        <v>6.8</v>
      </c>
      <c r="H192">
        <v>1.4705881999999999</v>
      </c>
      <c r="I192">
        <v>-0.47058820000000001</v>
      </c>
      <c r="J192">
        <v>0.40476193999999999</v>
      </c>
    </row>
    <row r="193" spans="1:10" x14ac:dyDescent="0.3">
      <c r="A193">
        <v>191</v>
      </c>
      <c r="B193">
        <v>3055</v>
      </c>
      <c r="C193" t="b">
        <v>1</v>
      </c>
      <c r="D193">
        <v>8048</v>
      </c>
      <c r="E193">
        <v>8123</v>
      </c>
      <c r="F193">
        <v>10</v>
      </c>
      <c r="G193">
        <v>7.2</v>
      </c>
      <c r="H193">
        <v>1.388889</v>
      </c>
      <c r="I193">
        <v>-0.38888893000000002</v>
      </c>
      <c r="J193">
        <v>0.41860459999999999</v>
      </c>
    </row>
    <row r="194" spans="1:10" x14ac:dyDescent="0.3">
      <c r="A194">
        <v>192</v>
      </c>
      <c r="B194">
        <v>3071</v>
      </c>
      <c r="C194" t="b">
        <v>1</v>
      </c>
      <c r="D194">
        <v>8054</v>
      </c>
      <c r="E194">
        <v>8123</v>
      </c>
      <c r="F194">
        <v>10</v>
      </c>
      <c r="G194">
        <v>7.2</v>
      </c>
      <c r="H194">
        <v>1.388889</v>
      </c>
      <c r="I194">
        <v>-0.38888893000000002</v>
      </c>
      <c r="J194">
        <v>0.41860459999999999</v>
      </c>
    </row>
    <row r="195" spans="1:10" x14ac:dyDescent="0.3">
      <c r="A195">
        <v>193</v>
      </c>
      <c r="B195">
        <v>3087</v>
      </c>
      <c r="C195" t="b">
        <v>1</v>
      </c>
      <c r="D195">
        <v>8048</v>
      </c>
      <c r="E195">
        <v>8123</v>
      </c>
      <c r="F195">
        <v>10</v>
      </c>
      <c r="G195">
        <v>7.2</v>
      </c>
      <c r="H195">
        <v>1.388889</v>
      </c>
      <c r="I195">
        <v>-0.38888893000000002</v>
      </c>
      <c r="J195">
        <v>0.41860459999999999</v>
      </c>
    </row>
    <row r="196" spans="1:10" x14ac:dyDescent="0.3">
      <c r="A196">
        <v>194</v>
      </c>
      <c r="B196">
        <v>3103</v>
      </c>
      <c r="C196" t="b">
        <v>1</v>
      </c>
      <c r="D196">
        <v>8048</v>
      </c>
      <c r="E196">
        <v>8117</v>
      </c>
      <c r="F196">
        <v>10</v>
      </c>
      <c r="G196">
        <v>7.2</v>
      </c>
      <c r="H196">
        <v>1.388889</v>
      </c>
      <c r="I196">
        <v>-0.38888893000000002</v>
      </c>
      <c r="J196">
        <v>0.41860459999999999</v>
      </c>
    </row>
    <row r="197" spans="1:10" x14ac:dyDescent="0.3">
      <c r="A197">
        <v>195</v>
      </c>
      <c r="B197">
        <v>3119</v>
      </c>
      <c r="C197" t="b">
        <v>1</v>
      </c>
      <c r="D197">
        <v>8048</v>
      </c>
      <c r="E197">
        <v>8123</v>
      </c>
      <c r="F197">
        <v>10</v>
      </c>
      <c r="G197">
        <v>7.2</v>
      </c>
      <c r="H197">
        <v>1.388889</v>
      </c>
      <c r="I197">
        <v>-0.38888893000000002</v>
      </c>
      <c r="J197">
        <v>0.41860459999999999</v>
      </c>
    </row>
    <row r="198" spans="1:10" x14ac:dyDescent="0.3">
      <c r="A198">
        <v>196</v>
      </c>
      <c r="B198">
        <v>3135</v>
      </c>
      <c r="C198" t="b">
        <v>1</v>
      </c>
      <c r="D198">
        <v>8048</v>
      </c>
      <c r="E198">
        <v>8129</v>
      </c>
      <c r="F198">
        <v>10</v>
      </c>
      <c r="G198">
        <v>7.2</v>
      </c>
      <c r="H198">
        <v>1.388889</v>
      </c>
      <c r="I198">
        <v>-0.38888893000000002</v>
      </c>
      <c r="J198">
        <v>0.41860459999999999</v>
      </c>
    </row>
    <row r="199" spans="1:10" x14ac:dyDescent="0.3">
      <c r="A199">
        <v>197</v>
      </c>
      <c r="B199">
        <v>3151</v>
      </c>
      <c r="C199" t="b">
        <v>1</v>
      </c>
      <c r="D199">
        <v>8048</v>
      </c>
      <c r="E199">
        <v>8123</v>
      </c>
      <c r="F199">
        <v>10</v>
      </c>
      <c r="G199">
        <v>7.2</v>
      </c>
      <c r="H199">
        <v>1.388889</v>
      </c>
      <c r="I199">
        <v>-0.38888893000000002</v>
      </c>
      <c r="J199">
        <v>0.41860459999999999</v>
      </c>
    </row>
    <row r="200" spans="1:10" x14ac:dyDescent="0.3">
      <c r="A200">
        <v>198</v>
      </c>
      <c r="B200">
        <v>3167</v>
      </c>
      <c r="C200" t="b">
        <v>1</v>
      </c>
      <c r="D200">
        <v>8054</v>
      </c>
      <c r="E200">
        <v>8123</v>
      </c>
      <c r="F200">
        <v>10</v>
      </c>
      <c r="G200">
        <v>7.2</v>
      </c>
      <c r="H200">
        <v>1.388889</v>
      </c>
      <c r="I200">
        <v>-0.38888893000000002</v>
      </c>
      <c r="J200">
        <v>0.41860459999999999</v>
      </c>
    </row>
    <row r="201" spans="1:10" x14ac:dyDescent="0.3">
      <c r="A201">
        <v>199</v>
      </c>
      <c r="B201">
        <v>3182</v>
      </c>
      <c r="C201" t="b">
        <v>1</v>
      </c>
      <c r="D201">
        <v>8054</v>
      </c>
      <c r="E201">
        <v>8123</v>
      </c>
      <c r="F201">
        <v>10</v>
      </c>
      <c r="G201">
        <v>7.2</v>
      </c>
      <c r="H201">
        <v>1.388889</v>
      </c>
      <c r="I201">
        <v>-0.38888893000000002</v>
      </c>
      <c r="J201">
        <v>0.41860459999999999</v>
      </c>
    </row>
    <row r="202" spans="1:10" x14ac:dyDescent="0.3">
      <c r="A202">
        <v>200</v>
      </c>
      <c r="B202">
        <v>3199</v>
      </c>
      <c r="C202" t="b">
        <v>1</v>
      </c>
      <c r="D202">
        <v>8054</v>
      </c>
      <c r="E202">
        <v>8123</v>
      </c>
      <c r="F202">
        <v>10.4</v>
      </c>
      <c r="G202">
        <v>7.2</v>
      </c>
      <c r="H202">
        <v>1.4444444000000001</v>
      </c>
      <c r="I202">
        <v>-0.44444442000000001</v>
      </c>
      <c r="J202">
        <v>0.40909094000000001</v>
      </c>
    </row>
    <row r="203" spans="1:10" x14ac:dyDescent="0.3">
      <c r="A203">
        <v>201</v>
      </c>
      <c r="B203">
        <v>3214</v>
      </c>
      <c r="C203" t="b">
        <v>1</v>
      </c>
      <c r="D203">
        <v>8042</v>
      </c>
      <c r="E203">
        <v>8123</v>
      </c>
      <c r="F203">
        <v>10.4</v>
      </c>
      <c r="G203">
        <v>7.2</v>
      </c>
      <c r="H203">
        <v>1.4444444000000001</v>
      </c>
      <c r="I203">
        <v>-0.44444442000000001</v>
      </c>
      <c r="J203">
        <v>0.40909094000000001</v>
      </c>
    </row>
    <row r="204" spans="1:10" x14ac:dyDescent="0.3">
      <c r="A204">
        <v>202</v>
      </c>
      <c r="B204">
        <v>3230</v>
      </c>
      <c r="C204" t="b">
        <v>1</v>
      </c>
      <c r="D204">
        <v>8048</v>
      </c>
      <c r="E204">
        <v>8117</v>
      </c>
      <c r="F204">
        <v>10.4</v>
      </c>
      <c r="G204">
        <v>7.6</v>
      </c>
      <c r="H204">
        <v>1.3684210999999999</v>
      </c>
      <c r="I204">
        <v>-0.36842101999999999</v>
      </c>
      <c r="J204">
        <v>0.42222222999999998</v>
      </c>
    </row>
    <row r="205" spans="1:10" x14ac:dyDescent="0.3">
      <c r="A205">
        <v>203</v>
      </c>
      <c r="B205">
        <v>3246</v>
      </c>
      <c r="C205" t="b">
        <v>1</v>
      </c>
      <c r="D205">
        <v>8048</v>
      </c>
      <c r="E205">
        <v>8117</v>
      </c>
      <c r="F205">
        <v>10</v>
      </c>
      <c r="G205">
        <v>7.6</v>
      </c>
      <c r="H205">
        <v>1.3157894999999999</v>
      </c>
      <c r="I205">
        <v>-0.3157895</v>
      </c>
      <c r="J205">
        <v>0.43181816000000001</v>
      </c>
    </row>
    <row r="206" spans="1:10" x14ac:dyDescent="0.3">
      <c r="A206">
        <v>204</v>
      </c>
      <c r="B206">
        <v>3262</v>
      </c>
      <c r="C206" t="b">
        <v>1</v>
      </c>
      <c r="D206">
        <v>8048</v>
      </c>
      <c r="E206">
        <v>8123</v>
      </c>
      <c r="F206">
        <v>9.6</v>
      </c>
      <c r="G206">
        <v>7.6</v>
      </c>
      <c r="H206">
        <v>1.263158</v>
      </c>
      <c r="I206">
        <v>-0.26315796000000002</v>
      </c>
      <c r="J206">
        <v>0.44186044000000002</v>
      </c>
    </row>
    <row r="207" spans="1:10" x14ac:dyDescent="0.3">
      <c r="A207">
        <v>205</v>
      </c>
      <c r="B207">
        <v>3278</v>
      </c>
      <c r="C207" t="b">
        <v>1</v>
      </c>
      <c r="D207">
        <v>8048</v>
      </c>
      <c r="E207">
        <v>8123</v>
      </c>
      <c r="F207">
        <v>9.1999999999999993</v>
      </c>
      <c r="G207">
        <v>8</v>
      </c>
      <c r="H207">
        <v>1.1499999999999999</v>
      </c>
      <c r="I207">
        <v>-0.14999998</v>
      </c>
      <c r="J207">
        <v>0.46511626</v>
      </c>
    </row>
    <row r="208" spans="1:10" x14ac:dyDescent="0.3">
      <c r="A208">
        <v>206</v>
      </c>
      <c r="B208">
        <v>3293</v>
      </c>
      <c r="C208" t="b">
        <v>1</v>
      </c>
      <c r="D208">
        <v>8048</v>
      </c>
      <c r="E208">
        <v>8123</v>
      </c>
      <c r="F208">
        <v>9.1999999999999993</v>
      </c>
      <c r="G208">
        <v>8</v>
      </c>
      <c r="H208">
        <v>1.1499999999999999</v>
      </c>
      <c r="I208">
        <v>-0.14999998</v>
      </c>
      <c r="J208">
        <v>0.46511626</v>
      </c>
    </row>
    <row r="209" spans="1:10" x14ac:dyDescent="0.3">
      <c r="A209">
        <v>207</v>
      </c>
      <c r="B209">
        <v>3309</v>
      </c>
      <c r="C209" t="b">
        <v>1</v>
      </c>
      <c r="D209">
        <v>8048</v>
      </c>
      <c r="E209">
        <v>8123</v>
      </c>
      <c r="F209">
        <v>9.1999999999999993</v>
      </c>
      <c r="G209">
        <v>8</v>
      </c>
      <c r="H209">
        <v>1.1499999999999999</v>
      </c>
      <c r="I209">
        <v>-0.14999998</v>
      </c>
      <c r="J209">
        <v>0.46511626</v>
      </c>
    </row>
    <row r="210" spans="1:10" x14ac:dyDescent="0.3">
      <c r="A210">
        <v>208</v>
      </c>
      <c r="B210">
        <v>3325</v>
      </c>
      <c r="C210" t="b">
        <v>1</v>
      </c>
      <c r="D210">
        <v>8048</v>
      </c>
      <c r="E210">
        <v>8123</v>
      </c>
      <c r="F210">
        <v>9.1999999999999993</v>
      </c>
      <c r="G210">
        <v>8</v>
      </c>
      <c r="H210">
        <v>1.1499999999999999</v>
      </c>
      <c r="I210">
        <v>-0.14999998</v>
      </c>
      <c r="J210">
        <v>0.46511626</v>
      </c>
    </row>
    <row r="211" spans="1:10" x14ac:dyDescent="0.3">
      <c r="A211">
        <v>209</v>
      </c>
      <c r="B211">
        <v>3341</v>
      </c>
      <c r="C211" t="b">
        <v>1</v>
      </c>
      <c r="D211">
        <v>8054</v>
      </c>
      <c r="E211">
        <v>8123</v>
      </c>
      <c r="F211">
        <v>9.1999999999999993</v>
      </c>
      <c r="G211">
        <v>8</v>
      </c>
      <c r="H211">
        <v>1.1499999999999999</v>
      </c>
      <c r="I211">
        <v>-0.14999998</v>
      </c>
      <c r="J211">
        <v>0.46511626</v>
      </c>
    </row>
    <row r="212" spans="1:10" x14ac:dyDescent="0.3">
      <c r="A212">
        <v>210</v>
      </c>
      <c r="B212">
        <v>3357</v>
      </c>
      <c r="C212" t="b">
        <v>1</v>
      </c>
      <c r="D212">
        <v>8048</v>
      </c>
      <c r="E212">
        <v>8123</v>
      </c>
      <c r="F212">
        <v>9.1999999999999993</v>
      </c>
      <c r="G212">
        <v>8</v>
      </c>
      <c r="H212">
        <v>1.1499999999999999</v>
      </c>
      <c r="I212">
        <v>-0.14999998</v>
      </c>
      <c r="J212">
        <v>0.46511626</v>
      </c>
    </row>
    <row r="213" spans="1:10" x14ac:dyDescent="0.3">
      <c r="A213">
        <v>211</v>
      </c>
      <c r="B213">
        <v>3373</v>
      </c>
      <c r="C213" t="b">
        <v>1</v>
      </c>
      <c r="D213">
        <v>8054</v>
      </c>
      <c r="E213">
        <v>8123</v>
      </c>
      <c r="F213">
        <v>9.1999999999999993</v>
      </c>
      <c r="G213">
        <v>8</v>
      </c>
      <c r="H213">
        <v>1.1499999999999999</v>
      </c>
      <c r="I213">
        <v>-0.14999998</v>
      </c>
      <c r="J213">
        <v>0.46511626</v>
      </c>
    </row>
    <row r="214" spans="1:10" x14ac:dyDescent="0.3">
      <c r="A214">
        <v>212</v>
      </c>
      <c r="B214">
        <v>3388</v>
      </c>
      <c r="C214" t="b">
        <v>1</v>
      </c>
      <c r="D214">
        <v>8054</v>
      </c>
      <c r="E214">
        <v>8123</v>
      </c>
      <c r="F214">
        <v>9.6</v>
      </c>
      <c r="G214">
        <v>8</v>
      </c>
      <c r="H214">
        <v>1.2</v>
      </c>
      <c r="I214">
        <v>-0.20000005000000001</v>
      </c>
      <c r="J214">
        <v>0.45454544000000002</v>
      </c>
    </row>
    <row r="215" spans="1:10" x14ac:dyDescent="0.3">
      <c r="A215">
        <v>213</v>
      </c>
      <c r="B215">
        <v>3404</v>
      </c>
      <c r="C215" t="b">
        <v>1</v>
      </c>
      <c r="D215">
        <v>8048</v>
      </c>
      <c r="E215">
        <v>8123</v>
      </c>
      <c r="F215">
        <v>10</v>
      </c>
      <c r="G215">
        <v>8</v>
      </c>
      <c r="H215">
        <v>1.25</v>
      </c>
      <c r="I215">
        <v>-0.25</v>
      </c>
      <c r="J215">
        <v>0.44444444999999999</v>
      </c>
    </row>
    <row r="216" spans="1:10" x14ac:dyDescent="0.3">
      <c r="A216">
        <v>214</v>
      </c>
      <c r="B216">
        <v>3420</v>
      </c>
      <c r="C216" t="b">
        <v>1</v>
      </c>
      <c r="D216">
        <v>8048</v>
      </c>
      <c r="E216">
        <v>8123</v>
      </c>
      <c r="F216">
        <v>10</v>
      </c>
      <c r="G216">
        <v>8</v>
      </c>
      <c r="H216">
        <v>1.25</v>
      </c>
      <c r="I216">
        <v>-0.25</v>
      </c>
      <c r="J216">
        <v>0.44444444999999999</v>
      </c>
    </row>
    <row r="217" spans="1:10" x14ac:dyDescent="0.3">
      <c r="A217">
        <v>215</v>
      </c>
      <c r="B217">
        <v>3436</v>
      </c>
      <c r="C217" t="b">
        <v>1</v>
      </c>
      <c r="D217">
        <v>8048</v>
      </c>
      <c r="E217">
        <v>8123</v>
      </c>
      <c r="F217">
        <v>9.6</v>
      </c>
      <c r="G217">
        <v>8</v>
      </c>
      <c r="H217">
        <v>1.2</v>
      </c>
      <c r="I217">
        <v>-0.20000005000000001</v>
      </c>
      <c r="J217">
        <v>0.45454544000000002</v>
      </c>
    </row>
    <row r="218" spans="1:10" x14ac:dyDescent="0.3">
      <c r="A218">
        <v>216</v>
      </c>
      <c r="B218">
        <v>3452</v>
      </c>
      <c r="C218" t="b">
        <v>1</v>
      </c>
      <c r="D218">
        <v>8048</v>
      </c>
      <c r="E218">
        <v>8123</v>
      </c>
      <c r="F218">
        <v>9.1999999999999993</v>
      </c>
      <c r="G218">
        <v>8</v>
      </c>
      <c r="H218">
        <v>1.1499999999999999</v>
      </c>
      <c r="I218">
        <v>-0.14999998</v>
      </c>
      <c r="J218">
        <v>0.46511626</v>
      </c>
    </row>
    <row r="219" spans="1:10" x14ac:dyDescent="0.3">
      <c r="A219">
        <v>217</v>
      </c>
      <c r="B219">
        <v>3467</v>
      </c>
      <c r="C219" t="b">
        <v>1</v>
      </c>
      <c r="D219">
        <v>8042</v>
      </c>
      <c r="E219">
        <v>8117</v>
      </c>
      <c r="F219">
        <v>8.8000000000000007</v>
      </c>
      <c r="G219">
        <v>8</v>
      </c>
      <c r="H219">
        <v>1.1000000000000001</v>
      </c>
      <c r="I219">
        <v>-0.10000002400000001</v>
      </c>
      <c r="J219">
        <v>0.47619050000000002</v>
      </c>
    </row>
    <row r="220" spans="1:10" x14ac:dyDescent="0.3">
      <c r="A220">
        <v>218</v>
      </c>
      <c r="B220">
        <v>3483</v>
      </c>
      <c r="C220" t="b">
        <v>1</v>
      </c>
      <c r="D220">
        <v>8048</v>
      </c>
      <c r="E220">
        <v>8123</v>
      </c>
      <c r="F220">
        <v>8.8000000000000007</v>
      </c>
      <c r="G220">
        <v>8</v>
      </c>
      <c r="H220">
        <v>1.1000000000000001</v>
      </c>
      <c r="I220">
        <v>-0.10000002400000001</v>
      </c>
      <c r="J220">
        <v>0.47619050000000002</v>
      </c>
    </row>
    <row r="221" spans="1:10" x14ac:dyDescent="0.3">
      <c r="A221">
        <v>219</v>
      </c>
      <c r="B221">
        <v>3499</v>
      </c>
      <c r="C221" t="b">
        <v>1</v>
      </c>
      <c r="D221">
        <v>8048</v>
      </c>
      <c r="E221">
        <v>8123</v>
      </c>
      <c r="F221">
        <v>8.8000000000000007</v>
      </c>
      <c r="G221">
        <v>8</v>
      </c>
      <c r="H221">
        <v>1.1000000000000001</v>
      </c>
      <c r="I221">
        <v>-0.10000002400000001</v>
      </c>
      <c r="J221">
        <v>0.47619050000000002</v>
      </c>
    </row>
    <row r="222" spans="1:10" x14ac:dyDescent="0.3">
      <c r="A222">
        <v>220</v>
      </c>
      <c r="B222">
        <v>3515</v>
      </c>
      <c r="C222" t="b">
        <v>1</v>
      </c>
      <c r="D222">
        <v>8048</v>
      </c>
      <c r="E222">
        <v>8117</v>
      </c>
      <c r="F222">
        <v>8.8000000000000007</v>
      </c>
      <c r="G222">
        <v>8</v>
      </c>
      <c r="H222">
        <v>1.1000000000000001</v>
      </c>
      <c r="I222">
        <v>-0.10000002400000001</v>
      </c>
      <c r="J222">
        <v>0.47619050000000002</v>
      </c>
    </row>
    <row r="223" spans="1:10" x14ac:dyDescent="0.3">
      <c r="A223">
        <v>221</v>
      </c>
      <c r="B223">
        <v>3531</v>
      </c>
      <c r="C223" t="b">
        <v>1</v>
      </c>
      <c r="D223">
        <v>8048</v>
      </c>
      <c r="E223">
        <v>8123</v>
      </c>
      <c r="F223">
        <v>8.8000000000000007</v>
      </c>
      <c r="G223">
        <v>8</v>
      </c>
      <c r="H223">
        <v>1.1000000000000001</v>
      </c>
      <c r="I223">
        <v>-0.10000002400000001</v>
      </c>
      <c r="J223">
        <v>0.47619050000000002</v>
      </c>
    </row>
    <row r="224" spans="1:10" x14ac:dyDescent="0.3">
      <c r="A224">
        <v>222</v>
      </c>
      <c r="B224">
        <v>3547</v>
      </c>
      <c r="C224" t="b">
        <v>1</v>
      </c>
      <c r="D224">
        <v>8054</v>
      </c>
      <c r="E224">
        <v>8123</v>
      </c>
      <c r="F224">
        <v>8.8000000000000007</v>
      </c>
      <c r="G224">
        <v>8</v>
      </c>
      <c r="H224">
        <v>1.1000000000000001</v>
      </c>
      <c r="I224">
        <v>-0.10000002400000001</v>
      </c>
      <c r="J224">
        <v>0.47619050000000002</v>
      </c>
    </row>
    <row r="225" spans="1:10" x14ac:dyDescent="0.3">
      <c r="A225">
        <v>223</v>
      </c>
      <c r="B225">
        <v>3563</v>
      </c>
      <c r="C225" t="b">
        <v>1</v>
      </c>
      <c r="D225">
        <v>8048</v>
      </c>
      <c r="E225">
        <v>8117</v>
      </c>
      <c r="F225">
        <v>8.8000000000000007</v>
      </c>
      <c r="G225">
        <v>8</v>
      </c>
      <c r="H225">
        <v>1.1000000000000001</v>
      </c>
      <c r="I225">
        <v>-0.10000002400000001</v>
      </c>
      <c r="J225">
        <v>0.47619050000000002</v>
      </c>
    </row>
    <row r="226" spans="1:10" x14ac:dyDescent="0.3">
      <c r="A226">
        <v>224</v>
      </c>
      <c r="B226">
        <v>3579</v>
      </c>
      <c r="C226" t="b">
        <v>1</v>
      </c>
      <c r="D226">
        <v>8048</v>
      </c>
      <c r="E226">
        <v>8117</v>
      </c>
      <c r="F226">
        <v>8.8000000000000007</v>
      </c>
      <c r="G226">
        <v>7.6</v>
      </c>
      <c r="H226">
        <v>1.1578946999999999</v>
      </c>
      <c r="I226">
        <v>-0.15789478000000001</v>
      </c>
      <c r="J226">
        <v>0.46341463999999999</v>
      </c>
    </row>
    <row r="227" spans="1:10" x14ac:dyDescent="0.3">
      <c r="A227">
        <v>225</v>
      </c>
      <c r="B227">
        <v>3595</v>
      </c>
      <c r="C227" t="b">
        <v>1</v>
      </c>
      <c r="D227">
        <v>8048</v>
      </c>
      <c r="E227">
        <v>8117</v>
      </c>
      <c r="F227">
        <v>8.8000000000000007</v>
      </c>
      <c r="G227">
        <v>7.2</v>
      </c>
      <c r="H227">
        <v>1.2222223000000001</v>
      </c>
      <c r="I227">
        <v>-0.22222227999999999</v>
      </c>
      <c r="J227">
        <v>0.45</v>
      </c>
    </row>
    <row r="228" spans="1:10" x14ac:dyDescent="0.3">
      <c r="A228">
        <v>226</v>
      </c>
      <c r="B228">
        <v>3611</v>
      </c>
      <c r="C228" t="b">
        <v>1</v>
      </c>
      <c r="D228">
        <v>8048</v>
      </c>
      <c r="E228">
        <v>8123</v>
      </c>
      <c r="F228">
        <v>8.8000000000000007</v>
      </c>
      <c r="G228">
        <v>6.8</v>
      </c>
      <c r="H228">
        <v>1.2941176999999999</v>
      </c>
      <c r="I228">
        <v>-0.29411763000000002</v>
      </c>
      <c r="J228">
        <v>0.43589744000000002</v>
      </c>
    </row>
    <row r="229" spans="1:10" x14ac:dyDescent="0.3">
      <c r="A229">
        <v>227</v>
      </c>
      <c r="B229">
        <v>3627</v>
      </c>
      <c r="C229" t="b">
        <v>1</v>
      </c>
      <c r="D229">
        <v>8048</v>
      </c>
      <c r="E229">
        <v>8123</v>
      </c>
      <c r="F229">
        <v>8.4</v>
      </c>
      <c r="G229">
        <v>6.4</v>
      </c>
      <c r="H229">
        <v>1.3124998999999999</v>
      </c>
      <c r="I229">
        <v>-0.3124999</v>
      </c>
      <c r="J229">
        <v>0.43243247000000001</v>
      </c>
    </row>
    <row r="230" spans="1:10" x14ac:dyDescent="0.3">
      <c r="A230">
        <v>228</v>
      </c>
      <c r="B230">
        <v>3643</v>
      </c>
      <c r="C230" t="b">
        <v>1</v>
      </c>
      <c r="D230">
        <v>8048</v>
      </c>
      <c r="E230">
        <v>8123</v>
      </c>
      <c r="F230">
        <v>8</v>
      </c>
      <c r="G230">
        <v>6.4</v>
      </c>
      <c r="H230">
        <v>1.25</v>
      </c>
      <c r="I230">
        <v>-0.24999999000000001</v>
      </c>
      <c r="J230">
        <v>0.44444447999999998</v>
      </c>
    </row>
    <row r="231" spans="1:10" x14ac:dyDescent="0.3">
      <c r="A231">
        <v>229</v>
      </c>
      <c r="B231">
        <v>3659</v>
      </c>
      <c r="C231" t="b">
        <v>1</v>
      </c>
      <c r="D231">
        <v>8048</v>
      </c>
      <c r="E231">
        <v>8123</v>
      </c>
      <c r="F231">
        <v>8</v>
      </c>
      <c r="G231">
        <v>6.4</v>
      </c>
      <c r="H231">
        <v>1.25</v>
      </c>
      <c r="I231">
        <v>-0.24999999000000001</v>
      </c>
      <c r="J231">
        <v>0.44444447999999998</v>
      </c>
    </row>
    <row r="232" spans="1:10" x14ac:dyDescent="0.3">
      <c r="A232">
        <v>230</v>
      </c>
      <c r="B232">
        <v>3675</v>
      </c>
      <c r="C232" t="b">
        <v>1</v>
      </c>
      <c r="D232">
        <v>8048</v>
      </c>
      <c r="E232">
        <v>8123</v>
      </c>
      <c r="F232">
        <v>8</v>
      </c>
      <c r="G232">
        <v>6.4</v>
      </c>
      <c r="H232">
        <v>1.25</v>
      </c>
      <c r="I232">
        <v>-0.24999999000000001</v>
      </c>
      <c r="J232">
        <v>0.44444447999999998</v>
      </c>
    </row>
    <row r="233" spans="1:10" x14ac:dyDescent="0.3">
      <c r="A233">
        <v>231</v>
      </c>
      <c r="B233">
        <v>3690</v>
      </c>
      <c r="C233" t="b">
        <v>1</v>
      </c>
      <c r="D233">
        <v>8048</v>
      </c>
      <c r="E233">
        <v>8123</v>
      </c>
      <c r="F233">
        <v>8</v>
      </c>
      <c r="G233">
        <v>6.4</v>
      </c>
      <c r="H233">
        <v>1.25</v>
      </c>
      <c r="I233">
        <v>-0.24999999000000001</v>
      </c>
      <c r="J233">
        <v>0.44444447999999998</v>
      </c>
    </row>
    <row r="234" spans="1:10" x14ac:dyDescent="0.3">
      <c r="A234">
        <v>232</v>
      </c>
      <c r="B234">
        <v>3706</v>
      </c>
      <c r="C234" t="b">
        <v>1</v>
      </c>
      <c r="D234">
        <v>8048</v>
      </c>
      <c r="E234">
        <v>8123</v>
      </c>
      <c r="F234">
        <v>8</v>
      </c>
      <c r="G234">
        <v>6.4</v>
      </c>
      <c r="H234">
        <v>1.25</v>
      </c>
      <c r="I234">
        <v>-0.24999999000000001</v>
      </c>
      <c r="J234">
        <v>0.44444447999999998</v>
      </c>
    </row>
    <row r="235" spans="1:10" x14ac:dyDescent="0.3">
      <c r="A235">
        <v>233</v>
      </c>
      <c r="B235">
        <v>3722</v>
      </c>
      <c r="C235" t="b">
        <v>1</v>
      </c>
      <c r="D235">
        <v>8048</v>
      </c>
      <c r="E235">
        <v>8123</v>
      </c>
      <c r="F235">
        <v>8</v>
      </c>
      <c r="G235">
        <v>6.4</v>
      </c>
      <c r="H235">
        <v>1.25</v>
      </c>
      <c r="I235">
        <v>-0.24999999000000001</v>
      </c>
      <c r="J235">
        <v>0.44444447999999998</v>
      </c>
    </row>
    <row r="236" spans="1:10" x14ac:dyDescent="0.3">
      <c r="A236">
        <v>234</v>
      </c>
      <c r="B236">
        <v>3738</v>
      </c>
      <c r="C236" t="b">
        <v>1</v>
      </c>
      <c r="D236">
        <v>8054</v>
      </c>
      <c r="E236">
        <v>8123</v>
      </c>
      <c r="F236">
        <v>8</v>
      </c>
      <c r="G236">
        <v>6.4</v>
      </c>
      <c r="H236">
        <v>1.25</v>
      </c>
      <c r="I236">
        <v>-0.24999999000000001</v>
      </c>
      <c r="J236">
        <v>0.44444447999999998</v>
      </c>
    </row>
    <row r="237" spans="1:10" x14ac:dyDescent="0.3">
      <c r="A237">
        <v>235</v>
      </c>
      <c r="B237">
        <v>3754</v>
      </c>
      <c r="C237" t="b">
        <v>1</v>
      </c>
      <c r="D237">
        <v>8048</v>
      </c>
      <c r="E237">
        <v>8123</v>
      </c>
      <c r="F237">
        <v>8</v>
      </c>
      <c r="G237">
        <v>6.4</v>
      </c>
      <c r="H237">
        <v>1.25</v>
      </c>
      <c r="I237">
        <v>-0.24999999000000001</v>
      </c>
      <c r="J237">
        <v>0.44444447999999998</v>
      </c>
    </row>
    <row r="238" spans="1:10" x14ac:dyDescent="0.3">
      <c r="A238">
        <v>236</v>
      </c>
      <c r="B238">
        <v>3769</v>
      </c>
      <c r="C238" t="b">
        <v>1</v>
      </c>
      <c r="D238">
        <v>8048</v>
      </c>
      <c r="E238">
        <v>8117</v>
      </c>
      <c r="F238">
        <v>8</v>
      </c>
      <c r="G238">
        <v>6.4</v>
      </c>
      <c r="H238">
        <v>1.25</v>
      </c>
      <c r="I238">
        <v>-0.24999999000000001</v>
      </c>
      <c r="J238">
        <v>0.44444447999999998</v>
      </c>
    </row>
    <row r="239" spans="1:10" x14ac:dyDescent="0.3">
      <c r="A239">
        <v>237</v>
      </c>
      <c r="B239">
        <v>3785</v>
      </c>
      <c r="C239" t="b">
        <v>1</v>
      </c>
      <c r="D239">
        <v>8048</v>
      </c>
      <c r="E239">
        <v>8123</v>
      </c>
      <c r="F239">
        <v>8</v>
      </c>
      <c r="G239">
        <v>6.4</v>
      </c>
      <c r="H239">
        <v>1.25</v>
      </c>
      <c r="I239">
        <v>-0.24999999000000001</v>
      </c>
      <c r="J239">
        <v>0.44444447999999998</v>
      </c>
    </row>
    <row r="240" spans="1:10" x14ac:dyDescent="0.3">
      <c r="A240">
        <v>238</v>
      </c>
      <c r="B240">
        <v>3801</v>
      </c>
      <c r="C240" t="b">
        <v>1</v>
      </c>
      <c r="D240">
        <v>8048</v>
      </c>
      <c r="E240">
        <v>8123</v>
      </c>
      <c r="F240">
        <v>8</v>
      </c>
      <c r="G240">
        <v>6.4</v>
      </c>
      <c r="H240">
        <v>1.25</v>
      </c>
      <c r="I240">
        <v>-0.24999999000000001</v>
      </c>
      <c r="J240">
        <v>0.44444447999999998</v>
      </c>
    </row>
    <row r="241" spans="1:10" x14ac:dyDescent="0.3">
      <c r="A241">
        <v>239</v>
      </c>
      <c r="B241">
        <v>3817</v>
      </c>
      <c r="C241" t="b">
        <v>1</v>
      </c>
      <c r="D241">
        <v>8048</v>
      </c>
      <c r="E241">
        <v>8123</v>
      </c>
      <c r="F241">
        <v>8</v>
      </c>
      <c r="G241">
        <v>6.8</v>
      </c>
      <c r="H241">
        <v>1.1764705</v>
      </c>
      <c r="I241">
        <v>-0.17647055</v>
      </c>
      <c r="J241">
        <v>0.45945944999999999</v>
      </c>
    </row>
    <row r="242" spans="1:10" x14ac:dyDescent="0.3">
      <c r="A242">
        <v>240</v>
      </c>
      <c r="B242">
        <v>3833</v>
      </c>
      <c r="C242" t="b">
        <v>1</v>
      </c>
      <c r="D242">
        <v>8048</v>
      </c>
      <c r="E242">
        <v>8117</v>
      </c>
      <c r="F242">
        <v>8</v>
      </c>
      <c r="G242">
        <v>7.2</v>
      </c>
      <c r="H242">
        <v>1.1111112000000001</v>
      </c>
      <c r="I242">
        <v>-0.11111114</v>
      </c>
      <c r="J242">
        <v>0.4736842</v>
      </c>
    </row>
    <row r="243" spans="1:10" x14ac:dyDescent="0.3">
      <c r="A243">
        <v>241</v>
      </c>
      <c r="B243">
        <v>3849</v>
      </c>
      <c r="C243" t="b">
        <v>1</v>
      </c>
      <c r="D243">
        <v>8048</v>
      </c>
      <c r="E243">
        <v>8123</v>
      </c>
      <c r="F243">
        <v>8</v>
      </c>
      <c r="G243">
        <v>7.6</v>
      </c>
      <c r="H243">
        <v>1.0526316</v>
      </c>
      <c r="I243">
        <v>-5.2631589999999999E-2</v>
      </c>
      <c r="J243">
        <v>0.48717946000000001</v>
      </c>
    </row>
    <row r="244" spans="1:10" x14ac:dyDescent="0.3">
      <c r="A244">
        <v>242</v>
      </c>
      <c r="B244">
        <v>3865</v>
      </c>
      <c r="C244" t="b">
        <v>1</v>
      </c>
      <c r="D244">
        <v>8048</v>
      </c>
      <c r="E244">
        <v>8123</v>
      </c>
      <c r="F244">
        <v>8</v>
      </c>
      <c r="G244">
        <v>8</v>
      </c>
      <c r="H244">
        <v>1</v>
      </c>
      <c r="I244">
        <v>0</v>
      </c>
      <c r="J244">
        <v>0.5</v>
      </c>
    </row>
    <row r="245" spans="1:10" x14ac:dyDescent="0.3">
      <c r="A245">
        <v>243</v>
      </c>
      <c r="B245">
        <v>3881</v>
      </c>
      <c r="C245" t="b">
        <v>1</v>
      </c>
      <c r="D245">
        <v>8054</v>
      </c>
      <c r="E245">
        <v>8123</v>
      </c>
      <c r="F245">
        <v>8</v>
      </c>
      <c r="G245">
        <v>8</v>
      </c>
      <c r="H245">
        <v>1</v>
      </c>
      <c r="I245">
        <v>0</v>
      </c>
      <c r="J245">
        <v>0.5</v>
      </c>
    </row>
    <row r="246" spans="1:10" x14ac:dyDescent="0.3">
      <c r="A246">
        <v>244</v>
      </c>
      <c r="B246">
        <v>3897</v>
      </c>
      <c r="C246" t="b">
        <v>1</v>
      </c>
      <c r="D246">
        <v>8054</v>
      </c>
      <c r="E246">
        <v>8123</v>
      </c>
      <c r="F246">
        <v>8</v>
      </c>
      <c r="G246">
        <v>8</v>
      </c>
      <c r="H246">
        <v>1</v>
      </c>
      <c r="I246">
        <v>0</v>
      </c>
      <c r="J246">
        <v>0.5</v>
      </c>
    </row>
    <row r="247" spans="1:10" x14ac:dyDescent="0.3">
      <c r="A247">
        <v>245</v>
      </c>
      <c r="B247">
        <v>3913</v>
      </c>
      <c r="C247" t="b">
        <v>1</v>
      </c>
      <c r="D247">
        <v>8048</v>
      </c>
      <c r="E247">
        <v>8123</v>
      </c>
      <c r="F247">
        <v>8</v>
      </c>
      <c r="G247">
        <v>8</v>
      </c>
      <c r="H247">
        <v>1</v>
      </c>
      <c r="I247">
        <v>0</v>
      </c>
      <c r="J247">
        <v>0.5</v>
      </c>
    </row>
    <row r="248" spans="1:10" x14ac:dyDescent="0.3">
      <c r="A248">
        <v>246</v>
      </c>
      <c r="B248">
        <v>3929</v>
      </c>
      <c r="C248" t="b">
        <v>1</v>
      </c>
      <c r="D248">
        <v>8048</v>
      </c>
      <c r="E248">
        <v>8123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3944</v>
      </c>
      <c r="C249" t="b">
        <v>1</v>
      </c>
      <c r="D249">
        <v>8048</v>
      </c>
      <c r="E249">
        <v>8123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3960</v>
      </c>
      <c r="C250" t="b">
        <v>1</v>
      </c>
      <c r="D250">
        <v>8054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3976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3992</v>
      </c>
      <c r="C252" t="b">
        <v>1</v>
      </c>
      <c r="D252">
        <v>8048</v>
      </c>
      <c r="E252">
        <v>8123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4008</v>
      </c>
      <c r="C253" t="b">
        <v>1</v>
      </c>
      <c r="D253">
        <v>8048</v>
      </c>
      <c r="E253">
        <v>8123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4023</v>
      </c>
      <c r="C254" t="b">
        <v>1</v>
      </c>
      <c r="D254">
        <v>8048</v>
      </c>
      <c r="E254">
        <v>8117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4039</v>
      </c>
      <c r="C255" t="b">
        <v>1</v>
      </c>
      <c r="D255">
        <v>8042</v>
      </c>
      <c r="E255">
        <v>8123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4055</v>
      </c>
      <c r="C256" t="b">
        <v>1</v>
      </c>
      <c r="D256">
        <v>8042</v>
      </c>
      <c r="E256">
        <v>8123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4071</v>
      </c>
      <c r="C257" t="b">
        <v>1</v>
      </c>
      <c r="D257">
        <v>8042</v>
      </c>
      <c r="E257">
        <v>8123</v>
      </c>
      <c r="F257">
        <v>7.6</v>
      </c>
      <c r="G257">
        <v>8</v>
      </c>
      <c r="H257">
        <v>0.95</v>
      </c>
      <c r="I257">
        <v>5.0000012000000003E-2</v>
      </c>
      <c r="J257">
        <v>0.51282050000000001</v>
      </c>
    </row>
    <row r="258" spans="1:10" x14ac:dyDescent="0.3">
      <c r="A258">
        <v>256</v>
      </c>
      <c r="B258">
        <v>4087</v>
      </c>
      <c r="C258" t="b">
        <v>1</v>
      </c>
      <c r="D258">
        <v>8042</v>
      </c>
      <c r="E258">
        <v>8117</v>
      </c>
      <c r="F258">
        <v>7.2</v>
      </c>
      <c r="G258">
        <v>8</v>
      </c>
      <c r="H258">
        <v>0.9</v>
      </c>
      <c r="I258">
        <v>0.10000002400000001</v>
      </c>
      <c r="J258">
        <v>0.5263158</v>
      </c>
    </row>
    <row r="259" spans="1:10" x14ac:dyDescent="0.3">
      <c r="A259">
        <v>257</v>
      </c>
      <c r="B259">
        <v>4103</v>
      </c>
      <c r="C259" t="b">
        <v>1</v>
      </c>
      <c r="D259">
        <v>8037</v>
      </c>
      <c r="E259">
        <v>8123</v>
      </c>
      <c r="F259">
        <v>6.8</v>
      </c>
      <c r="G259">
        <v>8</v>
      </c>
      <c r="H259">
        <v>0.85</v>
      </c>
      <c r="I259">
        <v>0.14999998</v>
      </c>
      <c r="J259">
        <v>0.54054049999999998</v>
      </c>
    </row>
    <row r="260" spans="1:10" x14ac:dyDescent="0.3">
      <c r="A260">
        <v>258</v>
      </c>
      <c r="B260">
        <v>4119</v>
      </c>
      <c r="C260" t="b">
        <v>1</v>
      </c>
      <c r="D260">
        <v>8042</v>
      </c>
      <c r="E260">
        <v>8123</v>
      </c>
      <c r="F260">
        <v>6.4</v>
      </c>
      <c r="G260">
        <v>8</v>
      </c>
      <c r="H260">
        <v>0.8</v>
      </c>
      <c r="I260">
        <v>0.19999998999999999</v>
      </c>
      <c r="J260">
        <v>0.55555560000000004</v>
      </c>
    </row>
    <row r="261" spans="1:10" x14ac:dyDescent="0.3">
      <c r="A261">
        <v>259</v>
      </c>
      <c r="B261">
        <v>4135</v>
      </c>
      <c r="C261" t="b">
        <v>1</v>
      </c>
      <c r="D261">
        <v>8042</v>
      </c>
      <c r="E261">
        <v>8123</v>
      </c>
      <c r="F261">
        <v>6</v>
      </c>
      <c r="G261">
        <v>8</v>
      </c>
      <c r="H261">
        <v>0.75</v>
      </c>
      <c r="I261">
        <v>0.25</v>
      </c>
      <c r="J261">
        <v>0.57142859999999995</v>
      </c>
    </row>
    <row r="262" spans="1:10" x14ac:dyDescent="0.3">
      <c r="A262">
        <v>260</v>
      </c>
      <c r="B262">
        <v>4151</v>
      </c>
      <c r="C262" t="b">
        <v>1</v>
      </c>
      <c r="D262">
        <v>8048</v>
      </c>
      <c r="E262">
        <v>8117</v>
      </c>
      <c r="F262">
        <v>5.6</v>
      </c>
      <c r="G262">
        <v>8</v>
      </c>
      <c r="H262">
        <v>0.7</v>
      </c>
      <c r="I262">
        <v>0.3</v>
      </c>
      <c r="J262">
        <v>0.58823526000000004</v>
      </c>
    </row>
    <row r="263" spans="1:10" x14ac:dyDescent="0.3">
      <c r="A263">
        <v>261</v>
      </c>
      <c r="B263">
        <v>4167</v>
      </c>
      <c r="C263" t="b">
        <v>1</v>
      </c>
      <c r="D263">
        <v>8054</v>
      </c>
      <c r="E263">
        <v>8123</v>
      </c>
      <c r="F263">
        <v>5.2</v>
      </c>
      <c r="G263">
        <v>8</v>
      </c>
      <c r="H263">
        <v>0.65</v>
      </c>
      <c r="I263">
        <v>0.35000002000000002</v>
      </c>
      <c r="J263">
        <v>0.60606059999999995</v>
      </c>
    </row>
    <row r="264" spans="1:10" x14ac:dyDescent="0.3">
      <c r="A264">
        <v>262</v>
      </c>
      <c r="B264">
        <v>4183</v>
      </c>
      <c r="C264" t="b">
        <v>1</v>
      </c>
      <c r="D264">
        <v>8048</v>
      </c>
      <c r="E264">
        <v>8117</v>
      </c>
      <c r="F264">
        <v>5.2</v>
      </c>
      <c r="G264">
        <v>8</v>
      </c>
      <c r="H264">
        <v>0.65</v>
      </c>
      <c r="I264">
        <v>0.35000002000000002</v>
      </c>
      <c r="J264">
        <v>0.60606059999999995</v>
      </c>
    </row>
    <row r="265" spans="1:10" x14ac:dyDescent="0.3">
      <c r="A265">
        <v>263</v>
      </c>
      <c r="B265">
        <v>4199</v>
      </c>
      <c r="C265" t="b">
        <v>1</v>
      </c>
      <c r="D265">
        <v>8054</v>
      </c>
      <c r="E265">
        <v>8123</v>
      </c>
      <c r="F265">
        <v>5.2</v>
      </c>
      <c r="G265">
        <v>8</v>
      </c>
      <c r="H265">
        <v>0.65</v>
      </c>
      <c r="I265">
        <v>0.35000002000000002</v>
      </c>
      <c r="J265">
        <v>0.60606059999999995</v>
      </c>
    </row>
    <row r="266" spans="1:10" x14ac:dyDescent="0.3">
      <c r="A266">
        <v>264</v>
      </c>
      <c r="B266">
        <v>4215</v>
      </c>
      <c r="C266" t="b">
        <v>1</v>
      </c>
      <c r="D266">
        <v>8048</v>
      </c>
      <c r="E266">
        <v>8123</v>
      </c>
      <c r="F266">
        <v>5.2</v>
      </c>
      <c r="G266">
        <v>8</v>
      </c>
      <c r="H266">
        <v>0.65</v>
      </c>
      <c r="I266">
        <v>0.35000002000000002</v>
      </c>
      <c r="J266">
        <v>0.60606059999999995</v>
      </c>
    </row>
    <row r="267" spans="1:10" x14ac:dyDescent="0.3">
      <c r="A267">
        <v>265</v>
      </c>
      <c r="B267">
        <v>4231</v>
      </c>
      <c r="C267" t="b">
        <v>1</v>
      </c>
      <c r="D267">
        <v>8054</v>
      </c>
      <c r="E267">
        <v>8117</v>
      </c>
      <c r="F267">
        <v>5.6</v>
      </c>
      <c r="G267">
        <v>8</v>
      </c>
      <c r="H267">
        <v>0.7</v>
      </c>
      <c r="I267">
        <v>0.3</v>
      </c>
      <c r="J267">
        <v>0.58823526000000004</v>
      </c>
    </row>
    <row r="268" spans="1:10" x14ac:dyDescent="0.3">
      <c r="A268">
        <v>266</v>
      </c>
      <c r="B268">
        <v>4247</v>
      </c>
      <c r="C268" t="b">
        <v>1</v>
      </c>
      <c r="D268">
        <v>8054</v>
      </c>
      <c r="E268">
        <v>8123</v>
      </c>
      <c r="F268">
        <v>6</v>
      </c>
      <c r="G268">
        <v>8</v>
      </c>
      <c r="H268">
        <v>0.75</v>
      </c>
      <c r="I268">
        <v>0.25</v>
      </c>
      <c r="J268">
        <v>0.57142859999999995</v>
      </c>
    </row>
    <row r="269" spans="1:10" x14ac:dyDescent="0.3">
      <c r="A269">
        <v>267</v>
      </c>
      <c r="B269">
        <v>4263</v>
      </c>
      <c r="C269" t="b">
        <v>1</v>
      </c>
      <c r="D269">
        <v>8048</v>
      </c>
      <c r="E269">
        <v>8123</v>
      </c>
      <c r="F269">
        <v>6.4</v>
      </c>
      <c r="G269">
        <v>8</v>
      </c>
      <c r="H269">
        <v>0.8</v>
      </c>
      <c r="I269">
        <v>0.19999998999999999</v>
      </c>
      <c r="J269">
        <v>0.55555560000000004</v>
      </c>
    </row>
    <row r="270" spans="1:10" x14ac:dyDescent="0.3">
      <c r="A270">
        <v>268</v>
      </c>
      <c r="B270">
        <v>4278</v>
      </c>
      <c r="C270" t="b">
        <v>1</v>
      </c>
      <c r="D270">
        <v>8048</v>
      </c>
      <c r="E270">
        <v>8123</v>
      </c>
      <c r="F270">
        <v>6.4</v>
      </c>
      <c r="G270">
        <v>8</v>
      </c>
      <c r="H270">
        <v>0.8</v>
      </c>
      <c r="I270">
        <v>0.19999998999999999</v>
      </c>
      <c r="J270">
        <v>0.55555560000000004</v>
      </c>
    </row>
    <row r="271" spans="1:10" x14ac:dyDescent="0.3">
      <c r="A271">
        <v>269</v>
      </c>
      <c r="B271">
        <v>4294</v>
      </c>
      <c r="C271" t="b">
        <v>1</v>
      </c>
      <c r="D271">
        <v>8048</v>
      </c>
      <c r="E271">
        <v>8123</v>
      </c>
      <c r="F271">
        <v>6.4</v>
      </c>
      <c r="G271">
        <v>8</v>
      </c>
      <c r="H271">
        <v>0.8</v>
      </c>
      <c r="I271">
        <v>0.19999998999999999</v>
      </c>
      <c r="J271">
        <v>0.55555560000000004</v>
      </c>
    </row>
    <row r="272" spans="1:10" x14ac:dyDescent="0.3">
      <c r="A272">
        <v>270</v>
      </c>
      <c r="B272">
        <v>4310</v>
      </c>
      <c r="C272" t="b">
        <v>1</v>
      </c>
      <c r="D272">
        <v>8048</v>
      </c>
      <c r="E272">
        <v>8123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4326</v>
      </c>
      <c r="C273" t="b">
        <v>1</v>
      </c>
      <c r="D273">
        <v>8048</v>
      </c>
      <c r="E273">
        <v>8123</v>
      </c>
      <c r="F273">
        <v>7.2</v>
      </c>
      <c r="G273">
        <v>8</v>
      </c>
      <c r="H273">
        <v>0.9</v>
      </c>
      <c r="I273">
        <v>0.10000002400000001</v>
      </c>
      <c r="J273">
        <v>0.5263158</v>
      </c>
    </row>
    <row r="274" spans="1:10" x14ac:dyDescent="0.3">
      <c r="A274">
        <v>272</v>
      </c>
      <c r="B274">
        <v>4341</v>
      </c>
      <c r="C274" t="b">
        <v>1</v>
      </c>
      <c r="D274">
        <v>8048</v>
      </c>
      <c r="E274">
        <v>8123</v>
      </c>
      <c r="F274">
        <v>7.6</v>
      </c>
      <c r="G274">
        <v>8</v>
      </c>
      <c r="H274">
        <v>0.95</v>
      </c>
      <c r="I274">
        <v>5.0000012000000003E-2</v>
      </c>
      <c r="J274">
        <v>0.51282050000000001</v>
      </c>
    </row>
    <row r="275" spans="1:10" x14ac:dyDescent="0.3">
      <c r="A275">
        <v>273</v>
      </c>
      <c r="B275">
        <v>4357</v>
      </c>
      <c r="C275" t="b">
        <v>1</v>
      </c>
      <c r="D275">
        <v>8048</v>
      </c>
      <c r="E275">
        <v>8117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4373</v>
      </c>
      <c r="C276" t="b">
        <v>1</v>
      </c>
      <c r="D276">
        <v>8054</v>
      </c>
      <c r="E276">
        <v>8117</v>
      </c>
      <c r="F276">
        <v>8.4</v>
      </c>
      <c r="G276">
        <v>8</v>
      </c>
      <c r="H276">
        <v>1.05</v>
      </c>
      <c r="I276">
        <v>-4.9999952E-2</v>
      </c>
      <c r="J276">
        <v>0.48780489999999999</v>
      </c>
    </row>
    <row r="277" spans="1:10" x14ac:dyDescent="0.3">
      <c r="A277">
        <v>275</v>
      </c>
      <c r="B277">
        <v>4389</v>
      </c>
      <c r="C277" t="b">
        <v>1</v>
      </c>
      <c r="D277">
        <v>8048</v>
      </c>
      <c r="E277">
        <v>8123</v>
      </c>
      <c r="F277">
        <v>8.8000000000000007</v>
      </c>
      <c r="G277">
        <v>8</v>
      </c>
      <c r="H277">
        <v>1.1000000000000001</v>
      </c>
      <c r="I277">
        <v>-0.10000002400000001</v>
      </c>
      <c r="J277">
        <v>0.47619050000000002</v>
      </c>
    </row>
    <row r="278" spans="1:10" x14ac:dyDescent="0.3">
      <c r="A278">
        <v>276</v>
      </c>
      <c r="B278">
        <v>4405</v>
      </c>
      <c r="C278" t="b">
        <v>1</v>
      </c>
      <c r="D278">
        <v>8048</v>
      </c>
      <c r="E278">
        <v>8123</v>
      </c>
      <c r="F278">
        <v>9.1999999999999993</v>
      </c>
      <c r="G278">
        <v>8</v>
      </c>
      <c r="H278">
        <v>1.1499999999999999</v>
      </c>
      <c r="I278">
        <v>-0.14999998</v>
      </c>
      <c r="J278">
        <v>0.46511626</v>
      </c>
    </row>
    <row r="279" spans="1:10" x14ac:dyDescent="0.3">
      <c r="A279">
        <v>277</v>
      </c>
      <c r="B279">
        <v>4420</v>
      </c>
      <c r="C279" t="b">
        <v>1</v>
      </c>
      <c r="D279">
        <v>8048</v>
      </c>
      <c r="E279">
        <v>8117</v>
      </c>
      <c r="F279">
        <v>9.1999999999999993</v>
      </c>
      <c r="G279">
        <v>7.6</v>
      </c>
      <c r="H279">
        <v>1.2105262999999999</v>
      </c>
      <c r="I279">
        <v>-0.2105263</v>
      </c>
      <c r="J279">
        <v>0.45238096</v>
      </c>
    </row>
    <row r="280" spans="1:10" x14ac:dyDescent="0.3">
      <c r="A280">
        <v>278</v>
      </c>
      <c r="B280">
        <v>4436</v>
      </c>
      <c r="C280" t="b">
        <v>1</v>
      </c>
      <c r="D280">
        <v>8048</v>
      </c>
      <c r="E280">
        <v>8123</v>
      </c>
      <c r="F280">
        <v>9.1999999999999993</v>
      </c>
      <c r="G280">
        <v>7.6</v>
      </c>
      <c r="H280">
        <v>1.2105262999999999</v>
      </c>
      <c r="I280">
        <v>-0.2105263</v>
      </c>
      <c r="J280">
        <v>0.45238096</v>
      </c>
    </row>
    <row r="281" spans="1:10" x14ac:dyDescent="0.3">
      <c r="A281">
        <v>279</v>
      </c>
      <c r="B281">
        <v>4452</v>
      </c>
      <c r="C281" t="b">
        <v>1</v>
      </c>
      <c r="D281">
        <v>8048</v>
      </c>
      <c r="E281">
        <v>8123</v>
      </c>
      <c r="F281">
        <v>9.1999999999999993</v>
      </c>
      <c r="G281">
        <v>7.6</v>
      </c>
      <c r="H281">
        <v>1.2105262999999999</v>
      </c>
      <c r="I281">
        <v>-0.2105263</v>
      </c>
      <c r="J281">
        <v>0.45238096</v>
      </c>
    </row>
    <row r="282" spans="1:10" x14ac:dyDescent="0.3">
      <c r="A282">
        <v>280</v>
      </c>
      <c r="B282">
        <v>4468</v>
      </c>
      <c r="C282" t="b">
        <v>1</v>
      </c>
      <c r="D282">
        <v>8048</v>
      </c>
      <c r="E282">
        <v>8123</v>
      </c>
      <c r="F282">
        <v>8.8000000000000007</v>
      </c>
      <c r="G282">
        <v>7.6</v>
      </c>
      <c r="H282">
        <v>1.1578946999999999</v>
      </c>
      <c r="I282">
        <v>-0.15789478000000001</v>
      </c>
      <c r="J282">
        <v>0.46341463999999999</v>
      </c>
    </row>
    <row r="283" spans="1:10" x14ac:dyDescent="0.3">
      <c r="A283">
        <v>281</v>
      </c>
      <c r="B283">
        <v>4484</v>
      </c>
      <c r="C283" t="b">
        <v>1</v>
      </c>
      <c r="D283">
        <v>8048</v>
      </c>
      <c r="E283">
        <v>8123</v>
      </c>
      <c r="F283">
        <v>8.4</v>
      </c>
      <c r="G283">
        <v>7.6</v>
      </c>
      <c r="H283">
        <v>1.1052630999999999</v>
      </c>
      <c r="I283">
        <v>-0.10526312</v>
      </c>
      <c r="J283">
        <v>0.47499999999999998</v>
      </c>
    </row>
    <row r="284" spans="1:10" x14ac:dyDescent="0.3">
      <c r="A284">
        <v>282</v>
      </c>
      <c r="B284">
        <v>4500</v>
      </c>
      <c r="C284" t="b">
        <v>1</v>
      </c>
      <c r="D284">
        <v>8048</v>
      </c>
      <c r="E284">
        <v>8123</v>
      </c>
      <c r="F284">
        <v>8</v>
      </c>
      <c r="G284">
        <v>7.6</v>
      </c>
      <c r="H284">
        <v>1.0526316</v>
      </c>
      <c r="I284">
        <v>-5.2631589999999999E-2</v>
      </c>
      <c r="J284">
        <v>0.48717946000000001</v>
      </c>
    </row>
    <row r="285" spans="1:10" x14ac:dyDescent="0.3">
      <c r="A285">
        <v>283</v>
      </c>
      <c r="B285">
        <v>4516</v>
      </c>
      <c r="C285" t="b">
        <v>1</v>
      </c>
      <c r="D285">
        <v>8048</v>
      </c>
      <c r="E285">
        <v>8123</v>
      </c>
      <c r="F285">
        <v>8</v>
      </c>
      <c r="G285">
        <v>7.6</v>
      </c>
      <c r="H285">
        <v>1.0526316</v>
      </c>
      <c r="I285">
        <v>-5.2631589999999999E-2</v>
      </c>
      <c r="J285">
        <v>0.48717946000000001</v>
      </c>
    </row>
    <row r="286" spans="1:10" x14ac:dyDescent="0.3">
      <c r="A286">
        <v>284</v>
      </c>
      <c r="B286">
        <v>4532</v>
      </c>
      <c r="C286" t="b">
        <v>1</v>
      </c>
      <c r="D286">
        <v>8054</v>
      </c>
      <c r="E286">
        <v>8117</v>
      </c>
      <c r="F286">
        <v>8</v>
      </c>
      <c r="G286">
        <v>7.6</v>
      </c>
      <c r="H286">
        <v>1.0526316</v>
      </c>
      <c r="I286">
        <v>-5.2631589999999999E-2</v>
      </c>
      <c r="J286">
        <v>0.48717946000000001</v>
      </c>
    </row>
    <row r="287" spans="1:10" x14ac:dyDescent="0.3">
      <c r="A287">
        <v>285</v>
      </c>
      <c r="B287">
        <v>4548</v>
      </c>
      <c r="C287" t="b">
        <v>1</v>
      </c>
      <c r="D287">
        <v>8054</v>
      </c>
      <c r="E287">
        <v>8123</v>
      </c>
      <c r="F287">
        <v>8</v>
      </c>
      <c r="G287">
        <v>7.6</v>
      </c>
      <c r="H287">
        <v>1.0526316</v>
      </c>
      <c r="I287">
        <v>-5.2631589999999999E-2</v>
      </c>
      <c r="J287">
        <v>0.48717946000000001</v>
      </c>
    </row>
    <row r="288" spans="1:10" x14ac:dyDescent="0.3">
      <c r="A288">
        <v>286</v>
      </c>
      <c r="B288">
        <v>4565</v>
      </c>
      <c r="C288" t="b">
        <v>1</v>
      </c>
      <c r="D288">
        <v>8048</v>
      </c>
      <c r="E288">
        <v>8123</v>
      </c>
      <c r="F288">
        <v>8</v>
      </c>
      <c r="G288">
        <v>7.6</v>
      </c>
      <c r="H288">
        <v>1.0526316</v>
      </c>
      <c r="I288">
        <v>-5.2631589999999999E-2</v>
      </c>
      <c r="J288">
        <v>0.48717946000000001</v>
      </c>
    </row>
    <row r="289" spans="1:10" x14ac:dyDescent="0.3">
      <c r="A289">
        <v>287</v>
      </c>
      <c r="B289">
        <v>4581</v>
      </c>
      <c r="C289" t="b">
        <v>1</v>
      </c>
      <c r="D289">
        <v>8048</v>
      </c>
      <c r="E289">
        <v>8123</v>
      </c>
      <c r="F289">
        <v>8</v>
      </c>
      <c r="G289">
        <v>7.6</v>
      </c>
      <c r="H289">
        <v>1.0526316</v>
      </c>
      <c r="I289">
        <v>-5.2631589999999999E-2</v>
      </c>
      <c r="J289">
        <v>0.48717946000000001</v>
      </c>
    </row>
    <row r="290" spans="1:10" x14ac:dyDescent="0.3">
      <c r="A290">
        <v>288</v>
      </c>
      <c r="B290">
        <v>4597</v>
      </c>
      <c r="C290" t="b">
        <v>1</v>
      </c>
      <c r="D290">
        <v>8054</v>
      </c>
      <c r="E290">
        <v>8123</v>
      </c>
      <c r="F290">
        <v>8.4</v>
      </c>
      <c r="G290">
        <v>7.6</v>
      </c>
      <c r="H290">
        <v>1.1052630999999999</v>
      </c>
      <c r="I290">
        <v>-0.10526312</v>
      </c>
      <c r="J290">
        <v>0.47499999999999998</v>
      </c>
    </row>
    <row r="291" spans="1:10" x14ac:dyDescent="0.3">
      <c r="A291">
        <v>289</v>
      </c>
      <c r="B291">
        <v>4613</v>
      </c>
      <c r="C291" t="b">
        <v>1</v>
      </c>
      <c r="D291">
        <v>8048</v>
      </c>
      <c r="E291">
        <v>8123</v>
      </c>
      <c r="F291">
        <v>8.4</v>
      </c>
      <c r="G291">
        <v>7.6</v>
      </c>
      <c r="H291">
        <v>1.1052630999999999</v>
      </c>
      <c r="I291">
        <v>-0.10526312</v>
      </c>
      <c r="J291">
        <v>0.47499999999999998</v>
      </c>
    </row>
    <row r="292" spans="1:10" x14ac:dyDescent="0.3">
      <c r="A292">
        <v>290</v>
      </c>
      <c r="B292">
        <v>4628</v>
      </c>
      <c r="C292" t="b">
        <v>1</v>
      </c>
      <c r="D292">
        <v>8048</v>
      </c>
      <c r="E292">
        <v>8123</v>
      </c>
      <c r="F292">
        <v>8.4</v>
      </c>
      <c r="G292">
        <v>7.6</v>
      </c>
      <c r="H292">
        <v>1.1052630999999999</v>
      </c>
      <c r="I292">
        <v>-0.10526312</v>
      </c>
      <c r="J292">
        <v>0.47499999999999998</v>
      </c>
    </row>
    <row r="293" spans="1:10" x14ac:dyDescent="0.3">
      <c r="A293">
        <v>291</v>
      </c>
      <c r="B293">
        <v>4644</v>
      </c>
      <c r="C293" t="b">
        <v>1</v>
      </c>
      <c r="D293">
        <v>8054</v>
      </c>
      <c r="E293">
        <v>8117</v>
      </c>
      <c r="F293">
        <v>8.4</v>
      </c>
      <c r="G293">
        <v>7.6</v>
      </c>
      <c r="H293">
        <v>1.1052630999999999</v>
      </c>
      <c r="I293">
        <v>-0.10526312</v>
      </c>
      <c r="J293">
        <v>0.47499999999999998</v>
      </c>
    </row>
    <row r="294" spans="1:10" x14ac:dyDescent="0.3">
      <c r="A294">
        <v>292</v>
      </c>
      <c r="B294">
        <v>4660</v>
      </c>
      <c r="C294" t="b">
        <v>1</v>
      </c>
      <c r="D294">
        <v>8042</v>
      </c>
      <c r="E294">
        <v>8123</v>
      </c>
      <c r="F294">
        <v>8.4</v>
      </c>
      <c r="G294">
        <v>8</v>
      </c>
      <c r="H294">
        <v>1.05</v>
      </c>
      <c r="I294">
        <v>-4.9999952E-2</v>
      </c>
      <c r="J294">
        <v>0.48780489999999999</v>
      </c>
    </row>
    <row r="295" spans="1:10" x14ac:dyDescent="0.3">
      <c r="A295">
        <v>293</v>
      </c>
      <c r="B295">
        <v>4676</v>
      </c>
      <c r="C295" t="b">
        <v>1</v>
      </c>
      <c r="D295">
        <v>8048</v>
      </c>
      <c r="E295">
        <v>8123</v>
      </c>
      <c r="F295">
        <v>8.4</v>
      </c>
      <c r="G295">
        <v>8</v>
      </c>
      <c r="H295">
        <v>1.05</v>
      </c>
      <c r="I295">
        <v>-4.9999952E-2</v>
      </c>
      <c r="J295">
        <v>0.48780489999999999</v>
      </c>
    </row>
    <row r="296" spans="1:10" x14ac:dyDescent="0.3">
      <c r="A296">
        <v>294</v>
      </c>
      <c r="B296">
        <v>4692</v>
      </c>
      <c r="C296" t="b">
        <v>1</v>
      </c>
      <c r="D296">
        <v>8042</v>
      </c>
      <c r="E296">
        <v>8123</v>
      </c>
      <c r="F296">
        <v>8.4</v>
      </c>
      <c r="G296">
        <v>8</v>
      </c>
      <c r="H296">
        <v>1.05</v>
      </c>
      <c r="I296">
        <v>-4.9999952E-2</v>
      </c>
      <c r="J296">
        <v>0.48780489999999999</v>
      </c>
    </row>
    <row r="297" spans="1:10" x14ac:dyDescent="0.3">
      <c r="A297">
        <v>295</v>
      </c>
      <c r="B297">
        <v>4708</v>
      </c>
      <c r="C297" t="b">
        <v>1</v>
      </c>
      <c r="D297">
        <v>8042</v>
      </c>
      <c r="E297">
        <v>8123</v>
      </c>
      <c r="F297">
        <v>8</v>
      </c>
      <c r="G297">
        <v>8</v>
      </c>
      <c r="H297">
        <v>1</v>
      </c>
      <c r="I297">
        <v>0</v>
      </c>
      <c r="J297">
        <v>0.5</v>
      </c>
    </row>
    <row r="298" spans="1:10" x14ac:dyDescent="0.3">
      <c r="A298">
        <v>296</v>
      </c>
      <c r="B298">
        <v>4724</v>
      </c>
      <c r="C298" t="b">
        <v>1</v>
      </c>
      <c r="D298">
        <v>8042</v>
      </c>
      <c r="E298">
        <v>8123</v>
      </c>
      <c r="F298">
        <v>7.6</v>
      </c>
      <c r="G298">
        <v>8</v>
      </c>
      <c r="H298">
        <v>0.95</v>
      </c>
      <c r="I298">
        <v>5.0000012000000003E-2</v>
      </c>
      <c r="J298">
        <v>0.51282050000000001</v>
      </c>
    </row>
    <row r="299" spans="1:10" x14ac:dyDescent="0.3">
      <c r="A299">
        <v>297</v>
      </c>
      <c r="B299">
        <v>4739</v>
      </c>
      <c r="C299" t="b">
        <v>1</v>
      </c>
      <c r="D299">
        <v>8042</v>
      </c>
      <c r="E299">
        <v>8117</v>
      </c>
      <c r="F299">
        <v>7.2</v>
      </c>
      <c r="G299">
        <v>8</v>
      </c>
      <c r="H299">
        <v>0.9</v>
      </c>
      <c r="I299">
        <v>0.10000002400000001</v>
      </c>
      <c r="J299">
        <v>0.5263158</v>
      </c>
    </row>
    <row r="300" spans="1:10" x14ac:dyDescent="0.3">
      <c r="A300">
        <v>298</v>
      </c>
      <c r="B300">
        <v>4756</v>
      </c>
      <c r="C300" t="b">
        <v>1</v>
      </c>
      <c r="D300">
        <v>8048</v>
      </c>
      <c r="E300">
        <v>8117</v>
      </c>
      <c r="F300">
        <v>6.8</v>
      </c>
      <c r="G300">
        <v>8</v>
      </c>
      <c r="H300">
        <v>0.85</v>
      </c>
      <c r="I300">
        <v>0.14999998</v>
      </c>
      <c r="J300">
        <v>0.54054049999999998</v>
      </c>
    </row>
    <row r="301" spans="1:10" x14ac:dyDescent="0.3">
      <c r="A301">
        <v>299</v>
      </c>
      <c r="B301">
        <v>4771</v>
      </c>
      <c r="C301" t="b">
        <v>1</v>
      </c>
      <c r="D301">
        <v>8048</v>
      </c>
      <c r="E301">
        <v>8123</v>
      </c>
      <c r="F301">
        <v>6.4</v>
      </c>
      <c r="G301">
        <v>8</v>
      </c>
      <c r="H301">
        <v>0.8</v>
      </c>
      <c r="I301">
        <v>0.19999998999999999</v>
      </c>
      <c r="J301">
        <v>0.55555560000000004</v>
      </c>
    </row>
    <row r="302" spans="1:10" x14ac:dyDescent="0.3">
      <c r="A302">
        <v>300</v>
      </c>
      <c r="B302">
        <v>4787</v>
      </c>
      <c r="C302" t="b">
        <v>1</v>
      </c>
      <c r="D302">
        <v>8048</v>
      </c>
      <c r="E302">
        <v>8117</v>
      </c>
      <c r="F302">
        <v>6.4</v>
      </c>
      <c r="G302">
        <v>7.6</v>
      </c>
      <c r="H302">
        <v>0.84210527000000002</v>
      </c>
      <c r="I302">
        <v>0.15789471999999999</v>
      </c>
      <c r="J302">
        <v>0.54285709999999998</v>
      </c>
    </row>
    <row r="303" spans="1:10" x14ac:dyDescent="0.3">
      <c r="A303">
        <v>301</v>
      </c>
      <c r="B303">
        <v>4803</v>
      </c>
      <c r="C303" t="b">
        <v>1</v>
      </c>
      <c r="D303">
        <v>8048</v>
      </c>
      <c r="E303">
        <v>8123</v>
      </c>
      <c r="F303">
        <v>6.4</v>
      </c>
      <c r="G303">
        <v>7.2</v>
      </c>
      <c r="H303">
        <v>0.88888895999999995</v>
      </c>
      <c r="I303">
        <v>0.111111075</v>
      </c>
      <c r="J303">
        <v>0.52941172999999997</v>
      </c>
    </row>
    <row r="304" spans="1:10" x14ac:dyDescent="0.3">
      <c r="A304">
        <v>302</v>
      </c>
      <c r="B304">
        <v>4819</v>
      </c>
      <c r="C304" t="b">
        <v>1</v>
      </c>
      <c r="D304">
        <v>8054</v>
      </c>
      <c r="E304">
        <v>8123</v>
      </c>
      <c r="F304">
        <v>6.4</v>
      </c>
      <c r="G304">
        <v>7.2</v>
      </c>
      <c r="H304">
        <v>0.88888895999999995</v>
      </c>
      <c r="I304">
        <v>0.111111075</v>
      </c>
      <c r="J304">
        <v>0.52941172999999997</v>
      </c>
    </row>
    <row r="305" spans="1:10" x14ac:dyDescent="0.3">
      <c r="A305">
        <v>303</v>
      </c>
      <c r="B305">
        <v>4835</v>
      </c>
      <c r="C305" t="b">
        <v>1</v>
      </c>
      <c r="D305">
        <v>8048</v>
      </c>
      <c r="E305">
        <v>8117</v>
      </c>
      <c r="F305">
        <v>6</v>
      </c>
      <c r="G305">
        <v>7.2</v>
      </c>
      <c r="H305">
        <v>0.8333334</v>
      </c>
      <c r="I305">
        <v>0.16666664</v>
      </c>
      <c r="J305">
        <v>0.54545456000000003</v>
      </c>
    </row>
    <row r="306" spans="1:10" x14ac:dyDescent="0.3">
      <c r="A306">
        <v>304</v>
      </c>
      <c r="B306">
        <v>4851</v>
      </c>
      <c r="C306" t="b">
        <v>1</v>
      </c>
      <c r="D306">
        <v>8048</v>
      </c>
      <c r="E306">
        <v>8117</v>
      </c>
      <c r="F306">
        <v>6</v>
      </c>
      <c r="G306">
        <v>6.8</v>
      </c>
      <c r="H306">
        <v>0.8823529</v>
      </c>
      <c r="I306">
        <v>0.11764708</v>
      </c>
      <c r="J306">
        <v>0.53125</v>
      </c>
    </row>
    <row r="307" spans="1:10" x14ac:dyDescent="0.3">
      <c r="A307">
        <v>305</v>
      </c>
      <c r="B307">
        <v>4867</v>
      </c>
      <c r="C307" t="b">
        <v>1</v>
      </c>
      <c r="D307">
        <v>8048</v>
      </c>
      <c r="E307">
        <v>8117</v>
      </c>
      <c r="F307">
        <v>6</v>
      </c>
      <c r="G307">
        <v>6.4</v>
      </c>
      <c r="H307">
        <v>0.9375</v>
      </c>
      <c r="I307">
        <v>6.2500015000000006E-2</v>
      </c>
      <c r="J307">
        <v>0.51612910000000001</v>
      </c>
    </row>
    <row r="308" spans="1:10" x14ac:dyDescent="0.3">
      <c r="A308">
        <v>306</v>
      </c>
      <c r="B308">
        <v>4883</v>
      </c>
      <c r="C308" t="b">
        <v>1</v>
      </c>
      <c r="D308">
        <v>8048</v>
      </c>
      <c r="E308">
        <v>8117</v>
      </c>
      <c r="F308">
        <v>6</v>
      </c>
      <c r="G308">
        <v>6</v>
      </c>
      <c r="H308">
        <v>1</v>
      </c>
      <c r="I308">
        <v>0</v>
      </c>
      <c r="J308">
        <v>0.5</v>
      </c>
    </row>
    <row r="309" spans="1:10" x14ac:dyDescent="0.3">
      <c r="A309">
        <v>307</v>
      </c>
      <c r="B309">
        <v>4899</v>
      </c>
      <c r="C309" t="b">
        <v>1</v>
      </c>
      <c r="D309">
        <v>8048</v>
      </c>
      <c r="E309">
        <v>8123</v>
      </c>
      <c r="F309">
        <v>6</v>
      </c>
      <c r="G309">
        <v>5.6</v>
      </c>
      <c r="H309">
        <v>1.0714284999999999</v>
      </c>
      <c r="I309">
        <v>-7.142859E-2</v>
      </c>
      <c r="J309">
        <v>0.48275859999999998</v>
      </c>
    </row>
    <row r="310" spans="1:10" x14ac:dyDescent="0.3">
      <c r="A310">
        <v>308</v>
      </c>
      <c r="B310">
        <v>4915</v>
      </c>
      <c r="C310" t="b">
        <v>1</v>
      </c>
      <c r="D310">
        <v>8048</v>
      </c>
      <c r="E310">
        <v>8117</v>
      </c>
      <c r="F310">
        <v>6</v>
      </c>
      <c r="G310">
        <v>5.2</v>
      </c>
      <c r="H310">
        <v>1.1538461</v>
      </c>
      <c r="I310">
        <v>-0.15384618999999999</v>
      </c>
      <c r="J310">
        <v>0.46428570000000002</v>
      </c>
    </row>
    <row r="311" spans="1:10" x14ac:dyDescent="0.3">
      <c r="A311">
        <v>309</v>
      </c>
      <c r="B311">
        <v>4931</v>
      </c>
      <c r="C311" t="b">
        <v>1</v>
      </c>
      <c r="D311">
        <v>8048</v>
      </c>
      <c r="E311">
        <v>8123</v>
      </c>
      <c r="F311">
        <v>6</v>
      </c>
      <c r="G311">
        <v>4.8</v>
      </c>
      <c r="H311">
        <v>1.25</v>
      </c>
      <c r="I311">
        <v>-0.24999995999999999</v>
      </c>
      <c r="J311">
        <v>0.44444444999999999</v>
      </c>
    </row>
    <row r="312" spans="1:10" x14ac:dyDescent="0.3">
      <c r="A312">
        <v>310</v>
      </c>
      <c r="B312">
        <v>4947</v>
      </c>
      <c r="C312" t="b">
        <v>1</v>
      </c>
      <c r="D312">
        <v>8048</v>
      </c>
      <c r="E312">
        <v>8117</v>
      </c>
      <c r="F312">
        <v>6.4</v>
      </c>
      <c r="G312">
        <v>4.4000000000000004</v>
      </c>
      <c r="H312">
        <v>1.4545455</v>
      </c>
      <c r="I312">
        <v>-0.45454544000000002</v>
      </c>
      <c r="J312">
        <v>0.40740739999999998</v>
      </c>
    </row>
    <row r="313" spans="1:10" x14ac:dyDescent="0.3">
      <c r="A313">
        <v>311</v>
      </c>
      <c r="B313">
        <v>4963</v>
      </c>
      <c r="C313" t="b">
        <v>1</v>
      </c>
      <c r="D313">
        <v>8048</v>
      </c>
      <c r="E313">
        <v>8123</v>
      </c>
      <c r="F313">
        <v>6.8</v>
      </c>
      <c r="G313">
        <v>4.4000000000000004</v>
      </c>
      <c r="H313">
        <v>1.5454545</v>
      </c>
      <c r="I313">
        <v>-0.54545456000000003</v>
      </c>
      <c r="J313">
        <v>0.39285713</v>
      </c>
    </row>
    <row r="314" spans="1:10" x14ac:dyDescent="0.3">
      <c r="A314">
        <v>312</v>
      </c>
      <c r="B314">
        <v>4978</v>
      </c>
      <c r="C314" t="b">
        <v>1</v>
      </c>
      <c r="D314">
        <v>8048</v>
      </c>
      <c r="E314">
        <v>8123</v>
      </c>
      <c r="F314">
        <v>7.2</v>
      </c>
      <c r="G314">
        <v>4.4000000000000004</v>
      </c>
      <c r="H314">
        <v>1.6363635000000001</v>
      </c>
      <c r="I314">
        <v>-0.63636356999999999</v>
      </c>
      <c r="J314">
        <v>0.37931034000000002</v>
      </c>
    </row>
    <row r="315" spans="1:10" x14ac:dyDescent="0.3">
      <c r="A315">
        <v>313</v>
      </c>
      <c r="B315">
        <v>4995</v>
      </c>
      <c r="C315" t="b">
        <v>1</v>
      </c>
      <c r="D315">
        <v>8048</v>
      </c>
      <c r="E315">
        <v>8117</v>
      </c>
      <c r="F315">
        <v>7.6</v>
      </c>
      <c r="G315">
        <v>4.4000000000000004</v>
      </c>
      <c r="H315">
        <v>1.7272726</v>
      </c>
      <c r="I315">
        <v>-0.72727269999999999</v>
      </c>
      <c r="J315">
        <v>0.36666666999999997</v>
      </c>
    </row>
    <row r="316" spans="1:10" x14ac:dyDescent="0.3">
      <c r="A316">
        <v>314</v>
      </c>
      <c r="B316">
        <v>5011</v>
      </c>
      <c r="C316" t="b">
        <v>1</v>
      </c>
      <c r="D316">
        <v>8048</v>
      </c>
      <c r="E316">
        <v>8123</v>
      </c>
      <c r="F316">
        <v>8</v>
      </c>
      <c r="G316">
        <v>4.4000000000000004</v>
      </c>
      <c r="H316">
        <v>1.8181818000000001</v>
      </c>
      <c r="I316">
        <v>-0.81818175000000004</v>
      </c>
      <c r="J316">
        <v>0.35483872999999999</v>
      </c>
    </row>
    <row r="317" spans="1:10" x14ac:dyDescent="0.3">
      <c r="A317">
        <v>315</v>
      </c>
      <c r="B317">
        <v>5026</v>
      </c>
      <c r="C317" t="b">
        <v>1</v>
      </c>
      <c r="D317">
        <v>8048</v>
      </c>
      <c r="E317">
        <v>8123</v>
      </c>
      <c r="F317">
        <v>8</v>
      </c>
      <c r="G317">
        <v>4.8</v>
      </c>
      <c r="H317">
        <v>1.6666666000000001</v>
      </c>
      <c r="I317">
        <v>-0.6666666</v>
      </c>
      <c r="J317">
        <v>0.375</v>
      </c>
    </row>
    <row r="318" spans="1:10" x14ac:dyDescent="0.3">
      <c r="A318">
        <v>316</v>
      </c>
      <c r="B318">
        <v>5042</v>
      </c>
      <c r="C318" t="b">
        <v>1</v>
      </c>
      <c r="D318">
        <v>8048</v>
      </c>
      <c r="E318">
        <v>8117</v>
      </c>
      <c r="F318">
        <v>8</v>
      </c>
      <c r="G318">
        <v>5.2</v>
      </c>
      <c r="H318">
        <v>1.5384616</v>
      </c>
      <c r="I318">
        <v>-0.53846156999999994</v>
      </c>
      <c r="J318">
        <v>0.39393938000000001</v>
      </c>
    </row>
    <row r="319" spans="1:10" x14ac:dyDescent="0.3">
      <c r="A319">
        <v>317</v>
      </c>
      <c r="B319">
        <v>5058</v>
      </c>
      <c r="C319" t="b">
        <v>1</v>
      </c>
      <c r="D319">
        <v>8048</v>
      </c>
      <c r="E319">
        <v>8123</v>
      </c>
      <c r="F319">
        <v>8</v>
      </c>
      <c r="G319">
        <v>5.2</v>
      </c>
      <c r="H319">
        <v>1.5384616</v>
      </c>
      <c r="I319">
        <v>-0.53846156999999994</v>
      </c>
      <c r="J319">
        <v>0.39393938000000001</v>
      </c>
    </row>
    <row r="320" spans="1:10" x14ac:dyDescent="0.3">
      <c r="A320">
        <v>318</v>
      </c>
      <c r="B320">
        <v>5074</v>
      </c>
      <c r="C320" t="b">
        <v>1</v>
      </c>
      <c r="D320">
        <v>8048</v>
      </c>
      <c r="E320">
        <v>8117</v>
      </c>
      <c r="F320">
        <v>8</v>
      </c>
      <c r="G320">
        <v>5.2</v>
      </c>
      <c r="H320">
        <v>1.5384616</v>
      </c>
      <c r="I320">
        <v>-0.53846156999999994</v>
      </c>
      <c r="J320">
        <v>0.39393938000000001</v>
      </c>
    </row>
    <row r="321" spans="1:10" x14ac:dyDescent="0.3">
      <c r="A321">
        <v>319</v>
      </c>
      <c r="B321">
        <v>5090</v>
      </c>
      <c r="C321" t="b">
        <v>1</v>
      </c>
      <c r="D321">
        <v>8048</v>
      </c>
      <c r="E321">
        <v>8123</v>
      </c>
      <c r="F321">
        <v>8</v>
      </c>
      <c r="G321">
        <v>5.6</v>
      </c>
      <c r="H321">
        <v>1.4285715000000001</v>
      </c>
      <c r="I321">
        <v>-0.42857146000000002</v>
      </c>
      <c r="J321">
        <v>0.41176467999999999</v>
      </c>
    </row>
    <row r="322" spans="1:10" x14ac:dyDescent="0.3">
      <c r="A322">
        <v>320</v>
      </c>
      <c r="B322">
        <v>5106</v>
      </c>
      <c r="C322" t="b">
        <v>1</v>
      </c>
      <c r="D322">
        <v>8042</v>
      </c>
      <c r="E322">
        <v>8123</v>
      </c>
      <c r="F322">
        <v>8</v>
      </c>
      <c r="G322">
        <v>6</v>
      </c>
      <c r="H322">
        <v>1.3333333999999999</v>
      </c>
      <c r="I322">
        <v>-0.33333333999999998</v>
      </c>
      <c r="J322">
        <v>0.42857142999999998</v>
      </c>
    </row>
    <row r="323" spans="1:10" x14ac:dyDescent="0.3">
      <c r="A323">
        <v>321</v>
      </c>
      <c r="B323">
        <v>5122</v>
      </c>
      <c r="C323" t="b">
        <v>1</v>
      </c>
      <c r="D323">
        <v>8048</v>
      </c>
      <c r="E323">
        <v>8123</v>
      </c>
      <c r="F323">
        <v>8</v>
      </c>
      <c r="G323">
        <v>6.4</v>
      </c>
      <c r="H323">
        <v>1.25</v>
      </c>
      <c r="I323">
        <v>-0.24999999000000001</v>
      </c>
      <c r="J323">
        <v>0.44444447999999998</v>
      </c>
    </row>
    <row r="324" spans="1:10" x14ac:dyDescent="0.3">
      <c r="A324">
        <v>322</v>
      </c>
      <c r="B324">
        <v>5138</v>
      </c>
      <c r="C324" t="b">
        <v>1</v>
      </c>
      <c r="D324">
        <v>8048</v>
      </c>
      <c r="E324">
        <v>8117</v>
      </c>
      <c r="F324">
        <v>8</v>
      </c>
      <c r="G324">
        <v>6.8</v>
      </c>
      <c r="H324">
        <v>1.1764705</v>
      </c>
      <c r="I324">
        <v>-0.17647055</v>
      </c>
      <c r="J324">
        <v>0.45945944999999999</v>
      </c>
    </row>
    <row r="325" spans="1:10" x14ac:dyDescent="0.3">
      <c r="A325">
        <v>323</v>
      </c>
      <c r="B325">
        <v>5154</v>
      </c>
      <c r="C325" t="b">
        <v>1</v>
      </c>
      <c r="D325">
        <v>8048</v>
      </c>
      <c r="E325">
        <v>8123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5169</v>
      </c>
      <c r="C326" t="b">
        <v>1</v>
      </c>
      <c r="D326">
        <v>8048</v>
      </c>
      <c r="E326">
        <v>8123</v>
      </c>
      <c r="F326">
        <v>8</v>
      </c>
      <c r="G326">
        <v>7.6</v>
      </c>
      <c r="H326">
        <v>1.0526316</v>
      </c>
      <c r="I326">
        <v>-5.2631589999999999E-2</v>
      </c>
      <c r="J326">
        <v>0.48717946000000001</v>
      </c>
    </row>
    <row r="327" spans="1:10" x14ac:dyDescent="0.3">
      <c r="A327">
        <v>325</v>
      </c>
      <c r="B327">
        <v>5185</v>
      </c>
      <c r="C327" t="b">
        <v>1</v>
      </c>
      <c r="D327">
        <v>8048</v>
      </c>
      <c r="E327">
        <v>8123</v>
      </c>
      <c r="F327">
        <v>8</v>
      </c>
      <c r="G327">
        <v>8</v>
      </c>
      <c r="H327">
        <v>1</v>
      </c>
      <c r="I327">
        <v>0</v>
      </c>
      <c r="J327">
        <v>0.5</v>
      </c>
    </row>
    <row r="328" spans="1:10" x14ac:dyDescent="0.3">
      <c r="A328">
        <v>326</v>
      </c>
      <c r="B328">
        <v>5201</v>
      </c>
      <c r="C328" t="b">
        <v>1</v>
      </c>
      <c r="D328">
        <v>8048</v>
      </c>
      <c r="E328">
        <v>8123</v>
      </c>
      <c r="F328">
        <v>8</v>
      </c>
      <c r="G328">
        <v>8</v>
      </c>
      <c r="H328">
        <v>1</v>
      </c>
      <c r="I328">
        <v>0</v>
      </c>
      <c r="J328">
        <v>0.5</v>
      </c>
    </row>
    <row r="329" spans="1:10" x14ac:dyDescent="0.3">
      <c r="A329">
        <v>327</v>
      </c>
      <c r="B329">
        <v>5217</v>
      </c>
      <c r="C329" t="b">
        <v>1</v>
      </c>
      <c r="D329">
        <v>8048</v>
      </c>
      <c r="E329">
        <v>8123</v>
      </c>
      <c r="F329">
        <v>8</v>
      </c>
      <c r="G329">
        <v>8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5233</v>
      </c>
      <c r="C330" t="b">
        <v>1</v>
      </c>
      <c r="D330">
        <v>8048</v>
      </c>
      <c r="E330">
        <v>8123</v>
      </c>
      <c r="F330">
        <v>8</v>
      </c>
      <c r="G330">
        <v>8</v>
      </c>
      <c r="H330">
        <v>1</v>
      </c>
      <c r="I330">
        <v>0</v>
      </c>
      <c r="J330">
        <v>0.5</v>
      </c>
    </row>
    <row r="331" spans="1:10" x14ac:dyDescent="0.3">
      <c r="A331">
        <v>329</v>
      </c>
      <c r="B331">
        <v>5249</v>
      </c>
      <c r="C331" t="b">
        <v>1</v>
      </c>
      <c r="D331">
        <v>8048</v>
      </c>
      <c r="E331">
        <v>8117</v>
      </c>
      <c r="F331">
        <v>8</v>
      </c>
      <c r="G331">
        <v>8</v>
      </c>
      <c r="H331">
        <v>1</v>
      </c>
      <c r="I331">
        <v>0</v>
      </c>
      <c r="J331">
        <v>0.5</v>
      </c>
    </row>
    <row r="332" spans="1:10" x14ac:dyDescent="0.3">
      <c r="A332">
        <v>330</v>
      </c>
      <c r="B332">
        <v>5265</v>
      </c>
      <c r="C332" t="b">
        <v>1</v>
      </c>
      <c r="D332">
        <v>8048</v>
      </c>
      <c r="E332">
        <v>8123</v>
      </c>
      <c r="F332">
        <v>8</v>
      </c>
      <c r="G332">
        <v>8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5281</v>
      </c>
      <c r="C333" t="b">
        <v>1</v>
      </c>
      <c r="D333">
        <v>8048</v>
      </c>
      <c r="E333">
        <v>8117</v>
      </c>
      <c r="F333">
        <v>8</v>
      </c>
      <c r="G333">
        <v>8</v>
      </c>
      <c r="H333">
        <v>1</v>
      </c>
      <c r="I333">
        <v>0</v>
      </c>
      <c r="J333">
        <v>0.5</v>
      </c>
    </row>
    <row r="334" spans="1:10" x14ac:dyDescent="0.3">
      <c r="A334">
        <v>332</v>
      </c>
      <c r="B334">
        <v>5297</v>
      </c>
      <c r="C334" t="b">
        <v>1</v>
      </c>
      <c r="D334">
        <v>8048</v>
      </c>
      <c r="E334">
        <v>8117</v>
      </c>
      <c r="F334">
        <v>8</v>
      </c>
      <c r="G334">
        <v>7.6</v>
      </c>
      <c r="H334">
        <v>1.0526316</v>
      </c>
      <c r="I334">
        <v>-5.2631589999999999E-2</v>
      </c>
      <c r="J334">
        <v>0.48717946000000001</v>
      </c>
    </row>
    <row r="335" spans="1:10" x14ac:dyDescent="0.3">
      <c r="A335">
        <v>333</v>
      </c>
      <c r="B335">
        <v>5312</v>
      </c>
      <c r="C335" t="b">
        <v>1</v>
      </c>
      <c r="D335">
        <v>8042</v>
      </c>
      <c r="E335">
        <v>8123</v>
      </c>
      <c r="F335">
        <v>8</v>
      </c>
      <c r="G335">
        <v>7.2</v>
      </c>
      <c r="H335">
        <v>1.1111112000000001</v>
      </c>
      <c r="I335">
        <v>-0.11111114</v>
      </c>
      <c r="J335">
        <v>0.4736842</v>
      </c>
    </row>
    <row r="336" spans="1:10" x14ac:dyDescent="0.3">
      <c r="A336">
        <v>334</v>
      </c>
      <c r="B336">
        <v>5328</v>
      </c>
      <c r="C336" t="b">
        <v>1</v>
      </c>
      <c r="D336">
        <v>8054</v>
      </c>
      <c r="E336">
        <v>8117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5344</v>
      </c>
      <c r="C337" t="b">
        <v>1</v>
      </c>
      <c r="D337">
        <v>8048</v>
      </c>
      <c r="E337">
        <v>8123</v>
      </c>
      <c r="F337">
        <v>8</v>
      </c>
      <c r="G337">
        <v>6.4</v>
      </c>
      <c r="H337">
        <v>1.25</v>
      </c>
      <c r="I337">
        <v>-0.24999999000000001</v>
      </c>
      <c r="J337">
        <v>0.44444447999999998</v>
      </c>
    </row>
    <row r="338" spans="1:10" x14ac:dyDescent="0.3">
      <c r="A338">
        <v>336</v>
      </c>
      <c r="B338">
        <v>5359</v>
      </c>
      <c r="C338" t="b">
        <v>1</v>
      </c>
      <c r="D338">
        <v>8054</v>
      </c>
      <c r="E338">
        <v>8117</v>
      </c>
      <c r="F338">
        <v>8</v>
      </c>
      <c r="G338">
        <v>6</v>
      </c>
      <c r="H338">
        <v>1.3333333999999999</v>
      </c>
      <c r="I338">
        <v>-0.33333333999999998</v>
      </c>
      <c r="J338">
        <v>0.42857142999999998</v>
      </c>
    </row>
    <row r="339" spans="1:10" x14ac:dyDescent="0.3">
      <c r="A339">
        <v>337</v>
      </c>
      <c r="B339">
        <v>5375</v>
      </c>
      <c r="C339" t="b">
        <v>1</v>
      </c>
      <c r="D339">
        <v>8048</v>
      </c>
      <c r="E339">
        <v>8123</v>
      </c>
      <c r="F339">
        <v>8</v>
      </c>
      <c r="G339">
        <v>6</v>
      </c>
      <c r="H339">
        <v>1.3333333999999999</v>
      </c>
      <c r="I339">
        <v>-0.33333333999999998</v>
      </c>
      <c r="J339">
        <v>0.42857142999999998</v>
      </c>
    </row>
    <row r="340" spans="1:10" x14ac:dyDescent="0.3">
      <c r="A340">
        <v>338</v>
      </c>
      <c r="B340">
        <v>5391</v>
      </c>
      <c r="C340" t="b">
        <v>1</v>
      </c>
      <c r="D340">
        <v>8048</v>
      </c>
      <c r="E340">
        <v>8117</v>
      </c>
      <c r="F340">
        <v>8</v>
      </c>
      <c r="G340">
        <v>5.6</v>
      </c>
      <c r="H340">
        <v>1.4285715000000001</v>
      </c>
      <c r="I340">
        <v>-0.42857146000000002</v>
      </c>
      <c r="J340">
        <v>0.41176467999999999</v>
      </c>
    </row>
    <row r="341" spans="1:10" x14ac:dyDescent="0.3">
      <c r="A341">
        <v>339</v>
      </c>
      <c r="B341">
        <v>5407</v>
      </c>
      <c r="C341" t="b">
        <v>1</v>
      </c>
      <c r="D341">
        <v>8048</v>
      </c>
      <c r="E341">
        <v>8123</v>
      </c>
      <c r="F341">
        <v>8</v>
      </c>
      <c r="G341">
        <v>5.6</v>
      </c>
      <c r="H341">
        <v>1.4285715000000001</v>
      </c>
      <c r="I341">
        <v>-0.42857146000000002</v>
      </c>
      <c r="J341">
        <v>0.41176467999999999</v>
      </c>
    </row>
    <row r="342" spans="1:10" x14ac:dyDescent="0.3">
      <c r="A342">
        <v>340</v>
      </c>
      <c r="B342">
        <v>5423</v>
      </c>
      <c r="C342" t="b">
        <v>1</v>
      </c>
      <c r="D342">
        <v>8048</v>
      </c>
      <c r="E342">
        <v>8123</v>
      </c>
      <c r="F342">
        <v>8</v>
      </c>
      <c r="G342">
        <v>5.6</v>
      </c>
      <c r="H342">
        <v>1.4285715000000001</v>
      </c>
      <c r="I342">
        <v>-0.42857146000000002</v>
      </c>
      <c r="J342">
        <v>0.41176467999999999</v>
      </c>
    </row>
    <row r="343" spans="1:10" x14ac:dyDescent="0.3">
      <c r="A343">
        <v>341</v>
      </c>
      <c r="B343">
        <v>5455</v>
      </c>
      <c r="C343" t="b">
        <v>1</v>
      </c>
      <c r="D343">
        <v>8048</v>
      </c>
      <c r="E343">
        <v>8123</v>
      </c>
      <c r="F343">
        <v>8</v>
      </c>
      <c r="G343">
        <v>5.6</v>
      </c>
      <c r="H343">
        <v>1.4285715000000001</v>
      </c>
      <c r="I343">
        <v>-0.42857146000000002</v>
      </c>
      <c r="J343">
        <v>0.41176467999999999</v>
      </c>
    </row>
    <row r="344" spans="1:10" x14ac:dyDescent="0.3">
      <c r="A344">
        <v>342</v>
      </c>
      <c r="B344">
        <v>5471</v>
      </c>
      <c r="C344" t="b">
        <v>1</v>
      </c>
      <c r="D344">
        <v>8048</v>
      </c>
      <c r="E344">
        <v>8123</v>
      </c>
      <c r="F344">
        <v>8</v>
      </c>
      <c r="G344">
        <v>5.6</v>
      </c>
      <c r="H344">
        <v>1.4285715000000001</v>
      </c>
      <c r="I344">
        <v>-0.42857146000000002</v>
      </c>
      <c r="J344">
        <v>0.41176467999999999</v>
      </c>
    </row>
    <row r="345" spans="1:10" x14ac:dyDescent="0.3">
      <c r="A345">
        <v>343</v>
      </c>
      <c r="B345">
        <v>5487</v>
      </c>
      <c r="C345" t="b">
        <v>1</v>
      </c>
      <c r="D345">
        <v>8048</v>
      </c>
      <c r="E345">
        <v>8123</v>
      </c>
      <c r="F345">
        <v>8</v>
      </c>
      <c r="G345">
        <v>5.6</v>
      </c>
      <c r="H345">
        <v>1.4285715000000001</v>
      </c>
      <c r="I345">
        <v>-0.42857146000000002</v>
      </c>
      <c r="J345">
        <v>0.41176467999999999</v>
      </c>
    </row>
    <row r="346" spans="1:10" x14ac:dyDescent="0.3">
      <c r="A346">
        <v>344</v>
      </c>
      <c r="B346">
        <v>5502</v>
      </c>
      <c r="C346" t="b">
        <v>1</v>
      </c>
      <c r="D346">
        <v>8048</v>
      </c>
      <c r="E346">
        <v>8117</v>
      </c>
      <c r="F346">
        <v>8</v>
      </c>
      <c r="G346">
        <v>5.6</v>
      </c>
      <c r="H346">
        <v>1.4285715000000001</v>
      </c>
      <c r="I346">
        <v>-0.42857146000000002</v>
      </c>
      <c r="J346">
        <v>0.41176467999999999</v>
      </c>
    </row>
    <row r="347" spans="1:10" x14ac:dyDescent="0.3">
      <c r="A347">
        <v>345</v>
      </c>
      <c r="B347">
        <v>5518</v>
      </c>
      <c r="C347" t="b">
        <v>1</v>
      </c>
      <c r="D347">
        <v>8048</v>
      </c>
      <c r="E347">
        <v>8123</v>
      </c>
      <c r="F347">
        <v>8</v>
      </c>
      <c r="G347">
        <v>5.6</v>
      </c>
      <c r="H347">
        <v>1.4285715000000001</v>
      </c>
      <c r="I347">
        <v>-0.42857146000000002</v>
      </c>
      <c r="J347">
        <v>0.41176467999999999</v>
      </c>
    </row>
    <row r="348" spans="1:10" x14ac:dyDescent="0.3">
      <c r="A348">
        <v>346</v>
      </c>
      <c r="B348">
        <v>5533</v>
      </c>
      <c r="C348" t="b">
        <v>1</v>
      </c>
      <c r="D348">
        <v>8048</v>
      </c>
      <c r="E348">
        <v>8123</v>
      </c>
      <c r="F348">
        <v>8</v>
      </c>
      <c r="G348">
        <v>5.6</v>
      </c>
      <c r="H348">
        <v>1.4285715000000001</v>
      </c>
      <c r="I348">
        <v>-0.42857146000000002</v>
      </c>
      <c r="J348">
        <v>0.41176467999999999</v>
      </c>
    </row>
    <row r="349" spans="1:10" x14ac:dyDescent="0.3">
      <c r="A349">
        <v>347</v>
      </c>
      <c r="B349">
        <v>5549</v>
      </c>
      <c r="C349" t="b">
        <v>1</v>
      </c>
      <c r="D349">
        <v>8048</v>
      </c>
      <c r="E349">
        <v>8123</v>
      </c>
      <c r="F349">
        <v>8</v>
      </c>
      <c r="G349">
        <v>6</v>
      </c>
      <c r="H349">
        <v>1.3333333999999999</v>
      </c>
      <c r="I349">
        <v>-0.33333333999999998</v>
      </c>
      <c r="J349">
        <v>0.42857142999999998</v>
      </c>
    </row>
    <row r="350" spans="1:10" x14ac:dyDescent="0.3">
      <c r="A350">
        <v>348</v>
      </c>
      <c r="B350">
        <v>5565</v>
      </c>
      <c r="C350" t="b">
        <v>1</v>
      </c>
      <c r="D350">
        <v>8054</v>
      </c>
      <c r="E350">
        <v>8123</v>
      </c>
      <c r="F350">
        <v>8</v>
      </c>
      <c r="G350">
        <v>6.4</v>
      </c>
      <c r="H350">
        <v>1.25</v>
      </c>
      <c r="I350">
        <v>-0.24999999000000001</v>
      </c>
      <c r="J350">
        <v>0.44444447999999998</v>
      </c>
    </row>
    <row r="351" spans="1:10" x14ac:dyDescent="0.3">
      <c r="A351">
        <v>349</v>
      </c>
      <c r="B351">
        <v>5581</v>
      </c>
      <c r="C351" t="b">
        <v>1</v>
      </c>
      <c r="D351">
        <v>8054</v>
      </c>
      <c r="E351">
        <v>8123</v>
      </c>
      <c r="F351">
        <v>8</v>
      </c>
      <c r="G351">
        <v>6.8</v>
      </c>
      <c r="H351">
        <v>1.1764705</v>
      </c>
      <c r="I351">
        <v>-0.17647055</v>
      </c>
      <c r="J351">
        <v>0.45945944999999999</v>
      </c>
    </row>
    <row r="352" spans="1:10" x14ac:dyDescent="0.3">
      <c r="A352">
        <v>350</v>
      </c>
      <c r="B352">
        <v>5597</v>
      </c>
      <c r="C352" t="b">
        <v>1</v>
      </c>
      <c r="D352">
        <v>8054</v>
      </c>
      <c r="E352">
        <v>8123</v>
      </c>
      <c r="F352">
        <v>8.4</v>
      </c>
      <c r="G352">
        <v>7.2</v>
      </c>
      <c r="H352">
        <v>1.1666666000000001</v>
      </c>
      <c r="I352">
        <v>-0.16666664</v>
      </c>
      <c r="J352">
        <v>0.46153845999999998</v>
      </c>
    </row>
    <row r="353" spans="1:10" x14ac:dyDescent="0.3">
      <c r="A353">
        <v>351</v>
      </c>
      <c r="B353">
        <v>5613</v>
      </c>
      <c r="C353" t="b">
        <v>1</v>
      </c>
      <c r="D353">
        <v>8054</v>
      </c>
      <c r="E353">
        <v>8111</v>
      </c>
      <c r="F353">
        <v>8.8000000000000007</v>
      </c>
      <c r="G353">
        <v>7.6</v>
      </c>
      <c r="H353">
        <v>1.1578946999999999</v>
      </c>
      <c r="I353">
        <v>-0.15789478000000001</v>
      </c>
      <c r="J353">
        <v>0.46341463999999999</v>
      </c>
    </row>
    <row r="354" spans="1:10" x14ac:dyDescent="0.3">
      <c r="A354">
        <v>352</v>
      </c>
      <c r="B354">
        <v>5629</v>
      </c>
      <c r="C354" t="b">
        <v>1</v>
      </c>
      <c r="D354">
        <v>8054</v>
      </c>
      <c r="E354">
        <v>8117</v>
      </c>
      <c r="F354">
        <v>9.1999999999999993</v>
      </c>
      <c r="G354">
        <v>7.6</v>
      </c>
      <c r="H354">
        <v>1.2105262999999999</v>
      </c>
      <c r="I354">
        <v>-0.2105263</v>
      </c>
      <c r="J354">
        <v>0.45238096</v>
      </c>
    </row>
    <row r="355" spans="1:10" x14ac:dyDescent="0.3">
      <c r="A355">
        <v>353</v>
      </c>
      <c r="B355">
        <v>5644</v>
      </c>
      <c r="C355" t="b">
        <v>1</v>
      </c>
      <c r="D355">
        <v>8054</v>
      </c>
      <c r="E355">
        <v>8117</v>
      </c>
      <c r="F355">
        <v>9.6</v>
      </c>
      <c r="G355">
        <v>7.6</v>
      </c>
      <c r="H355">
        <v>1.263158</v>
      </c>
      <c r="I355">
        <v>-0.26315796000000002</v>
      </c>
      <c r="J355">
        <v>0.44186044000000002</v>
      </c>
    </row>
    <row r="356" spans="1:10" x14ac:dyDescent="0.3">
      <c r="A356">
        <v>354</v>
      </c>
      <c r="B356">
        <v>5660</v>
      </c>
      <c r="C356" t="b">
        <v>1</v>
      </c>
      <c r="D356">
        <v>8048</v>
      </c>
      <c r="E356">
        <v>8117</v>
      </c>
      <c r="F356">
        <v>10</v>
      </c>
      <c r="G356">
        <v>7.2</v>
      </c>
      <c r="H356">
        <v>1.388889</v>
      </c>
      <c r="I356">
        <v>-0.38888893000000002</v>
      </c>
      <c r="J356">
        <v>0.41860459999999999</v>
      </c>
    </row>
    <row r="357" spans="1:10" x14ac:dyDescent="0.3">
      <c r="A357">
        <v>355</v>
      </c>
      <c r="B357">
        <v>5676</v>
      </c>
      <c r="C357" t="b">
        <v>1</v>
      </c>
      <c r="D357">
        <v>8048</v>
      </c>
      <c r="E357">
        <v>8111</v>
      </c>
      <c r="F357">
        <v>10.4</v>
      </c>
      <c r="G357">
        <v>6.8</v>
      </c>
      <c r="H357">
        <v>1.5294117</v>
      </c>
      <c r="I357">
        <v>-0.52941170000000004</v>
      </c>
      <c r="J357">
        <v>0.39534881999999999</v>
      </c>
    </row>
    <row r="358" spans="1:10" x14ac:dyDescent="0.3">
      <c r="A358">
        <v>356</v>
      </c>
      <c r="B358">
        <v>5692</v>
      </c>
      <c r="C358" t="b">
        <v>1</v>
      </c>
      <c r="D358">
        <v>8048</v>
      </c>
      <c r="E358">
        <v>8111</v>
      </c>
      <c r="F358">
        <v>10.4</v>
      </c>
      <c r="G358">
        <v>6.4</v>
      </c>
      <c r="H358">
        <v>1.6249998999999999</v>
      </c>
      <c r="I358">
        <v>-0.62499994000000003</v>
      </c>
      <c r="J358">
        <v>0.38095242000000001</v>
      </c>
    </row>
    <row r="359" spans="1:10" x14ac:dyDescent="0.3">
      <c r="A359">
        <v>357</v>
      </c>
      <c r="B359">
        <v>5708</v>
      </c>
      <c r="C359" t="b">
        <v>1</v>
      </c>
      <c r="D359">
        <v>8048</v>
      </c>
      <c r="E359">
        <v>8111</v>
      </c>
      <c r="F359">
        <v>10.4</v>
      </c>
      <c r="G359">
        <v>5.6</v>
      </c>
      <c r="H359">
        <v>1.8571428000000001</v>
      </c>
      <c r="I359">
        <v>-0.85714279999999998</v>
      </c>
      <c r="J359">
        <v>0.35</v>
      </c>
    </row>
    <row r="360" spans="1:10" x14ac:dyDescent="0.3">
      <c r="A360">
        <v>358</v>
      </c>
      <c r="B360">
        <v>5724</v>
      </c>
      <c r="C360" t="b">
        <v>1</v>
      </c>
      <c r="D360">
        <v>8048</v>
      </c>
      <c r="E360">
        <v>8123</v>
      </c>
      <c r="F360">
        <v>10.4</v>
      </c>
      <c r="G360">
        <v>4.8</v>
      </c>
      <c r="H360">
        <v>2.1666664999999998</v>
      </c>
      <c r="I360">
        <v>-1.1666665000000001</v>
      </c>
      <c r="J360">
        <v>0.3157895</v>
      </c>
    </row>
    <row r="361" spans="1:10" x14ac:dyDescent="0.3">
      <c r="A361">
        <v>359</v>
      </c>
      <c r="B361">
        <v>5740</v>
      </c>
      <c r="C361" t="b">
        <v>1</v>
      </c>
      <c r="D361">
        <v>8042</v>
      </c>
      <c r="E361">
        <v>8123</v>
      </c>
      <c r="F361">
        <v>10.4</v>
      </c>
      <c r="G361">
        <v>4</v>
      </c>
      <c r="H361">
        <v>2.6</v>
      </c>
      <c r="I361">
        <v>-1.5999999</v>
      </c>
      <c r="J361">
        <v>0.27777780000000002</v>
      </c>
    </row>
    <row r="362" spans="1:10" x14ac:dyDescent="0.3">
      <c r="A362">
        <v>360</v>
      </c>
      <c r="B362">
        <v>5755</v>
      </c>
      <c r="C362" t="b">
        <v>1</v>
      </c>
      <c r="D362">
        <v>8048</v>
      </c>
      <c r="E362">
        <v>8123</v>
      </c>
      <c r="F362">
        <v>10.4</v>
      </c>
      <c r="G362">
        <v>4</v>
      </c>
      <c r="H362">
        <v>2.6</v>
      </c>
      <c r="I362">
        <v>-1.5999999</v>
      </c>
      <c r="J362">
        <v>0.27777780000000002</v>
      </c>
    </row>
    <row r="363" spans="1:10" x14ac:dyDescent="0.3">
      <c r="A363">
        <v>361</v>
      </c>
      <c r="B363">
        <v>5771</v>
      </c>
      <c r="C363" t="b">
        <v>1</v>
      </c>
      <c r="D363">
        <v>8048</v>
      </c>
      <c r="E363">
        <v>8123</v>
      </c>
      <c r="F363">
        <v>10.4</v>
      </c>
      <c r="G363">
        <v>4</v>
      </c>
      <c r="H363">
        <v>2.6</v>
      </c>
      <c r="I363">
        <v>-1.5999999</v>
      </c>
      <c r="J363">
        <v>0.27777780000000002</v>
      </c>
    </row>
    <row r="364" spans="1:10" x14ac:dyDescent="0.3">
      <c r="A364">
        <v>362</v>
      </c>
      <c r="B364">
        <v>5787</v>
      </c>
      <c r="C364" t="b">
        <v>1</v>
      </c>
      <c r="D364">
        <v>8054</v>
      </c>
      <c r="E364">
        <v>8123</v>
      </c>
      <c r="F364">
        <v>10.4</v>
      </c>
      <c r="G364">
        <v>4</v>
      </c>
      <c r="H364">
        <v>2.6</v>
      </c>
      <c r="I364">
        <v>-1.5999999</v>
      </c>
      <c r="J364">
        <v>0.27777780000000002</v>
      </c>
    </row>
    <row r="365" spans="1:10" x14ac:dyDescent="0.3">
      <c r="A365">
        <v>363</v>
      </c>
      <c r="B365">
        <v>5803</v>
      </c>
      <c r="C365" t="b">
        <v>1</v>
      </c>
      <c r="D365">
        <v>8054</v>
      </c>
      <c r="E365">
        <v>8123</v>
      </c>
      <c r="F365">
        <v>10.4</v>
      </c>
      <c r="G365">
        <v>4</v>
      </c>
      <c r="H365">
        <v>2.6</v>
      </c>
      <c r="I365">
        <v>-1.5999999</v>
      </c>
      <c r="J365">
        <v>0.27777780000000002</v>
      </c>
    </row>
    <row r="366" spans="1:10" x14ac:dyDescent="0.3">
      <c r="A366">
        <v>364</v>
      </c>
      <c r="B366">
        <v>5819</v>
      </c>
      <c r="C366" t="b">
        <v>1</v>
      </c>
      <c r="D366">
        <v>8048</v>
      </c>
      <c r="E366">
        <v>8123</v>
      </c>
      <c r="F366">
        <v>10.4</v>
      </c>
      <c r="G366">
        <v>4</v>
      </c>
      <c r="H366">
        <v>2.6</v>
      </c>
      <c r="I366">
        <v>-1.5999999</v>
      </c>
      <c r="J366">
        <v>0.27777780000000002</v>
      </c>
    </row>
    <row r="367" spans="1:10" x14ac:dyDescent="0.3">
      <c r="A367">
        <v>365</v>
      </c>
      <c r="B367">
        <v>5834</v>
      </c>
      <c r="C367" t="b">
        <v>1</v>
      </c>
      <c r="D367">
        <v>8048</v>
      </c>
      <c r="E367">
        <v>8123</v>
      </c>
      <c r="F367">
        <v>10</v>
      </c>
      <c r="G367">
        <v>4</v>
      </c>
      <c r="H367">
        <v>2.5</v>
      </c>
      <c r="I367">
        <v>-1.5</v>
      </c>
      <c r="J367">
        <v>0.28571429999999998</v>
      </c>
    </row>
    <row r="368" spans="1:10" x14ac:dyDescent="0.3">
      <c r="A368">
        <v>366</v>
      </c>
      <c r="B368">
        <v>5850</v>
      </c>
      <c r="C368" t="b">
        <v>1</v>
      </c>
      <c r="D368">
        <v>8048</v>
      </c>
      <c r="E368">
        <v>8123</v>
      </c>
      <c r="F368">
        <v>9.6</v>
      </c>
      <c r="G368">
        <v>4</v>
      </c>
      <c r="H368">
        <v>2.4</v>
      </c>
      <c r="I368">
        <v>-1.4000001</v>
      </c>
      <c r="J368">
        <v>0.29411763000000002</v>
      </c>
    </row>
    <row r="369" spans="1:10" x14ac:dyDescent="0.3">
      <c r="A369">
        <v>367</v>
      </c>
      <c r="B369">
        <v>5866</v>
      </c>
      <c r="C369" t="b">
        <v>1</v>
      </c>
      <c r="D369">
        <v>8048</v>
      </c>
      <c r="E369">
        <v>8117</v>
      </c>
      <c r="F369">
        <v>9.1999999999999993</v>
      </c>
      <c r="G369">
        <v>4</v>
      </c>
      <c r="H369">
        <v>2.2999999999999998</v>
      </c>
      <c r="I369">
        <v>-1.3</v>
      </c>
      <c r="J369">
        <v>0.30303029999999997</v>
      </c>
    </row>
    <row r="370" spans="1:10" x14ac:dyDescent="0.3">
      <c r="A370">
        <v>368</v>
      </c>
      <c r="B370">
        <v>5881</v>
      </c>
      <c r="C370" t="b">
        <v>1</v>
      </c>
      <c r="D370">
        <v>8048</v>
      </c>
      <c r="E370">
        <v>8123</v>
      </c>
      <c r="F370">
        <v>8.8000000000000007</v>
      </c>
      <c r="G370">
        <v>4.4000000000000004</v>
      </c>
      <c r="H370">
        <v>2</v>
      </c>
      <c r="I370">
        <v>-1</v>
      </c>
      <c r="J370">
        <v>0.3333333</v>
      </c>
    </row>
    <row r="371" spans="1:10" x14ac:dyDescent="0.3">
      <c r="A371">
        <v>369</v>
      </c>
      <c r="B371">
        <v>5897</v>
      </c>
      <c r="C371" t="b">
        <v>1</v>
      </c>
      <c r="D371">
        <v>8048</v>
      </c>
      <c r="E371">
        <v>8123</v>
      </c>
      <c r="F371">
        <v>8.4</v>
      </c>
      <c r="G371">
        <v>4.8</v>
      </c>
      <c r="H371">
        <v>1.7499998999999999</v>
      </c>
      <c r="I371">
        <v>-0.74999990000000005</v>
      </c>
      <c r="J371">
        <v>0.36363636999999999</v>
      </c>
    </row>
    <row r="372" spans="1:10" x14ac:dyDescent="0.3">
      <c r="A372">
        <v>370</v>
      </c>
      <c r="B372">
        <v>5913</v>
      </c>
      <c r="C372" t="b">
        <v>1</v>
      </c>
      <c r="D372">
        <v>8048</v>
      </c>
      <c r="E372">
        <v>8123</v>
      </c>
      <c r="F372">
        <v>8</v>
      </c>
      <c r="G372">
        <v>5.2</v>
      </c>
      <c r="H372">
        <v>1.5384616</v>
      </c>
      <c r="I372">
        <v>-0.53846156999999994</v>
      </c>
      <c r="J372">
        <v>0.39393938000000001</v>
      </c>
    </row>
    <row r="373" spans="1:10" x14ac:dyDescent="0.3">
      <c r="A373">
        <v>371</v>
      </c>
      <c r="B373">
        <v>5929</v>
      </c>
      <c r="C373" t="b">
        <v>1</v>
      </c>
      <c r="D373">
        <v>8048</v>
      </c>
      <c r="E373">
        <v>8123</v>
      </c>
      <c r="F373">
        <v>8</v>
      </c>
      <c r="G373">
        <v>5.6</v>
      </c>
      <c r="H373">
        <v>1.4285715000000001</v>
      </c>
      <c r="I373">
        <v>-0.42857146000000002</v>
      </c>
      <c r="J373">
        <v>0.41176467999999999</v>
      </c>
    </row>
    <row r="374" spans="1:10" x14ac:dyDescent="0.3">
      <c r="A374">
        <v>372</v>
      </c>
      <c r="B374">
        <v>5945</v>
      </c>
      <c r="C374" t="b">
        <v>1</v>
      </c>
      <c r="D374">
        <v>8048</v>
      </c>
      <c r="E374">
        <v>8123</v>
      </c>
      <c r="F374">
        <v>8</v>
      </c>
      <c r="G374">
        <v>6.4</v>
      </c>
      <c r="H374">
        <v>1.25</v>
      </c>
      <c r="I374">
        <v>-0.24999999000000001</v>
      </c>
      <c r="J374">
        <v>0.44444447999999998</v>
      </c>
    </row>
    <row r="375" spans="1:10" x14ac:dyDescent="0.3">
      <c r="A375">
        <v>373</v>
      </c>
      <c r="B375">
        <v>5961</v>
      </c>
      <c r="C375" t="b">
        <v>1</v>
      </c>
      <c r="D375">
        <v>8048</v>
      </c>
      <c r="E375">
        <v>8123</v>
      </c>
      <c r="F375">
        <v>8</v>
      </c>
      <c r="G375">
        <v>7.2</v>
      </c>
      <c r="H375">
        <v>1.1111112000000001</v>
      </c>
      <c r="I375">
        <v>-0.11111114</v>
      </c>
      <c r="J375">
        <v>0.4736842</v>
      </c>
    </row>
    <row r="376" spans="1:10" x14ac:dyDescent="0.3">
      <c r="A376">
        <v>374</v>
      </c>
      <c r="B376">
        <v>5977</v>
      </c>
      <c r="C376" t="b">
        <v>1</v>
      </c>
      <c r="D376">
        <v>8048</v>
      </c>
      <c r="E376">
        <v>8123</v>
      </c>
      <c r="F376">
        <v>8</v>
      </c>
      <c r="G376">
        <v>8</v>
      </c>
      <c r="H376">
        <v>1</v>
      </c>
      <c r="I376">
        <v>0</v>
      </c>
      <c r="J376">
        <v>0.5</v>
      </c>
    </row>
    <row r="377" spans="1:10" x14ac:dyDescent="0.3">
      <c r="A377">
        <v>375</v>
      </c>
      <c r="B377">
        <v>5993</v>
      </c>
      <c r="C377" t="b">
        <v>1</v>
      </c>
      <c r="D377">
        <v>8054</v>
      </c>
      <c r="E377">
        <v>8123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6008</v>
      </c>
      <c r="C378" t="b">
        <v>1</v>
      </c>
      <c r="D378">
        <v>8048</v>
      </c>
      <c r="E378">
        <v>8123</v>
      </c>
      <c r="F378">
        <v>8</v>
      </c>
      <c r="G378">
        <v>8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6024</v>
      </c>
      <c r="C379" t="b">
        <v>1</v>
      </c>
      <c r="D379">
        <v>8048</v>
      </c>
      <c r="E379">
        <v>8123</v>
      </c>
      <c r="F379">
        <v>8</v>
      </c>
      <c r="G379">
        <v>8</v>
      </c>
      <c r="H379">
        <v>1</v>
      </c>
      <c r="I379">
        <v>0</v>
      </c>
      <c r="J379">
        <v>0.5</v>
      </c>
    </row>
    <row r="380" spans="1:10" x14ac:dyDescent="0.3">
      <c r="A380">
        <v>378</v>
      </c>
      <c r="B380">
        <v>6040</v>
      </c>
      <c r="C380" t="b">
        <v>1</v>
      </c>
      <c r="D380">
        <v>8048</v>
      </c>
      <c r="E380">
        <v>8123</v>
      </c>
      <c r="F380">
        <v>8</v>
      </c>
      <c r="G380">
        <v>8</v>
      </c>
      <c r="H380">
        <v>1</v>
      </c>
      <c r="I380">
        <v>0</v>
      </c>
      <c r="J380">
        <v>0.5</v>
      </c>
    </row>
    <row r="381" spans="1:10" x14ac:dyDescent="0.3">
      <c r="A381">
        <v>379</v>
      </c>
      <c r="B381">
        <v>6056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6072</v>
      </c>
      <c r="C382" t="b">
        <v>1</v>
      </c>
      <c r="D382">
        <v>8048</v>
      </c>
      <c r="E382">
        <v>8123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6087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6103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6119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6135</v>
      </c>
      <c r="C386" t="b">
        <v>1</v>
      </c>
      <c r="D386">
        <v>8048</v>
      </c>
      <c r="E386">
        <v>8123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6151</v>
      </c>
      <c r="C387" t="b">
        <v>1</v>
      </c>
      <c r="D387">
        <v>8048</v>
      </c>
      <c r="E387">
        <v>8123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6166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6182</v>
      </c>
      <c r="C389" t="b">
        <v>1</v>
      </c>
      <c r="D389">
        <v>8048</v>
      </c>
      <c r="E389">
        <v>8123</v>
      </c>
      <c r="F389">
        <v>8</v>
      </c>
      <c r="G389">
        <v>8</v>
      </c>
      <c r="H389">
        <v>1</v>
      </c>
      <c r="I389">
        <v>0</v>
      </c>
      <c r="J389">
        <v>0.5</v>
      </c>
    </row>
    <row r="390" spans="1:10" x14ac:dyDescent="0.3">
      <c r="A390">
        <v>388</v>
      </c>
      <c r="B390">
        <v>6198</v>
      </c>
      <c r="C390" t="b">
        <v>1</v>
      </c>
      <c r="D390">
        <v>8048</v>
      </c>
      <c r="E390">
        <v>8123</v>
      </c>
      <c r="F390">
        <v>8</v>
      </c>
      <c r="G390">
        <v>8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6214</v>
      </c>
      <c r="C391" t="b">
        <v>1</v>
      </c>
      <c r="D391">
        <v>8048</v>
      </c>
      <c r="E391">
        <v>8117</v>
      </c>
      <c r="F391">
        <v>8</v>
      </c>
      <c r="G391">
        <v>8</v>
      </c>
      <c r="H391">
        <v>1</v>
      </c>
      <c r="I391">
        <v>0</v>
      </c>
      <c r="J391">
        <v>0.5</v>
      </c>
    </row>
    <row r="392" spans="1:10" x14ac:dyDescent="0.3">
      <c r="A392">
        <v>390</v>
      </c>
      <c r="B392">
        <v>6230</v>
      </c>
      <c r="C392" t="b">
        <v>1</v>
      </c>
      <c r="D392">
        <v>8048</v>
      </c>
      <c r="E392">
        <v>8123</v>
      </c>
      <c r="F392">
        <v>8</v>
      </c>
      <c r="G392">
        <v>8</v>
      </c>
      <c r="H392">
        <v>1</v>
      </c>
      <c r="I392">
        <v>0</v>
      </c>
      <c r="J392">
        <v>0.5</v>
      </c>
    </row>
    <row r="393" spans="1:10" x14ac:dyDescent="0.3">
      <c r="A393">
        <v>391</v>
      </c>
      <c r="B393">
        <v>6246</v>
      </c>
      <c r="C393" t="b">
        <v>1</v>
      </c>
      <c r="D393">
        <v>8048</v>
      </c>
      <c r="E393">
        <v>8123</v>
      </c>
      <c r="F393">
        <v>8</v>
      </c>
      <c r="G393">
        <v>8</v>
      </c>
      <c r="H393">
        <v>1</v>
      </c>
      <c r="I393">
        <v>0</v>
      </c>
      <c r="J393">
        <v>0.5</v>
      </c>
    </row>
    <row r="394" spans="1:10" x14ac:dyDescent="0.3">
      <c r="A394">
        <v>392</v>
      </c>
      <c r="B394">
        <v>6261</v>
      </c>
      <c r="C394" t="b">
        <v>1</v>
      </c>
      <c r="D394">
        <v>8048</v>
      </c>
      <c r="E394">
        <v>8123</v>
      </c>
      <c r="F394">
        <v>8</v>
      </c>
      <c r="G394">
        <v>8</v>
      </c>
      <c r="H394">
        <v>1</v>
      </c>
      <c r="I394">
        <v>0</v>
      </c>
      <c r="J394">
        <v>0.5</v>
      </c>
    </row>
    <row r="395" spans="1:10" x14ac:dyDescent="0.3">
      <c r="A395">
        <v>393</v>
      </c>
      <c r="B395">
        <v>6277</v>
      </c>
      <c r="C395" t="b">
        <v>1</v>
      </c>
      <c r="D395">
        <v>8042</v>
      </c>
      <c r="E395">
        <v>8123</v>
      </c>
      <c r="F395">
        <v>8</v>
      </c>
      <c r="G395">
        <v>8</v>
      </c>
      <c r="H395">
        <v>1</v>
      </c>
      <c r="I395">
        <v>0</v>
      </c>
      <c r="J395">
        <v>0.5</v>
      </c>
    </row>
    <row r="396" spans="1:10" x14ac:dyDescent="0.3">
      <c r="A396">
        <v>394</v>
      </c>
      <c r="B396">
        <v>6293</v>
      </c>
      <c r="C396" t="b">
        <v>1</v>
      </c>
      <c r="D396">
        <v>8042</v>
      </c>
      <c r="E396">
        <v>8117</v>
      </c>
      <c r="F396">
        <v>8</v>
      </c>
      <c r="G396">
        <v>8</v>
      </c>
      <c r="H396">
        <v>1</v>
      </c>
      <c r="I396">
        <v>0</v>
      </c>
      <c r="J396">
        <v>0.5</v>
      </c>
    </row>
    <row r="397" spans="1:10" x14ac:dyDescent="0.3">
      <c r="A397">
        <v>395</v>
      </c>
      <c r="B397">
        <v>6309</v>
      </c>
      <c r="C397" t="b">
        <v>1</v>
      </c>
      <c r="D397">
        <v>8042</v>
      </c>
      <c r="E397">
        <v>8123</v>
      </c>
      <c r="F397">
        <v>7.6</v>
      </c>
      <c r="G397">
        <v>8</v>
      </c>
      <c r="H397">
        <v>0.95</v>
      </c>
      <c r="I397">
        <v>5.0000012000000003E-2</v>
      </c>
      <c r="J397">
        <v>0.51282050000000001</v>
      </c>
    </row>
    <row r="398" spans="1:10" x14ac:dyDescent="0.3">
      <c r="A398">
        <v>396</v>
      </c>
      <c r="B398">
        <v>6325</v>
      </c>
      <c r="C398" t="b">
        <v>1</v>
      </c>
      <c r="D398">
        <v>8042</v>
      </c>
      <c r="E398">
        <v>8123</v>
      </c>
      <c r="F398">
        <v>7.2</v>
      </c>
      <c r="G398">
        <v>8</v>
      </c>
      <c r="H398">
        <v>0.9</v>
      </c>
      <c r="I398">
        <v>0.10000002400000001</v>
      </c>
      <c r="J398">
        <v>0.5263158</v>
      </c>
    </row>
    <row r="399" spans="1:10" x14ac:dyDescent="0.3">
      <c r="A399">
        <v>397</v>
      </c>
      <c r="B399">
        <v>6341</v>
      </c>
      <c r="C399" t="b">
        <v>1</v>
      </c>
      <c r="D399">
        <v>8042</v>
      </c>
      <c r="E399">
        <v>8123</v>
      </c>
      <c r="F399">
        <v>6.8</v>
      </c>
      <c r="G399">
        <v>8</v>
      </c>
      <c r="H399">
        <v>0.85</v>
      </c>
      <c r="I399">
        <v>0.14999998</v>
      </c>
      <c r="J399">
        <v>0.54054049999999998</v>
      </c>
    </row>
    <row r="400" spans="1:10" x14ac:dyDescent="0.3">
      <c r="A400">
        <v>398</v>
      </c>
      <c r="B400">
        <v>6356</v>
      </c>
      <c r="C400" t="b">
        <v>1</v>
      </c>
      <c r="D400">
        <v>8037</v>
      </c>
      <c r="E400">
        <v>8123</v>
      </c>
      <c r="F400">
        <v>6.4</v>
      </c>
      <c r="G400">
        <v>8</v>
      </c>
      <c r="H400">
        <v>0.8</v>
      </c>
      <c r="I400">
        <v>0.19999998999999999</v>
      </c>
      <c r="J400">
        <v>0.55555560000000004</v>
      </c>
    </row>
    <row r="401" spans="1:10" x14ac:dyDescent="0.3">
      <c r="A401">
        <v>399</v>
      </c>
      <c r="B401">
        <v>6372</v>
      </c>
      <c r="C401" t="b">
        <v>1</v>
      </c>
      <c r="D401">
        <v>8048</v>
      </c>
      <c r="E401">
        <v>8117</v>
      </c>
      <c r="F401">
        <v>6</v>
      </c>
      <c r="G401">
        <v>8</v>
      </c>
      <c r="H401">
        <v>0.75</v>
      </c>
      <c r="I401">
        <v>0.25</v>
      </c>
      <c r="J401">
        <v>0.57142859999999995</v>
      </c>
    </row>
    <row r="402" spans="1:10" x14ac:dyDescent="0.3">
      <c r="A402">
        <v>400</v>
      </c>
      <c r="B402">
        <v>6388</v>
      </c>
      <c r="C402" t="b">
        <v>1</v>
      </c>
      <c r="D402">
        <v>8048</v>
      </c>
      <c r="E402">
        <v>8117</v>
      </c>
      <c r="F402">
        <v>5.6</v>
      </c>
      <c r="G402">
        <v>8</v>
      </c>
      <c r="H402">
        <v>0.7</v>
      </c>
      <c r="I402">
        <v>0.3</v>
      </c>
      <c r="J402">
        <v>0.58823526000000004</v>
      </c>
    </row>
    <row r="403" spans="1:10" x14ac:dyDescent="0.3">
      <c r="A403">
        <v>401</v>
      </c>
      <c r="B403">
        <v>6404</v>
      </c>
      <c r="C403" t="b">
        <v>1</v>
      </c>
      <c r="D403">
        <v>8048</v>
      </c>
      <c r="E403">
        <v>8129</v>
      </c>
      <c r="F403">
        <v>5.6</v>
      </c>
      <c r="G403">
        <v>8</v>
      </c>
      <c r="H403">
        <v>0.7</v>
      </c>
      <c r="I403">
        <v>0.3</v>
      </c>
      <c r="J403">
        <v>0.58823526000000004</v>
      </c>
    </row>
    <row r="404" spans="1:10" x14ac:dyDescent="0.3">
      <c r="A404">
        <v>402</v>
      </c>
      <c r="B404">
        <v>6419</v>
      </c>
      <c r="C404" t="b">
        <v>1</v>
      </c>
      <c r="D404">
        <v>8048</v>
      </c>
      <c r="E404">
        <v>8123</v>
      </c>
      <c r="F404">
        <v>5.6</v>
      </c>
      <c r="G404">
        <v>8</v>
      </c>
      <c r="H404">
        <v>0.7</v>
      </c>
      <c r="I404">
        <v>0.3</v>
      </c>
      <c r="J404">
        <v>0.58823526000000004</v>
      </c>
    </row>
    <row r="405" spans="1:10" x14ac:dyDescent="0.3">
      <c r="A405">
        <v>403</v>
      </c>
      <c r="B405">
        <v>6436</v>
      </c>
      <c r="C405" t="b">
        <v>1</v>
      </c>
      <c r="D405">
        <v>8048</v>
      </c>
      <c r="E405">
        <v>8123</v>
      </c>
      <c r="F405">
        <v>5.6</v>
      </c>
      <c r="G405">
        <v>8</v>
      </c>
      <c r="H405">
        <v>0.7</v>
      </c>
      <c r="I405">
        <v>0.3</v>
      </c>
      <c r="J405">
        <v>0.58823526000000004</v>
      </c>
    </row>
    <row r="406" spans="1:10" x14ac:dyDescent="0.3">
      <c r="A406">
        <v>404</v>
      </c>
      <c r="B406">
        <v>6451</v>
      </c>
      <c r="C406" t="b">
        <v>1</v>
      </c>
      <c r="D406">
        <v>8048</v>
      </c>
      <c r="E406">
        <v>8123</v>
      </c>
      <c r="F406">
        <v>5.6</v>
      </c>
      <c r="G406">
        <v>8</v>
      </c>
      <c r="H406">
        <v>0.7</v>
      </c>
      <c r="I406">
        <v>0.3</v>
      </c>
      <c r="J406">
        <v>0.58823526000000004</v>
      </c>
    </row>
    <row r="407" spans="1:10" x14ac:dyDescent="0.3">
      <c r="A407">
        <v>405</v>
      </c>
      <c r="B407">
        <v>6467</v>
      </c>
      <c r="C407" t="b">
        <v>1</v>
      </c>
      <c r="D407">
        <v>8048</v>
      </c>
      <c r="E407">
        <v>8129</v>
      </c>
      <c r="F407">
        <v>5.6</v>
      </c>
      <c r="G407">
        <v>8</v>
      </c>
      <c r="H407">
        <v>0.7</v>
      </c>
      <c r="I407">
        <v>0.3</v>
      </c>
      <c r="J407">
        <v>0.58823526000000004</v>
      </c>
    </row>
    <row r="408" spans="1:10" x14ac:dyDescent="0.3">
      <c r="A408">
        <v>406</v>
      </c>
      <c r="B408">
        <v>6483</v>
      </c>
      <c r="C408" t="b">
        <v>1</v>
      </c>
      <c r="D408">
        <v>8042</v>
      </c>
      <c r="E408">
        <v>8123</v>
      </c>
      <c r="F408">
        <v>5.6</v>
      </c>
      <c r="G408">
        <v>8</v>
      </c>
      <c r="H408">
        <v>0.7</v>
      </c>
      <c r="I408">
        <v>0.3</v>
      </c>
      <c r="J408">
        <v>0.58823526000000004</v>
      </c>
    </row>
    <row r="409" spans="1:10" x14ac:dyDescent="0.3">
      <c r="A409">
        <v>407</v>
      </c>
      <c r="B409">
        <v>6499</v>
      </c>
      <c r="C409" t="b">
        <v>1</v>
      </c>
      <c r="D409">
        <v>8048</v>
      </c>
      <c r="E409">
        <v>8123</v>
      </c>
      <c r="F409">
        <v>5.6</v>
      </c>
      <c r="G409">
        <v>8</v>
      </c>
      <c r="H409">
        <v>0.7</v>
      </c>
      <c r="I409">
        <v>0.3</v>
      </c>
      <c r="J409">
        <v>0.58823526000000004</v>
      </c>
    </row>
    <row r="410" spans="1:10" x14ac:dyDescent="0.3">
      <c r="A410">
        <v>408</v>
      </c>
      <c r="B410">
        <v>6515</v>
      </c>
      <c r="C410" t="b">
        <v>1</v>
      </c>
      <c r="D410">
        <v>8048</v>
      </c>
      <c r="E410">
        <v>8123</v>
      </c>
      <c r="F410">
        <v>5.6</v>
      </c>
      <c r="G410">
        <v>8</v>
      </c>
      <c r="H410">
        <v>0.7</v>
      </c>
      <c r="I410">
        <v>0.3</v>
      </c>
      <c r="J410">
        <v>0.58823526000000004</v>
      </c>
    </row>
    <row r="411" spans="1:10" x14ac:dyDescent="0.3">
      <c r="A411">
        <v>409</v>
      </c>
      <c r="B411">
        <v>6531</v>
      </c>
      <c r="C411" t="b">
        <v>1</v>
      </c>
      <c r="D411">
        <v>8054</v>
      </c>
      <c r="E411">
        <v>8123</v>
      </c>
      <c r="F411">
        <v>5.6</v>
      </c>
      <c r="G411">
        <v>8</v>
      </c>
      <c r="H411">
        <v>0.7</v>
      </c>
      <c r="I411">
        <v>0.3</v>
      </c>
      <c r="J411">
        <v>0.58823526000000004</v>
      </c>
    </row>
    <row r="412" spans="1:10" x14ac:dyDescent="0.3">
      <c r="A412">
        <v>410</v>
      </c>
      <c r="B412">
        <v>6547</v>
      </c>
      <c r="C412" t="b">
        <v>1</v>
      </c>
      <c r="D412">
        <v>8048</v>
      </c>
      <c r="E412">
        <v>8123</v>
      </c>
      <c r="F412">
        <v>6</v>
      </c>
      <c r="G412">
        <v>8</v>
      </c>
      <c r="H412">
        <v>0.75</v>
      </c>
      <c r="I412">
        <v>0.25</v>
      </c>
      <c r="J412">
        <v>0.57142859999999995</v>
      </c>
    </row>
    <row r="413" spans="1:10" x14ac:dyDescent="0.3">
      <c r="A413">
        <v>411</v>
      </c>
      <c r="B413">
        <v>6562</v>
      </c>
      <c r="C413" t="b">
        <v>1</v>
      </c>
      <c r="D413">
        <v>8048</v>
      </c>
      <c r="E413">
        <v>8117</v>
      </c>
      <c r="F413">
        <v>6.4</v>
      </c>
      <c r="G413">
        <v>8</v>
      </c>
      <c r="H413">
        <v>0.8</v>
      </c>
      <c r="I413">
        <v>0.19999998999999999</v>
      </c>
      <c r="J413">
        <v>0.55555560000000004</v>
      </c>
    </row>
    <row r="414" spans="1:10" x14ac:dyDescent="0.3">
      <c r="A414">
        <v>412</v>
      </c>
      <c r="B414">
        <v>6578</v>
      </c>
      <c r="C414" t="b">
        <v>1</v>
      </c>
      <c r="D414">
        <v>8042</v>
      </c>
      <c r="E414">
        <v>8123</v>
      </c>
      <c r="F414">
        <v>6.8</v>
      </c>
      <c r="G414">
        <v>8</v>
      </c>
      <c r="H414">
        <v>0.85</v>
      </c>
      <c r="I414">
        <v>0.14999998</v>
      </c>
      <c r="J414">
        <v>0.54054049999999998</v>
      </c>
    </row>
    <row r="415" spans="1:10" x14ac:dyDescent="0.3">
      <c r="A415">
        <v>413</v>
      </c>
      <c r="B415">
        <v>6594</v>
      </c>
      <c r="C415" t="b">
        <v>1</v>
      </c>
      <c r="D415">
        <v>8042</v>
      </c>
      <c r="E415">
        <v>8117</v>
      </c>
      <c r="F415">
        <v>7.2</v>
      </c>
      <c r="G415">
        <v>8</v>
      </c>
      <c r="H415">
        <v>0.9</v>
      </c>
      <c r="I415">
        <v>0.10000002400000001</v>
      </c>
      <c r="J415">
        <v>0.5263158</v>
      </c>
    </row>
    <row r="416" spans="1:10" x14ac:dyDescent="0.3">
      <c r="A416">
        <v>414</v>
      </c>
      <c r="B416">
        <v>6610</v>
      </c>
      <c r="C416" t="b">
        <v>1</v>
      </c>
      <c r="D416">
        <v>8042</v>
      </c>
      <c r="E416">
        <v>8117</v>
      </c>
      <c r="F416">
        <v>7.2</v>
      </c>
      <c r="G416">
        <v>7.6</v>
      </c>
      <c r="H416">
        <v>0.9473684</v>
      </c>
      <c r="I416">
        <v>5.2631589999999999E-2</v>
      </c>
      <c r="J416">
        <v>0.51351349999999996</v>
      </c>
    </row>
    <row r="417" spans="1:10" x14ac:dyDescent="0.3">
      <c r="A417">
        <v>415</v>
      </c>
      <c r="B417">
        <v>6626</v>
      </c>
      <c r="C417" t="b">
        <v>1</v>
      </c>
      <c r="D417">
        <v>8048</v>
      </c>
      <c r="E417">
        <v>8117</v>
      </c>
      <c r="F417">
        <v>7.2</v>
      </c>
      <c r="G417">
        <v>7.2</v>
      </c>
      <c r="H417">
        <v>1</v>
      </c>
      <c r="I417">
        <v>0</v>
      </c>
      <c r="J417">
        <v>0.5</v>
      </c>
    </row>
    <row r="418" spans="1:10" x14ac:dyDescent="0.3">
      <c r="A418">
        <v>416</v>
      </c>
      <c r="B418">
        <v>6642</v>
      </c>
      <c r="C418" t="b">
        <v>1</v>
      </c>
      <c r="D418">
        <v>8042</v>
      </c>
      <c r="E418">
        <v>8117</v>
      </c>
      <c r="F418">
        <v>6.8</v>
      </c>
      <c r="G418">
        <v>6.8</v>
      </c>
      <c r="H418">
        <v>1</v>
      </c>
      <c r="I418">
        <v>0</v>
      </c>
      <c r="J418">
        <v>0.5</v>
      </c>
    </row>
    <row r="419" spans="1:10" x14ac:dyDescent="0.3">
      <c r="A419">
        <v>417</v>
      </c>
      <c r="B419">
        <v>6658</v>
      </c>
      <c r="C419" t="b">
        <v>1</v>
      </c>
      <c r="D419">
        <v>8048</v>
      </c>
      <c r="E419">
        <v>8117</v>
      </c>
      <c r="F419">
        <v>6.4</v>
      </c>
      <c r="G419">
        <v>6.4</v>
      </c>
      <c r="H419">
        <v>1</v>
      </c>
      <c r="I419">
        <v>0</v>
      </c>
      <c r="J419">
        <v>0.5</v>
      </c>
    </row>
    <row r="420" spans="1:10" x14ac:dyDescent="0.3">
      <c r="A420">
        <v>418</v>
      </c>
      <c r="B420">
        <v>6674</v>
      </c>
      <c r="C420" t="b">
        <v>1</v>
      </c>
      <c r="D420">
        <v>8048</v>
      </c>
      <c r="E420">
        <v>8117</v>
      </c>
      <c r="F420">
        <v>6.4</v>
      </c>
      <c r="G420">
        <v>6</v>
      </c>
      <c r="H420">
        <v>1.0666667000000001</v>
      </c>
      <c r="I420">
        <v>-6.6666685000000003E-2</v>
      </c>
      <c r="J420">
        <v>0.48387098000000001</v>
      </c>
    </row>
    <row r="421" spans="1:10" x14ac:dyDescent="0.3">
      <c r="A421">
        <v>419</v>
      </c>
      <c r="B421">
        <v>6689</v>
      </c>
      <c r="C421" t="b">
        <v>1</v>
      </c>
      <c r="D421">
        <v>8054</v>
      </c>
      <c r="E421">
        <v>8123</v>
      </c>
      <c r="F421">
        <v>6.4</v>
      </c>
      <c r="G421">
        <v>5.6</v>
      </c>
      <c r="H421">
        <v>1.1428571999999999</v>
      </c>
      <c r="I421">
        <v>-0.14285718</v>
      </c>
      <c r="J421">
        <v>0.46666667000000001</v>
      </c>
    </row>
    <row r="422" spans="1:10" x14ac:dyDescent="0.3">
      <c r="A422">
        <v>420</v>
      </c>
      <c r="B422">
        <v>6705</v>
      </c>
      <c r="C422" t="b">
        <v>1</v>
      </c>
      <c r="D422">
        <v>8048</v>
      </c>
      <c r="E422">
        <v>8123</v>
      </c>
      <c r="F422">
        <v>6.4</v>
      </c>
      <c r="G422">
        <v>5.2</v>
      </c>
      <c r="H422">
        <v>1.2307693</v>
      </c>
      <c r="I422">
        <v>-0.23076928999999999</v>
      </c>
      <c r="J422">
        <v>0.44827582999999999</v>
      </c>
    </row>
    <row r="423" spans="1:10" x14ac:dyDescent="0.3">
      <c r="A423">
        <v>421</v>
      </c>
      <c r="B423">
        <v>6721</v>
      </c>
      <c r="C423" t="b">
        <v>1</v>
      </c>
      <c r="D423">
        <v>8048</v>
      </c>
      <c r="E423">
        <v>8129</v>
      </c>
      <c r="F423">
        <v>6.4</v>
      </c>
      <c r="G423">
        <v>5.2</v>
      </c>
      <c r="H423">
        <v>1.2307693</v>
      </c>
      <c r="I423">
        <v>-0.23076928999999999</v>
      </c>
      <c r="J423">
        <v>0.44827582999999999</v>
      </c>
    </row>
    <row r="424" spans="1:10" x14ac:dyDescent="0.3">
      <c r="A424">
        <v>422</v>
      </c>
      <c r="B424">
        <v>6737</v>
      </c>
      <c r="C424" t="b">
        <v>1</v>
      </c>
      <c r="D424">
        <v>8048</v>
      </c>
      <c r="E424">
        <v>8129</v>
      </c>
      <c r="F424">
        <v>6.4</v>
      </c>
      <c r="G424">
        <v>5.2</v>
      </c>
      <c r="H424">
        <v>1.2307693</v>
      </c>
      <c r="I424">
        <v>-0.23076928999999999</v>
      </c>
      <c r="J424">
        <v>0.44827582999999999</v>
      </c>
    </row>
    <row r="425" spans="1:10" x14ac:dyDescent="0.3">
      <c r="A425">
        <v>423</v>
      </c>
      <c r="B425">
        <v>6753</v>
      </c>
      <c r="C425" t="b">
        <v>1</v>
      </c>
      <c r="D425">
        <v>8048</v>
      </c>
      <c r="E425">
        <v>8129</v>
      </c>
      <c r="F425">
        <v>6.4</v>
      </c>
      <c r="G425">
        <v>5.6</v>
      </c>
      <c r="H425">
        <v>1.1428571999999999</v>
      </c>
      <c r="I425">
        <v>-0.14285718</v>
      </c>
      <c r="J425">
        <v>0.46666667000000001</v>
      </c>
    </row>
    <row r="426" spans="1:10" x14ac:dyDescent="0.3">
      <c r="A426">
        <v>424</v>
      </c>
      <c r="B426">
        <v>6768</v>
      </c>
      <c r="C426" t="b">
        <v>1</v>
      </c>
      <c r="D426">
        <v>8048</v>
      </c>
      <c r="E426">
        <v>8129</v>
      </c>
      <c r="F426">
        <v>6.4</v>
      </c>
      <c r="G426">
        <v>6</v>
      </c>
      <c r="H426">
        <v>1.0666667000000001</v>
      </c>
      <c r="I426">
        <v>-6.6666685000000003E-2</v>
      </c>
      <c r="J426">
        <v>0.48387098000000001</v>
      </c>
    </row>
    <row r="427" spans="1:10" x14ac:dyDescent="0.3">
      <c r="A427">
        <v>425</v>
      </c>
      <c r="B427">
        <v>6784</v>
      </c>
      <c r="C427" t="b">
        <v>1</v>
      </c>
      <c r="D427">
        <v>8048</v>
      </c>
      <c r="E427">
        <v>8123</v>
      </c>
      <c r="F427">
        <v>6.4</v>
      </c>
      <c r="G427">
        <v>6.4</v>
      </c>
      <c r="H427">
        <v>1</v>
      </c>
      <c r="I427">
        <v>0</v>
      </c>
      <c r="J427">
        <v>0.5</v>
      </c>
    </row>
    <row r="428" spans="1:10" x14ac:dyDescent="0.3">
      <c r="A428">
        <v>426</v>
      </c>
      <c r="B428">
        <v>6800</v>
      </c>
      <c r="C428" t="b">
        <v>1</v>
      </c>
      <c r="D428">
        <v>8054</v>
      </c>
      <c r="E428">
        <v>8123</v>
      </c>
      <c r="F428">
        <v>6.4</v>
      </c>
      <c r="G428">
        <v>6.8</v>
      </c>
      <c r="H428">
        <v>0.94117649999999997</v>
      </c>
      <c r="I428">
        <v>5.8823540000000001E-2</v>
      </c>
      <c r="J428">
        <v>0.51515149999999998</v>
      </c>
    </row>
    <row r="429" spans="1:10" x14ac:dyDescent="0.3">
      <c r="A429">
        <v>427</v>
      </c>
      <c r="B429">
        <v>6816</v>
      </c>
      <c r="C429" t="b">
        <v>1</v>
      </c>
      <c r="D429">
        <v>8054</v>
      </c>
      <c r="E429">
        <v>8123</v>
      </c>
      <c r="F429">
        <v>6.4</v>
      </c>
      <c r="G429">
        <v>6.8</v>
      </c>
      <c r="H429">
        <v>0.94117649999999997</v>
      </c>
      <c r="I429">
        <v>5.8823540000000001E-2</v>
      </c>
      <c r="J429">
        <v>0.51515149999999998</v>
      </c>
    </row>
    <row r="430" spans="1:10" x14ac:dyDescent="0.3">
      <c r="A430">
        <v>428</v>
      </c>
      <c r="B430">
        <v>6832</v>
      </c>
      <c r="C430" t="b">
        <v>1</v>
      </c>
      <c r="D430">
        <v>8054</v>
      </c>
      <c r="E430">
        <v>8123</v>
      </c>
      <c r="F430">
        <v>6.8</v>
      </c>
      <c r="G430">
        <v>6.8</v>
      </c>
      <c r="H430">
        <v>1</v>
      </c>
      <c r="I430">
        <v>0</v>
      </c>
      <c r="J430">
        <v>0.5</v>
      </c>
    </row>
    <row r="431" spans="1:10" x14ac:dyDescent="0.3">
      <c r="A431">
        <v>429</v>
      </c>
      <c r="B431">
        <v>6848</v>
      </c>
      <c r="C431" t="b">
        <v>1</v>
      </c>
      <c r="D431">
        <v>8054</v>
      </c>
      <c r="E431">
        <v>8123</v>
      </c>
      <c r="F431">
        <v>7.6</v>
      </c>
      <c r="G431">
        <v>7.2</v>
      </c>
      <c r="H431">
        <v>1.0555555999999999</v>
      </c>
      <c r="I431">
        <v>-5.5555569999999999E-2</v>
      </c>
      <c r="J431">
        <v>0.48648649999999999</v>
      </c>
    </row>
    <row r="432" spans="1:10" x14ac:dyDescent="0.3">
      <c r="A432">
        <v>430</v>
      </c>
      <c r="B432">
        <v>6864</v>
      </c>
      <c r="C432" t="b">
        <v>1</v>
      </c>
      <c r="D432">
        <v>8048</v>
      </c>
      <c r="E432">
        <v>8117</v>
      </c>
      <c r="F432">
        <v>8.4</v>
      </c>
      <c r="G432">
        <v>7.6</v>
      </c>
      <c r="H432">
        <v>1.1052630999999999</v>
      </c>
      <c r="I432">
        <v>-0.10526312</v>
      </c>
      <c r="J432">
        <v>0.47499999999999998</v>
      </c>
    </row>
    <row r="433" spans="1:10" x14ac:dyDescent="0.3">
      <c r="A433">
        <v>431</v>
      </c>
      <c r="B433">
        <v>6879</v>
      </c>
      <c r="C433" t="b">
        <v>1</v>
      </c>
      <c r="D433">
        <v>8048</v>
      </c>
      <c r="E433">
        <v>8123</v>
      </c>
      <c r="F433">
        <v>9.1999999999999993</v>
      </c>
      <c r="G433">
        <v>8</v>
      </c>
      <c r="H433">
        <v>1.1499999999999999</v>
      </c>
      <c r="I433">
        <v>-0.14999998</v>
      </c>
      <c r="J433">
        <v>0.46511626</v>
      </c>
    </row>
    <row r="434" spans="1:10" x14ac:dyDescent="0.3">
      <c r="A434">
        <v>432</v>
      </c>
      <c r="B434">
        <v>6895</v>
      </c>
      <c r="C434" t="b">
        <v>1</v>
      </c>
      <c r="D434">
        <v>8048</v>
      </c>
      <c r="E434">
        <v>8123</v>
      </c>
      <c r="F434">
        <v>9.6</v>
      </c>
      <c r="G434">
        <v>8.4</v>
      </c>
      <c r="H434">
        <v>1.1428571999999999</v>
      </c>
      <c r="I434">
        <v>-0.14285724</v>
      </c>
      <c r="J434">
        <v>0.46666664000000002</v>
      </c>
    </row>
    <row r="435" spans="1:10" x14ac:dyDescent="0.3">
      <c r="A435">
        <v>433</v>
      </c>
      <c r="B435">
        <v>6911</v>
      </c>
      <c r="C435" t="b">
        <v>1</v>
      </c>
      <c r="D435">
        <v>8048</v>
      </c>
      <c r="E435">
        <v>8129</v>
      </c>
      <c r="F435">
        <v>9.6</v>
      </c>
      <c r="G435">
        <v>8.8000000000000007</v>
      </c>
      <c r="H435">
        <v>1.0909091</v>
      </c>
      <c r="I435">
        <v>-9.0909110000000001E-2</v>
      </c>
      <c r="J435">
        <v>0.47826084000000002</v>
      </c>
    </row>
    <row r="436" spans="1:10" x14ac:dyDescent="0.3">
      <c r="A436">
        <v>434</v>
      </c>
      <c r="B436">
        <v>6927</v>
      </c>
      <c r="C436" t="b">
        <v>1</v>
      </c>
      <c r="D436">
        <v>8048</v>
      </c>
      <c r="E436">
        <v>8129</v>
      </c>
      <c r="F436">
        <v>9.6</v>
      </c>
      <c r="G436">
        <v>9.1999999999999993</v>
      </c>
      <c r="H436">
        <v>1.0434783999999999</v>
      </c>
      <c r="I436">
        <v>-4.3478324999999998E-2</v>
      </c>
      <c r="J436">
        <v>0.48936170000000001</v>
      </c>
    </row>
    <row r="437" spans="1:10" x14ac:dyDescent="0.3">
      <c r="A437">
        <v>435</v>
      </c>
      <c r="B437">
        <v>6943</v>
      </c>
      <c r="C437" t="b">
        <v>1</v>
      </c>
      <c r="D437">
        <v>8042</v>
      </c>
      <c r="E437">
        <v>8129</v>
      </c>
      <c r="F437">
        <v>9.6</v>
      </c>
      <c r="G437">
        <v>10</v>
      </c>
      <c r="H437">
        <v>0.96000004000000005</v>
      </c>
      <c r="I437">
        <v>3.9999960000000001E-2</v>
      </c>
      <c r="J437">
        <v>0.51020410000000005</v>
      </c>
    </row>
    <row r="438" spans="1:10" x14ac:dyDescent="0.3">
      <c r="A438">
        <v>436</v>
      </c>
      <c r="B438">
        <v>6959</v>
      </c>
      <c r="C438" t="b">
        <v>1</v>
      </c>
      <c r="D438">
        <v>8048</v>
      </c>
      <c r="E438">
        <v>8129</v>
      </c>
      <c r="F438">
        <v>9.6</v>
      </c>
      <c r="G438">
        <v>10.4</v>
      </c>
      <c r="H438">
        <v>0.92307700000000004</v>
      </c>
      <c r="I438">
        <v>7.6923005000000003E-2</v>
      </c>
      <c r="J438">
        <v>0.52</v>
      </c>
    </row>
    <row r="439" spans="1:10" x14ac:dyDescent="0.3">
      <c r="A439">
        <v>437</v>
      </c>
      <c r="B439">
        <v>6975</v>
      </c>
      <c r="C439" t="b">
        <v>1</v>
      </c>
      <c r="D439">
        <v>8048</v>
      </c>
      <c r="E439">
        <v>8129</v>
      </c>
      <c r="F439">
        <v>9.6</v>
      </c>
      <c r="G439">
        <v>10.8</v>
      </c>
      <c r="H439">
        <v>0.88888889999999998</v>
      </c>
      <c r="I439">
        <v>0.11111109</v>
      </c>
      <c r="J439">
        <v>0.52941172999999997</v>
      </c>
    </row>
    <row r="440" spans="1:10" x14ac:dyDescent="0.3">
      <c r="A440">
        <v>438</v>
      </c>
      <c r="B440">
        <v>6991</v>
      </c>
      <c r="C440" t="b">
        <v>1</v>
      </c>
      <c r="D440">
        <v>8048</v>
      </c>
      <c r="E440">
        <v>8117</v>
      </c>
      <c r="F440">
        <v>9.6</v>
      </c>
      <c r="G440">
        <v>10.8</v>
      </c>
      <c r="H440">
        <v>0.88888889999999998</v>
      </c>
      <c r="I440">
        <v>0.11111109</v>
      </c>
      <c r="J440">
        <v>0.52941172999999997</v>
      </c>
    </row>
    <row r="441" spans="1:10" x14ac:dyDescent="0.3">
      <c r="A441">
        <v>439</v>
      </c>
      <c r="B441">
        <v>7006</v>
      </c>
      <c r="C441" t="b">
        <v>1</v>
      </c>
      <c r="D441">
        <v>8048</v>
      </c>
      <c r="E441">
        <v>8123</v>
      </c>
      <c r="F441">
        <v>9.6</v>
      </c>
      <c r="G441">
        <v>10.8</v>
      </c>
      <c r="H441">
        <v>0.88888889999999998</v>
      </c>
      <c r="I441">
        <v>0.11111109</v>
      </c>
      <c r="J441">
        <v>0.52941172999999997</v>
      </c>
    </row>
    <row r="442" spans="1:10" x14ac:dyDescent="0.3">
      <c r="A442">
        <v>440</v>
      </c>
      <c r="B442">
        <v>7022</v>
      </c>
      <c r="C442" t="b">
        <v>1</v>
      </c>
      <c r="D442">
        <v>8054</v>
      </c>
      <c r="E442">
        <v>8117</v>
      </c>
      <c r="F442">
        <v>9.6</v>
      </c>
      <c r="G442">
        <v>10.4</v>
      </c>
      <c r="H442">
        <v>0.92307700000000004</v>
      </c>
      <c r="I442">
        <v>7.6923005000000003E-2</v>
      </c>
      <c r="J442">
        <v>0.52</v>
      </c>
    </row>
    <row r="443" spans="1:10" x14ac:dyDescent="0.3">
      <c r="A443">
        <v>441</v>
      </c>
      <c r="B443">
        <v>7038</v>
      </c>
      <c r="C443" t="b">
        <v>1</v>
      </c>
      <c r="D443">
        <v>8054</v>
      </c>
      <c r="E443">
        <v>8123</v>
      </c>
      <c r="F443">
        <v>9.6</v>
      </c>
      <c r="G443">
        <v>10</v>
      </c>
      <c r="H443">
        <v>0.96000004000000005</v>
      </c>
      <c r="I443">
        <v>3.9999960000000001E-2</v>
      </c>
      <c r="J443">
        <v>0.51020410000000005</v>
      </c>
    </row>
    <row r="444" spans="1:10" x14ac:dyDescent="0.3">
      <c r="A444">
        <v>442</v>
      </c>
      <c r="B444">
        <v>7054</v>
      </c>
      <c r="C444" t="b">
        <v>1</v>
      </c>
      <c r="D444">
        <v>8048</v>
      </c>
      <c r="E444">
        <v>8123</v>
      </c>
      <c r="F444">
        <v>9.6</v>
      </c>
      <c r="G444">
        <v>10</v>
      </c>
      <c r="H444">
        <v>0.96000004000000005</v>
      </c>
      <c r="I444">
        <v>3.9999960000000001E-2</v>
      </c>
      <c r="J444">
        <v>0.51020410000000005</v>
      </c>
    </row>
    <row r="445" spans="1:10" x14ac:dyDescent="0.3">
      <c r="A445">
        <v>443</v>
      </c>
      <c r="B445">
        <v>7070</v>
      </c>
      <c r="C445" t="b">
        <v>1</v>
      </c>
      <c r="D445">
        <v>8048</v>
      </c>
      <c r="E445">
        <v>8123</v>
      </c>
      <c r="F445">
        <v>9.1999999999999993</v>
      </c>
      <c r="G445">
        <v>10</v>
      </c>
      <c r="H445">
        <v>0.91999995999999995</v>
      </c>
      <c r="I445">
        <v>8.0000020000000005E-2</v>
      </c>
      <c r="J445">
        <v>0.52083330000000005</v>
      </c>
    </row>
    <row r="446" spans="1:10" x14ac:dyDescent="0.3">
      <c r="A446">
        <v>444</v>
      </c>
      <c r="B446">
        <v>7086</v>
      </c>
      <c r="C446" t="b">
        <v>1</v>
      </c>
      <c r="D446">
        <v>8048</v>
      </c>
      <c r="E446">
        <v>8123</v>
      </c>
      <c r="F446">
        <v>8.8000000000000007</v>
      </c>
      <c r="G446">
        <v>10</v>
      </c>
      <c r="H446">
        <v>0.88</v>
      </c>
      <c r="I446">
        <v>0.11999998000000001</v>
      </c>
      <c r="J446">
        <v>0.53191489999999997</v>
      </c>
    </row>
    <row r="447" spans="1:10" x14ac:dyDescent="0.3">
      <c r="A447">
        <v>445</v>
      </c>
      <c r="B447">
        <v>7102</v>
      </c>
      <c r="C447" t="b">
        <v>1</v>
      </c>
      <c r="D447">
        <v>8048</v>
      </c>
      <c r="E447">
        <v>8117</v>
      </c>
      <c r="F447">
        <v>8.4</v>
      </c>
      <c r="G447">
        <v>10</v>
      </c>
      <c r="H447">
        <v>0.84</v>
      </c>
      <c r="I447">
        <v>0.16000004000000001</v>
      </c>
      <c r="J447">
        <v>0.54347825000000005</v>
      </c>
    </row>
    <row r="448" spans="1:10" x14ac:dyDescent="0.3">
      <c r="A448">
        <v>446</v>
      </c>
      <c r="B448">
        <v>7117</v>
      </c>
      <c r="C448" t="b">
        <v>1</v>
      </c>
      <c r="D448">
        <v>8048</v>
      </c>
      <c r="E448">
        <v>8123</v>
      </c>
      <c r="F448">
        <v>8</v>
      </c>
      <c r="G448">
        <v>10</v>
      </c>
      <c r="H448">
        <v>0.8</v>
      </c>
      <c r="I448">
        <v>0.2</v>
      </c>
      <c r="J448">
        <v>0.55555560000000004</v>
      </c>
    </row>
    <row r="449" spans="1:10" x14ac:dyDescent="0.3">
      <c r="A449">
        <v>447</v>
      </c>
      <c r="B449">
        <v>7133</v>
      </c>
      <c r="C449" t="b">
        <v>1</v>
      </c>
      <c r="D449">
        <v>8048</v>
      </c>
      <c r="E449">
        <v>8129</v>
      </c>
      <c r="F449">
        <v>8</v>
      </c>
      <c r="G449">
        <v>10</v>
      </c>
      <c r="H449">
        <v>0.8</v>
      </c>
      <c r="I449">
        <v>0.2</v>
      </c>
      <c r="J449">
        <v>0.55555560000000004</v>
      </c>
    </row>
    <row r="450" spans="1:10" x14ac:dyDescent="0.3">
      <c r="A450">
        <v>448</v>
      </c>
      <c r="B450">
        <v>7149</v>
      </c>
      <c r="C450" t="b">
        <v>1</v>
      </c>
      <c r="D450">
        <v>8048</v>
      </c>
      <c r="E450">
        <v>8123</v>
      </c>
      <c r="F450">
        <v>8</v>
      </c>
      <c r="G450">
        <v>10</v>
      </c>
      <c r="H450">
        <v>0.8</v>
      </c>
      <c r="I450">
        <v>0.2</v>
      </c>
      <c r="J450">
        <v>0.55555560000000004</v>
      </c>
    </row>
    <row r="451" spans="1:10" x14ac:dyDescent="0.3">
      <c r="A451">
        <v>449</v>
      </c>
      <c r="B451">
        <v>7165</v>
      </c>
      <c r="C451" t="b">
        <v>1</v>
      </c>
      <c r="D451">
        <v>8042</v>
      </c>
      <c r="E451">
        <v>8123</v>
      </c>
      <c r="F451">
        <v>8</v>
      </c>
      <c r="G451">
        <v>10</v>
      </c>
      <c r="H451">
        <v>0.8</v>
      </c>
      <c r="I451">
        <v>0.2</v>
      </c>
      <c r="J451">
        <v>0.55555560000000004</v>
      </c>
    </row>
    <row r="452" spans="1:10" x14ac:dyDescent="0.3">
      <c r="A452">
        <v>450</v>
      </c>
      <c r="B452">
        <v>7181</v>
      </c>
      <c r="C452" t="b">
        <v>1</v>
      </c>
      <c r="D452">
        <v>8042</v>
      </c>
      <c r="E452">
        <v>8123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7197</v>
      </c>
      <c r="C453" t="b">
        <v>1</v>
      </c>
      <c r="D453">
        <v>8042</v>
      </c>
      <c r="E453">
        <v>8123</v>
      </c>
      <c r="F453">
        <v>7.6</v>
      </c>
      <c r="G453">
        <v>9.1999999999999993</v>
      </c>
      <c r="H453">
        <v>0.82608694000000005</v>
      </c>
      <c r="I453">
        <v>0.17391303</v>
      </c>
      <c r="J453">
        <v>0.54761903999999995</v>
      </c>
    </row>
    <row r="454" spans="1:10" x14ac:dyDescent="0.3">
      <c r="A454">
        <v>452</v>
      </c>
      <c r="B454">
        <v>7212</v>
      </c>
      <c r="C454" t="b">
        <v>1</v>
      </c>
      <c r="D454">
        <v>8042</v>
      </c>
      <c r="E454">
        <v>8117</v>
      </c>
      <c r="F454">
        <v>7.2</v>
      </c>
      <c r="G454">
        <v>8.8000000000000007</v>
      </c>
      <c r="H454">
        <v>0.81818175000000004</v>
      </c>
      <c r="I454">
        <v>0.18181822</v>
      </c>
      <c r="J454">
        <v>0.55000000000000004</v>
      </c>
    </row>
    <row r="455" spans="1:10" x14ac:dyDescent="0.3">
      <c r="A455">
        <v>453</v>
      </c>
      <c r="B455">
        <v>7228</v>
      </c>
      <c r="C455" t="b">
        <v>1</v>
      </c>
      <c r="D455">
        <v>8042</v>
      </c>
      <c r="E455">
        <v>8123</v>
      </c>
      <c r="F455">
        <v>6.8</v>
      </c>
      <c r="G455">
        <v>8.4</v>
      </c>
      <c r="H455">
        <v>0.80952389999999996</v>
      </c>
      <c r="I455">
        <v>0.19047612999999999</v>
      </c>
      <c r="J455">
        <v>0.55263156000000002</v>
      </c>
    </row>
    <row r="456" spans="1:10" x14ac:dyDescent="0.3">
      <c r="A456">
        <v>454</v>
      </c>
      <c r="B456">
        <v>7244</v>
      </c>
      <c r="C456" t="b">
        <v>1</v>
      </c>
      <c r="D456">
        <v>8042</v>
      </c>
      <c r="E456">
        <v>8123</v>
      </c>
      <c r="F456">
        <v>6.4</v>
      </c>
      <c r="G456">
        <v>8</v>
      </c>
      <c r="H456">
        <v>0.8</v>
      </c>
      <c r="I456">
        <v>0.19999998999999999</v>
      </c>
      <c r="J456">
        <v>0.55555560000000004</v>
      </c>
    </row>
    <row r="457" spans="1:10" x14ac:dyDescent="0.3">
      <c r="A457">
        <v>455</v>
      </c>
      <c r="B457">
        <v>7260</v>
      </c>
      <c r="C457" t="b">
        <v>1</v>
      </c>
      <c r="D457">
        <v>8042</v>
      </c>
      <c r="E457">
        <v>8117</v>
      </c>
      <c r="F457">
        <v>6</v>
      </c>
      <c r="G457">
        <v>8</v>
      </c>
      <c r="H457">
        <v>0.75</v>
      </c>
      <c r="I457">
        <v>0.25</v>
      </c>
      <c r="J457">
        <v>0.57142859999999995</v>
      </c>
    </row>
    <row r="458" spans="1:10" x14ac:dyDescent="0.3">
      <c r="A458">
        <v>456</v>
      </c>
      <c r="B458">
        <v>7276</v>
      </c>
      <c r="C458" t="b">
        <v>1</v>
      </c>
      <c r="D458">
        <v>8042</v>
      </c>
      <c r="E458">
        <v>8123</v>
      </c>
      <c r="F458">
        <v>5.6</v>
      </c>
      <c r="G458">
        <v>8</v>
      </c>
      <c r="H458">
        <v>0.7</v>
      </c>
      <c r="I458">
        <v>0.3</v>
      </c>
      <c r="J458">
        <v>0.58823526000000004</v>
      </c>
    </row>
    <row r="459" spans="1:10" x14ac:dyDescent="0.3">
      <c r="A459">
        <v>457</v>
      </c>
      <c r="B459">
        <v>7292</v>
      </c>
      <c r="C459" t="b">
        <v>1</v>
      </c>
      <c r="D459">
        <v>8048</v>
      </c>
      <c r="E459">
        <v>8117</v>
      </c>
      <c r="F459">
        <v>5.2</v>
      </c>
      <c r="G459">
        <v>8</v>
      </c>
      <c r="H459">
        <v>0.65</v>
      </c>
      <c r="I459">
        <v>0.35000002000000002</v>
      </c>
      <c r="J459">
        <v>0.60606059999999995</v>
      </c>
    </row>
    <row r="460" spans="1:10" x14ac:dyDescent="0.3">
      <c r="A460">
        <v>458</v>
      </c>
      <c r="B460">
        <v>7307</v>
      </c>
      <c r="C460" t="b">
        <v>1</v>
      </c>
      <c r="D460">
        <v>8042</v>
      </c>
      <c r="E460">
        <v>8111</v>
      </c>
      <c r="F460">
        <v>4.8</v>
      </c>
      <c r="G460">
        <v>7.6</v>
      </c>
      <c r="H460">
        <v>0.631579</v>
      </c>
      <c r="I460">
        <v>0.36842101999999999</v>
      </c>
      <c r="J460">
        <v>0.61290323999999996</v>
      </c>
    </row>
    <row r="461" spans="1:10" x14ac:dyDescent="0.3">
      <c r="A461">
        <v>459</v>
      </c>
      <c r="B461">
        <v>7323</v>
      </c>
      <c r="C461" t="b">
        <v>1</v>
      </c>
      <c r="D461">
        <v>8048</v>
      </c>
      <c r="E461">
        <v>8117</v>
      </c>
      <c r="F461">
        <v>4.4000000000000004</v>
      </c>
      <c r="G461">
        <v>7.2</v>
      </c>
      <c r="H461">
        <v>0.61111115999999999</v>
      </c>
      <c r="I461">
        <v>0.38888887</v>
      </c>
      <c r="J461">
        <v>0.62068962999999999</v>
      </c>
    </row>
    <row r="462" spans="1:10" x14ac:dyDescent="0.3">
      <c r="A462">
        <v>460</v>
      </c>
      <c r="B462">
        <v>7339</v>
      </c>
      <c r="C462" t="b">
        <v>1</v>
      </c>
      <c r="D462">
        <v>8048</v>
      </c>
      <c r="E462">
        <v>8111</v>
      </c>
      <c r="F462">
        <v>4.4000000000000004</v>
      </c>
      <c r="G462">
        <v>6.8</v>
      </c>
      <c r="H462">
        <v>0.64705884000000002</v>
      </c>
      <c r="I462">
        <v>0.35294120000000001</v>
      </c>
      <c r="J462">
        <v>0.60714279999999998</v>
      </c>
    </row>
    <row r="463" spans="1:10" x14ac:dyDescent="0.3">
      <c r="A463">
        <v>461</v>
      </c>
      <c r="B463">
        <v>7355</v>
      </c>
      <c r="C463" t="b">
        <v>1</v>
      </c>
      <c r="D463">
        <v>8048</v>
      </c>
      <c r="E463">
        <v>8117</v>
      </c>
      <c r="F463">
        <v>4.4000000000000004</v>
      </c>
      <c r="G463">
        <v>6.4</v>
      </c>
      <c r="H463">
        <v>0.6875</v>
      </c>
      <c r="I463">
        <v>0.3125</v>
      </c>
      <c r="J463">
        <v>0.59259260000000002</v>
      </c>
    </row>
    <row r="464" spans="1:10" x14ac:dyDescent="0.3">
      <c r="A464">
        <v>462</v>
      </c>
      <c r="B464">
        <v>7371</v>
      </c>
      <c r="C464" t="b">
        <v>1</v>
      </c>
      <c r="D464">
        <v>8048</v>
      </c>
      <c r="E464">
        <v>8117</v>
      </c>
      <c r="F464">
        <v>4.4000000000000004</v>
      </c>
      <c r="G464">
        <v>6</v>
      </c>
      <c r="H464">
        <v>0.73333334999999999</v>
      </c>
      <c r="I464">
        <v>0.26666665000000001</v>
      </c>
      <c r="J464">
        <v>0.57692310000000002</v>
      </c>
    </row>
    <row r="465" spans="1:10" x14ac:dyDescent="0.3">
      <c r="A465">
        <v>463</v>
      </c>
      <c r="B465">
        <v>7386</v>
      </c>
      <c r="C465" t="b">
        <v>1</v>
      </c>
      <c r="D465">
        <v>8048</v>
      </c>
      <c r="E465">
        <v>8129</v>
      </c>
      <c r="F465">
        <v>4.4000000000000004</v>
      </c>
      <c r="G465">
        <v>5.6</v>
      </c>
      <c r="H465">
        <v>0.78571429999999998</v>
      </c>
      <c r="I465">
        <v>0.21428569</v>
      </c>
      <c r="J465">
        <v>0.56000000000000005</v>
      </c>
    </row>
    <row r="466" spans="1:10" x14ac:dyDescent="0.3">
      <c r="A466">
        <v>464</v>
      </c>
      <c r="B466">
        <v>7403</v>
      </c>
      <c r="C466" t="b">
        <v>1</v>
      </c>
      <c r="D466">
        <v>8054</v>
      </c>
      <c r="E466">
        <v>8129</v>
      </c>
      <c r="F466">
        <v>4.4000000000000004</v>
      </c>
      <c r="G466">
        <v>5.2</v>
      </c>
      <c r="H466">
        <v>0.84615390000000001</v>
      </c>
      <c r="I466">
        <v>0.15384610000000001</v>
      </c>
      <c r="J466">
        <v>0.5416666</v>
      </c>
    </row>
    <row r="467" spans="1:10" x14ac:dyDescent="0.3">
      <c r="A467">
        <v>465</v>
      </c>
      <c r="B467">
        <v>7418</v>
      </c>
      <c r="C467" t="b">
        <v>1</v>
      </c>
      <c r="D467">
        <v>8048</v>
      </c>
      <c r="E467">
        <v>8129</v>
      </c>
      <c r="F467">
        <v>4.4000000000000004</v>
      </c>
      <c r="G467">
        <v>5.6</v>
      </c>
      <c r="H467">
        <v>0.78571429999999998</v>
      </c>
      <c r="I467">
        <v>0.21428569</v>
      </c>
      <c r="J467">
        <v>0.56000000000000005</v>
      </c>
    </row>
    <row r="468" spans="1:10" x14ac:dyDescent="0.3">
      <c r="A468">
        <v>466</v>
      </c>
      <c r="B468">
        <v>7434</v>
      </c>
      <c r="C468" t="b">
        <v>1</v>
      </c>
      <c r="D468">
        <v>8048</v>
      </c>
      <c r="E468">
        <v>8123</v>
      </c>
      <c r="F468">
        <v>4.8</v>
      </c>
      <c r="G468">
        <v>6</v>
      </c>
      <c r="H468">
        <v>0.8</v>
      </c>
      <c r="I468">
        <v>0.19999997</v>
      </c>
      <c r="J468">
        <v>0.55555549999999998</v>
      </c>
    </row>
    <row r="469" spans="1:10" x14ac:dyDescent="0.3">
      <c r="A469">
        <v>467</v>
      </c>
      <c r="B469">
        <v>7450</v>
      </c>
      <c r="C469" t="b">
        <v>1</v>
      </c>
      <c r="D469">
        <v>8054</v>
      </c>
      <c r="E469">
        <v>8129</v>
      </c>
      <c r="F469">
        <v>5.2</v>
      </c>
      <c r="G469">
        <v>6.4</v>
      </c>
      <c r="H469">
        <v>0.81249994000000003</v>
      </c>
      <c r="I469">
        <v>0.18750004000000001</v>
      </c>
      <c r="J469">
        <v>0.55172414000000003</v>
      </c>
    </row>
    <row r="470" spans="1:10" x14ac:dyDescent="0.3">
      <c r="A470">
        <v>468</v>
      </c>
      <c r="B470">
        <v>7466</v>
      </c>
      <c r="C470" t="b">
        <v>1</v>
      </c>
      <c r="D470">
        <v>8048</v>
      </c>
      <c r="E470">
        <v>8129</v>
      </c>
      <c r="F470">
        <v>5.6</v>
      </c>
      <c r="G470">
        <v>6.8</v>
      </c>
      <c r="H470">
        <v>0.82352935999999999</v>
      </c>
      <c r="I470">
        <v>0.17647061999999999</v>
      </c>
      <c r="J470">
        <v>0.54838710000000002</v>
      </c>
    </row>
    <row r="471" spans="1:10" x14ac:dyDescent="0.3">
      <c r="A471">
        <v>469</v>
      </c>
      <c r="B471">
        <v>7481</v>
      </c>
      <c r="C471" t="b">
        <v>1</v>
      </c>
      <c r="D471">
        <v>8048</v>
      </c>
      <c r="E471">
        <v>8123</v>
      </c>
      <c r="F471">
        <v>6</v>
      </c>
      <c r="G471">
        <v>7.2</v>
      </c>
      <c r="H471">
        <v>0.8333334</v>
      </c>
      <c r="I471">
        <v>0.16666664</v>
      </c>
      <c r="J471">
        <v>0.54545456000000003</v>
      </c>
    </row>
    <row r="472" spans="1:10" x14ac:dyDescent="0.3">
      <c r="A472">
        <v>470</v>
      </c>
      <c r="B472">
        <v>7497</v>
      </c>
      <c r="C472" t="b">
        <v>1</v>
      </c>
      <c r="D472">
        <v>8048</v>
      </c>
      <c r="E472">
        <v>8123</v>
      </c>
      <c r="F472">
        <v>6.4</v>
      </c>
      <c r="G472">
        <v>7.2</v>
      </c>
      <c r="H472">
        <v>0.88888895999999995</v>
      </c>
      <c r="I472">
        <v>0.111111075</v>
      </c>
      <c r="J472">
        <v>0.52941172999999997</v>
      </c>
    </row>
    <row r="473" spans="1:10" x14ac:dyDescent="0.3">
      <c r="A473">
        <v>471</v>
      </c>
      <c r="B473">
        <v>7513</v>
      </c>
      <c r="C473" t="b">
        <v>1</v>
      </c>
      <c r="D473">
        <v>8048</v>
      </c>
      <c r="E473">
        <v>8117</v>
      </c>
      <c r="F473">
        <v>6.8</v>
      </c>
      <c r="G473">
        <v>7.2</v>
      </c>
      <c r="H473">
        <v>0.94444450000000002</v>
      </c>
      <c r="I473">
        <v>5.5555503999999999E-2</v>
      </c>
      <c r="J473">
        <v>0.51428569999999996</v>
      </c>
    </row>
    <row r="474" spans="1:10" x14ac:dyDescent="0.3">
      <c r="A474">
        <v>472</v>
      </c>
      <c r="B474">
        <v>7529</v>
      </c>
      <c r="C474" t="b">
        <v>1</v>
      </c>
      <c r="D474">
        <v>8054</v>
      </c>
      <c r="E474">
        <v>8129</v>
      </c>
      <c r="F474">
        <v>7.2</v>
      </c>
      <c r="G474">
        <v>7.2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7545</v>
      </c>
      <c r="C475" t="b">
        <v>1</v>
      </c>
      <c r="D475">
        <v>8048</v>
      </c>
      <c r="E475">
        <v>8123</v>
      </c>
      <c r="F475">
        <v>7.6</v>
      </c>
      <c r="G475">
        <v>7.6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7561</v>
      </c>
      <c r="C476" t="b">
        <v>1</v>
      </c>
      <c r="D476">
        <v>8048</v>
      </c>
      <c r="E476">
        <v>8117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7577</v>
      </c>
      <c r="C477" t="b">
        <v>1</v>
      </c>
      <c r="D477">
        <v>8048</v>
      </c>
      <c r="E477">
        <v>8123</v>
      </c>
      <c r="F477">
        <v>8</v>
      </c>
      <c r="G477">
        <v>8.4</v>
      </c>
      <c r="H477">
        <v>0.95238100000000003</v>
      </c>
      <c r="I477">
        <v>4.7619003999999999E-2</v>
      </c>
      <c r="J477">
        <v>0.51219510000000001</v>
      </c>
    </row>
    <row r="478" spans="1:10" x14ac:dyDescent="0.3">
      <c r="A478">
        <v>476</v>
      </c>
      <c r="B478">
        <v>7593</v>
      </c>
      <c r="C478" t="b">
        <v>1</v>
      </c>
      <c r="D478">
        <v>8048</v>
      </c>
      <c r="E478">
        <v>8123</v>
      </c>
      <c r="F478">
        <v>8</v>
      </c>
      <c r="G478">
        <v>8.8000000000000007</v>
      </c>
      <c r="H478">
        <v>0.90909090000000004</v>
      </c>
      <c r="I478">
        <v>9.0909110000000001E-2</v>
      </c>
      <c r="J478">
        <v>0.52380954999999996</v>
      </c>
    </row>
    <row r="479" spans="1:10" x14ac:dyDescent="0.3">
      <c r="A479">
        <v>477</v>
      </c>
      <c r="B479">
        <v>7609</v>
      </c>
      <c r="C479" t="b">
        <v>1</v>
      </c>
      <c r="D479">
        <v>8048</v>
      </c>
      <c r="E479">
        <v>8123</v>
      </c>
      <c r="F479">
        <v>8</v>
      </c>
      <c r="G479">
        <v>9.1999999999999993</v>
      </c>
      <c r="H479">
        <v>0.86956524999999996</v>
      </c>
      <c r="I479">
        <v>0.13043477000000001</v>
      </c>
      <c r="J479">
        <v>0.53488369999999996</v>
      </c>
    </row>
    <row r="480" spans="1:10" x14ac:dyDescent="0.3">
      <c r="A480">
        <v>478</v>
      </c>
      <c r="B480">
        <v>7625</v>
      </c>
      <c r="C480" t="b">
        <v>1</v>
      </c>
      <c r="D480">
        <v>8048</v>
      </c>
      <c r="E480">
        <v>8123</v>
      </c>
      <c r="F480">
        <v>8</v>
      </c>
      <c r="G480">
        <v>9.6</v>
      </c>
      <c r="H480">
        <v>0.83333330000000005</v>
      </c>
      <c r="I480">
        <v>0.1666667</v>
      </c>
      <c r="J480">
        <v>0.54545456000000003</v>
      </c>
    </row>
    <row r="481" spans="1:10" x14ac:dyDescent="0.3">
      <c r="A481">
        <v>479</v>
      </c>
      <c r="B481">
        <v>7641</v>
      </c>
      <c r="C481" t="b">
        <v>1</v>
      </c>
      <c r="D481">
        <v>8048</v>
      </c>
      <c r="E481">
        <v>8117</v>
      </c>
      <c r="F481">
        <v>8</v>
      </c>
      <c r="G481">
        <v>10</v>
      </c>
      <c r="H481">
        <v>0.8</v>
      </c>
      <c r="I481">
        <v>0.2</v>
      </c>
      <c r="J481">
        <v>0.55555560000000004</v>
      </c>
    </row>
    <row r="482" spans="1:10" x14ac:dyDescent="0.3">
      <c r="A482">
        <v>480</v>
      </c>
      <c r="B482">
        <v>7657</v>
      </c>
      <c r="C482" t="b">
        <v>1</v>
      </c>
      <c r="D482">
        <v>8054</v>
      </c>
      <c r="E482">
        <v>8123</v>
      </c>
      <c r="F482">
        <v>8</v>
      </c>
      <c r="G482">
        <v>9.6</v>
      </c>
      <c r="H482">
        <v>0.83333330000000005</v>
      </c>
      <c r="I482">
        <v>0.1666667</v>
      </c>
      <c r="J482">
        <v>0.54545456000000003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8</v>
      </c>
      <c r="G483">
        <v>9.1999999999999993</v>
      </c>
      <c r="H483">
        <v>0.86956524999999996</v>
      </c>
      <c r="I483">
        <v>0.13043477000000001</v>
      </c>
      <c r="J483">
        <v>0.53488369999999996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8</v>
      </c>
      <c r="G484">
        <v>8.8000000000000007</v>
      </c>
      <c r="H484">
        <v>0.90909090000000004</v>
      </c>
      <c r="I484">
        <v>9.0909110000000001E-2</v>
      </c>
      <c r="J484">
        <v>0.52380954999999996</v>
      </c>
    </row>
    <row r="485" spans="1:10" x14ac:dyDescent="0.3">
      <c r="A485">
        <v>483</v>
      </c>
      <c r="B485">
        <v>7704</v>
      </c>
      <c r="C485" t="b">
        <v>1</v>
      </c>
      <c r="D485">
        <v>8054</v>
      </c>
      <c r="E485">
        <v>8123</v>
      </c>
      <c r="F485">
        <v>8</v>
      </c>
      <c r="G485">
        <v>8.4</v>
      </c>
      <c r="H485">
        <v>0.95238100000000003</v>
      </c>
      <c r="I485">
        <v>4.7619003999999999E-2</v>
      </c>
      <c r="J485">
        <v>0.51219510000000001</v>
      </c>
    </row>
    <row r="486" spans="1:10" x14ac:dyDescent="0.3">
      <c r="A486">
        <v>484</v>
      </c>
      <c r="B486">
        <v>7720</v>
      </c>
      <c r="C486" t="b">
        <v>1</v>
      </c>
      <c r="D486">
        <v>8048</v>
      </c>
      <c r="E486">
        <v>8123</v>
      </c>
      <c r="F486">
        <v>8</v>
      </c>
      <c r="G486">
        <v>8</v>
      </c>
      <c r="H486">
        <v>1</v>
      </c>
      <c r="I486">
        <v>0</v>
      </c>
      <c r="J486">
        <v>0.5</v>
      </c>
    </row>
    <row r="487" spans="1:10" x14ac:dyDescent="0.3">
      <c r="A487">
        <v>485</v>
      </c>
      <c r="B487">
        <v>7736</v>
      </c>
      <c r="C487" t="b">
        <v>1</v>
      </c>
      <c r="D487">
        <v>8048</v>
      </c>
      <c r="E487">
        <v>8123</v>
      </c>
      <c r="F487">
        <v>8</v>
      </c>
      <c r="G487">
        <v>8</v>
      </c>
      <c r="H487">
        <v>1</v>
      </c>
      <c r="I487">
        <v>0</v>
      </c>
      <c r="J487">
        <v>0.5</v>
      </c>
    </row>
    <row r="488" spans="1:10" x14ac:dyDescent="0.3">
      <c r="A488">
        <v>486</v>
      </c>
      <c r="B488">
        <v>7752</v>
      </c>
      <c r="C488" t="b">
        <v>1</v>
      </c>
      <c r="D488">
        <v>8048</v>
      </c>
      <c r="E488">
        <v>8123</v>
      </c>
      <c r="F488">
        <v>8</v>
      </c>
      <c r="G488">
        <v>8</v>
      </c>
      <c r="H488">
        <v>1</v>
      </c>
      <c r="I488">
        <v>0</v>
      </c>
      <c r="J488">
        <v>0.5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8117</v>
      </c>
      <c r="F489">
        <v>8</v>
      </c>
      <c r="G489">
        <v>8</v>
      </c>
      <c r="H489">
        <v>1</v>
      </c>
      <c r="I489">
        <v>0</v>
      </c>
      <c r="J489">
        <v>0.5</v>
      </c>
    </row>
    <row r="490" spans="1:10" x14ac:dyDescent="0.3">
      <c r="A490">
        <v>488</v>
      </c>
      <c r="B490">
        <v>7784</v>
      </c>
      <c r="C490" t="b">
        <v>1</v>
      </c>
      <c r="D490">
        <v>8048</v>
      </c>
      <c r="E490">
        <v>8123</v>
      </c>
      <c r="F490">
        <v>8</v>
      </c>
      <c r="G490">
        <v>8</v>
      </c>
      <c r="H490">
        <v>1</v>
      </c>
      <c r="I490">
        <v>0</v>
      </c>
      <c r="J490">
        <v>0.5</v>
      </c>
    </row>
    <row r="491" spans="1:10" x14ac:dyDescent="0.3">
      <c r="A491">
        <v>489</v>
      </c>
      <c r="B491">
        <v>7800</v>
      </c>
      <c r="C491" t="b">
        <v>1</v>
      </c>
      <c r="D491">
        <v>8048</v>
      </c>
      <c r="E491">
        <v>8117</v>
      </c>
      <c r="F491">
        <v>8</v>
      </c>
      <c r="G491">
        <v>8</v>
      </c>
      <c r="H491">
        <v>1</v>
      </c>
      <c r="I491">
        <v>0</v>
      </c>
      <c r="J491">
        <v>0.5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8</v>
      </c>
      <c r="G492">
        <v>7.6</v>
      </c>
      <c r="H492">
        <v>1.0526316</v>
      </c>
      <c r="I492">
        <v>-5.2631589999999999E-2</v>
      </c>
      <c r="J492">
        <v>0.48717946000000001</v>
      </c>
    </row>
    <row r="493" spans="1:10" x14ac:dyDescent="0.3">
      <c r="A493">
        <v>491</v>
      </c>
      <c r="B493">
        <v>7832</v>
      </c>
      <c r="C493" t="b">
        <v>1</v>
      </c>
      <c r="D493">
        <v>8048</v>
      </c>
      <c r="E493">
        <v>8117</v>
      </c>
      <c r="F493">
        <v>8</v>
      </c>
      <c r="G493">
        <v>7.2</v>
      </c>
      <c r="H493">
        <v>1.1111112000000001</v>
      </c>
      <c r="I493">
        <v>-0.11111114</v>
      </c>
      <c r="J493">
        <v>0.4736842</v>
      </c>
    </row>
    <row r="494" spans="1:10" x14ac:dyDescent="0.3">
      <c r="A494">
        <v>492</v>
      </c>
      <c r="B494">
        <v>7848</v>
      </c>
      <c r="C494" t="b">
        <v>1</v>
      </c>
      <c r="D494">
        <v>8042</v>
      </c>
      <c r="E494">
        <v>8117</v>
      </c>
      <c r="F494">
        <v>8</v>
      </c>
      <c r="G494">
        <v>6.8</v>
      </c>
      <c r="H494">
        <v>1.1764705</v>
      </c>
      <c r="I494">
        <v>-0.17647055</v>
      </c>
      <c r="J494">
        <v>0.45945944999999999</v>
      </c>
    </row>
    <row r="495" spans="1:10" x14ac:dyDescent="0.3">
      <c r="A495">
        <v>493</v>
      </c>
      <c r="B495">
        <v>7864</v>
      </c>
      <c r="C495" t="b">
        <v>1</v>
      </c>
      <c r="D495">
        <v>8048</v>
      </c>
      <c r="E495">
        <v>8117</v>
      </c>
      <c r="F495">
        <v>8</v>
      </c>
      <c r="G495">
        <v>6.4</v>
      </c>
      <c r="H495">
        <v>1.25</v>
      </c>
      <c r="I495">
        <v>-0.24999999000000001</v>
      </c>
      <c r="J495">
        <v>0.44444447999999998</v>
      </c>
    </row>
    <row r="496" spans="1:10" x14ac:dyDescent="0.3">
      <c r="A496">
        <v>494</v>
      </c>
      <c r="B496">
        <v>7880</v>
      </c>
      <c r="C496" t="b">
        <v>1</v>
      </c>
      <c r="D496">
        <v>8048</v>
      </c>
      <c r="E496">
        <v>8129</v>
      </c>
      <c r="F496">
        <v>8</v>
      </c>
      <c r="G496">
        <v>6</v>
      </c>
      <c r="H496">
        <v>1.3333333999999999</v>
      </c>
      <c r="I496">
        <v>-0.33333333999999998</v>
      </c>
      <c r="J496">
        <v>0.42857142999999998</v>
      </c>
    </row>
    <row r="497" spans="1:10" x14ac:dyDescent="0.3">
      <c r="A497">
        <v>495</v>
      </c>
      <c r="B497">
        <v>7895</v>
      </c>
      <c r="C497" t="b">
        <v>1</v>
      </c>
      <c r="D497">
        <v>8048</v>
      </c>
      <c r="E497">
        <v>8129</v>
      </c>
      <c r="F497">
        <v>8</v>
      </c>
      <c r="G497">
        <v>5.6</v>
      </c>
      <c r="H497">
        <v>1.4285715000000001</v>
      </c>
      <c r="I497">
        <v>-0.42857146000000002</v>
      </c>
      <c r="J497">
        <v>0.41176467999999999</v>
      </c>
    </row>
    <row r="498" spans="1:10" x14ac:dyDescent="0.3">
      <c r="A498">
        <v>496</v>
      </c>
      <c r="B498">
        <v>7911</v>
      </c>
      <c r="C498" t="b">
        <v>1</v>
      </c>
      <c r="D498">
        <v>8054</v>
      </c>
      <c r="E498">
        <v>8129</v>
      </c>
      <c r="F498">
        <v>8</v>
      </c>
      <c r="G498">
        <v>6</v>
      </c>
      <c r="H498">
        <v>1.3333333999999999</v>
      </c>
      <c r="I498">
        <v>-0.33333333999999998</v>
      </c>
      <c r="J498">
        <v>0.42857142999999998</v>
      </c>
    </row>
    <row r="499" spans="1:10" x14ac:dyDescent="0.3">
      <c r="A499">
        <v>497</v>
      </c>
      <c r="B499">
        <v>7927</v>
      </c>
      <c r="C499" t="b">
        <v>1</v>
      </c>
      <c r="D499">
        <v>8048</v>
      </c>
      <c r="E499">
        <v>8123</v>
      </c>
      <c r="F499">
        <v>8</v>
      </c>
      <c r="G499">
        <v>6.4</v>
      </c>
      <c r="H499">
        <v>1.25</v>
      </c>
      <c r="I499">
        <v>-0.24999999000000001</v>
      </c>
      <c r="J499">
        <v>0.44444447999999998</v>
      </c>
    </row>
    <row r="500" spans="1:10" x14ac:dyDescent="0.3">
      <c r="A500">
        <v>498</v>
      </c>
      <c r="B500">
        <v>7943</v>
      </c>
      <c r="C500" t="b">
        <v>1</v>
      </c>
      <c r="D500">
        <v>8054</v>
      </c>
      <c r="E500">
        <v>8123</v>
      </c>
      <c r="F500">
        <v>8</v>
      </c>
      <c r="G500">
        <v>6.8</v>
      </c>
      <c r="H500">
        <v>1.1764705</v>
      </c>
      <c r="I500">
        <v>-0.17647055</v>
      </c>
      <c r="J500">
        <v>0.45945944999999999</v>
      </c>
    </row>
    <row r="501" spans="1:10" x14ac:dyDescent="0.3">
      <c r="A501">
        <v>499</v>
      </c>
      <c r="B501">
        <v>7959</v>
      </c>
      <c r="C501" t="b">
        <v>1</v>
      </c>
      <c r="D501">
        <v>8048</v>
      </c>
      <c r="E501">
        <v>8123</v>
      </c>
      <c r="F501">
        <v>8</v>
      </c>
      <c r="G501">
        <v>6.8</v>
      </c>
      <c r="H501">
        <v>1.1764705</v>
      </c>
      <c r="I501">
        <v>-0.17647055</v>
      </c>
      <c r="J501">
        <v>0.45945944999999999</v>
      </c>
    </row>
    <row r="502" spans="1:10" x14ac:dyDescent="0.3">
      <c r="A502">
        <v>500</v>
      </c>
      <c r="B502">
        <v>7975</v>
      </c>
      <c r="C502" t="b">
        <v>1</v>
      </c>
      <c r="D502">
        <v>8054</v>
      </c>
      <c r="E502">
        <v>8123</v>
      </c>
      <c r="F502">
        <v>8.4</v>
      </c>
      <c r="G502">
        <v>6.8</v>
      </c>
      <c r="H502">
        <v>1.2352939999999999</v>
      </c>
      <c r="I502">
        <v>-0.23529402999999999</v>
      </c>
      <c r="J502">
        <v>0.44736843999999998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5360-A12A-4D96-AF3D-B99FEE303019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8071</v>
      </c>
      <c r="E2">
        <v>8134</v>
      </c>
      <c r="F2">
        <v>231</v>
      </c>
      <c r="G2">
        <v>219</v>
      </c>
      <c r="H2">
        <v>1.0547945000000001</v>
      </c>
      <c r="I2">
        <v>-5.4794519999999999E-2</v>
      </c>
      <c r="J2">
        <v>0.48666668000000002</v>
      </c>
    </row>
    <row r="3" spans="1:10" x14ac:dyDescent="0.3">
      <c r="A3">
        <v>1</v>
      </c>
      <c r="B3">
        <v>29</v>
      </c>
      <c r="C3" t="b">
        <v>1</v>
      </c>
      <c r="D3">
        <v>8048</v>
      </c>
      <c r="E3">
        <v>8123</v>
      </c>
      <c r="F3">
        <v>231</v>
      </c>
      <c r="G3">
        <v>219</v>
      </c>
      <c r="H3">
        <v>1.0547945000000001</v>
      </c>
      <c r="I3">
        <v>-5.4794519999999999E-2</v>
      </c>
      <c r="J3">
        <v>0.48666668000000002</v>
      </c>
    </row>
    <row r="4" spans="1:10" x14ac:dyDescent="0.3">
      <c r="A4">
        <v>2</v>
      </c>
      <c r="B4">
        <v>45</v>
      </c>
      <c r="C4" t="b">
        <v>1</v>
      </c>
      <c r="D4">
        <v>8060</v>
      </c>
      <c r="E4">
        <v>8129</v>
      </c>
      <c r="F4">
        <v>227.33332999999999</v>
      </c>
      <c r="G4">
        <v>217.33332999999999</v>
      </c>
      <c r="H4">
        <v>1.0460122999999999</v>
      </c>
      <c r="I4">
        <v>-4.6012270000000001E-2</v>
      </c>
      <c r="J4">
        <v>0.48875560000000001</v>
      </c>
    </row>
    <row r="5" spans="1:10" x14ac:dyDescent="0.3">
      <c r="A5">
        <v>3</v>
      </c>
      <c r="B5">
        <v>61</v>
      </c>
      <c r="C5" t="b">
        <v>1</v>
      </c>
      <c r="D5">
        <v>8071</v>
      </c>
      <c r="E5">
        <v>8176</v>
      </c>
      <c r="F5">
        <v>228.25</v>
      </c>
      <c r="G5">
        <v>217.75</v>
      </c>
      <c r="H5">
        <v>1.0482203999999999</v>
      </c>
      <c r="I5">
        <v>-4.8220436999999998E-2</v>
      </c>
      <c r="J5">
        <v>0.48822870000000002</v>
      </c>
    </row>
    <row r="6" spans="1:10" x14ac:dyDescent="0.3">
      <c r="A6">
        <v>4</v>
      </c>
      <c r="B6">
        <v>77</v>
      </c>
      <c r="C6" t="b">
        <v>1</v>
      </c>
      <c r="D6">
        <v>8077</v>
      </c>
      <c r="E6">
        <v>8146</v>
      </c>
      <c r="F6">
        <v>228.8</v>
      </c>
      <c r="G6">
        <v>218</v>
      </c>
      <c r="H6">
        <v>1.0495414000000001</v>
      </c>
      <c r="I6">
        <v>-4.9541300000000003E-2</v>
      </c>
      <c r="J6">
        <v>0.48791405999999998</v>
      </c>
    </row>
    <row r="7" spans="1:10" x14ac:dyDescent="0.3">
      <c r="A7">
        <v>5</v>
      </c>
      <c r="B7">
        <v>93</v>
      </c>
      <c r="C7" t="b">
        <v>1</v>
      </c>
      <c r="D7">
        <v>8083</v>
      </c>
      <c r="E7">
        <v>8152</v>
      </c>
      <c r="F7">
        <v>229.16667000000001</v>
      </c>
      <c r="G7">
        <v>220.16667000000001</v>
      </c>
      <c r="H7">
        <v>1.0408782000000001</v>
      </c>
      <c r="I7">
        <v>-4.0878119999999997E-2</v>
      </c>
      <c r="J7">
        <v>0.48998517000000003</v>
      </c>
    </row>
    <row r="8" spans="1:10" x14ac:dyDescent="0.3">
      <c r="A8">
        <v>6</v>
      </c>
      <c r="B8">
        <v>108</v>
      </c>
      <c r="C8" t="b">
        <v>1</v>
      </c>
      <c r="D8">
        <v>8083</v>
      </c>
      <c r="E8">
        <v>8129</v>
      </c>
      <c r="F8">
        <v>230.28572</v>
      </c>
      <c r="G8">
        <v>221.71428</v>
      </c>
      <c r="H8">
        <v>1.0386598</v>
      </c>
      <c r="I8">
        <v>-3.8659855999999999E-2</v>
      </c>
      <c r="J8">
        <v>0.49051833</v>
      </c>
    </row>
    <row r="9" spans="1:10" x14ac:dyDescent="0.3">
      <c r="A9">
        <v>7</v>
      </c>
      <c r="B9">
        <v>124</v>
      </c>
      <c r="C9" t="b">
        <v>1</v>
      </c>
      <c r="D9">
        <v>8060</v>
      </c>
      <c r="E9">
        <v>8152</v>
      </c>
      <c r="F9">
        <v>231.125</v>
      </c>
      <c r="G9">
        <v>223.625</v>
      </c>
      <c r="H9">
        <v>1.0335383</v>
      </c>
      <c r="I9">
        <v>-3.3538289999999998E-2</v>
      </c>
      <c r="J9">
        <v>0.49175370000000002</v>
      </c>
    </row>
    <row r="10" spans="1:10" x14ac:dyDescent="0.3">
      <c r="A10">
        <v>8</v>
      </c>
      <c r="B10">
        <v>156</v>
      </c>
      <c r="C10" t="b">
        <v>1</v>
      </c>
      <c r="D10">
        <v>8054</v>
      </c>
      <c r="E10">
        <v>8117</v>
      </c>
      <c r="F10">
        <v>231.77777</v>
      </c>
      <c r="G10">
        <v>224.44443999999999</v>
      </c>
      <c r="H10">
        <v>1.0326732000000001</v>
      </c>
      <c r="I10">
        <v>-3.2673242999999998E-2</v>
      </c>
      <c r="J10">
        <v>0.49196297</v>
      </c>
    </row>
    <row r="11" spans="1:10" x14ac:dyDescent="0.3">
      <c r="A11">
        <v>9</v>
      </c>
      <c r="B11">
        <v>172</v>
      </c>
      <c r="C11" t="b">
        <v>1</v>
      </c>
      <c r="D11">
        <v>8077</v>
      </c>
      <c r="E11">
        <v>8134</v>
      </c>
      <c r="F11">
        <v>232.3</v>
      </c>
      <c r="G11">
        <v>223.9</v>
      </c>
      <c r="H11">
        <v>1.0375167999999999</v>
      </c>
      <c r="I11">
        <v>-3.7516790000000001E-2</v>
      </c>
      <c r="J11">
        <v>0.49079349999999999</v>
      </c>
    </row>
    <row r="12" spans="1:10" x14ac:dyDescent="0.3">
      <c r="A12">
        <v>10</v>
      </c>
      <c r="B12">
        <v>204</v>
      </c>
      <c r="C12" t="b">
        <v>1</v>
      </c>
      <c r="D12">
        <v>8077</v>
      </c>
      <c r="E12">
        <v>8129</v>
      </c>
      <c r="F12">
        <v>232.72728000000001</v>
      </c>
      <c r="G12">
        <v>223</v>
      </c>
      <c r="H12">
        <v>1.0436201000000001</v>
      </c>
      <c r="I12">
        <v>-4.3620087000000002E-2</v>
      </c>
      <c r="J12">
        <v>0.48932773000000002</v>
      </c>
    </row>
    <row r="13" spans="1:10" x14ac:dyDescent="0.3">
      <c r="A13">
        <v>11</v>
      </c>
      <c r="B13">
        <v>235</v>
      </c>
      <c r="C13" t="b">
        <v>1</v>
      </c>
      <c r="D13">
        <v>8083</v>
      </c>
      <c r="E13">
        <v>8134</v>
      </c>
      <c r="F13">
        <v>233.08332999999999</v>
      </c>
      <c r="G13">
        <v>222.66667000000001</v>
      </c>
      <c r="H13">
        <v>1.0467814</v>
      </c>
      <c r="I13">
        <v>-4.6781389999999999E-2</v>
      </c>
      <c r="J13">
        <v>0.48857197000000002</v>
      </c>
    </row>
    <row r="14" spans="1:10" x14ac:dyDescent="0.3">
      <c r="A14">
        <v>12</v>
      </c>
      <c r="B14">
        <v>251</v>
      </c>
      <c r="C14" t="b">
        <v>1</v>
      </c>
      <c r="D14">
        <v>8088</v>
      </c>
      <c r="E14">
        <v>8129</v>
      </c>
      <c r="F14">
        <v>233.38461000000001</v>
      </c>
      <c r="G14">
        <v>222</v>
      </c>
      <c r="H14">
        <v>1.051282</v>
      </c>
      <c r="I14">
        <v>-5.1282040000000001E-2</v>
      </c>
      <c r="J14">
        <v>0.48749999999999999</v>
      </c>
    </row>
    <row r="15" spans="1:10" x14ac:dyDescent="0.3">
      <c r="A15">
        <v>13</v>
      </c>
      <c r="B15">
        <v>266</v>
      </c>
      <c r="C15" t="b">
        <v>1</v>
      </c>
      <c r="D15">
        <v>8077</v>
      </c>
      <c r="E15">
        <v>8140</v>
      </c>
      <c r="F15">
        <v>233.64285000000001</v>
      </c>
      <c r="G15">
        <v>221.78572</v>
      </c>
      <c r="H15">
        <v>1.0534621</v>
      </c>
      <c r="I15">
        <v>-5.3462107000000002E-2</v>
      </c>
      <c r="J15">
        <v>0.48698243000000002</v>
      </c>
    </row>
    <row r="16" spans="1:10" x14ac:dyDescent="0.3">
      <c r="A16">
        <v>14</v>
      </c>
      <c r="B16">
        <v>283</v>
      </c>
      <c r="C16" t="b">
        <v>1</v>
      </c>
      <c r="D16">
        <v>8088</v>
      </c>
      <c r="E16">
        <v>8117</v>
      </c>
      <c r="F16">
        <v>234.26666</v>
      </c>
      <c r="G16">
        <v>221.26666</v>
      </c>
      <c r="H16">
        <v>1.0587527000000001</v>
      </c>
      <c r="I16">
        <v>-5.8752637000000003E-2</v>
      </c>
      <c r="J16">
        <v>0.48573100000000002</v>
      </c>
    </row>
    <row r="17" spans="1:10" x14ac:dyDescent="0.3">
      <c r="A17">
        <v>15</v>
      </c>
      <c r="B17">
        <v>298</v>
      </c>
      <c r="C17" t="b">
        <v>1</v>
      </c>
      <c r="D17">
        <v>8060</v>
      </c>
      <c r="E17">
        <v>8158</v>
      </c>
      <c r="F17">
        <v>235.06666999999999</v>
      </c>
      <c r="G17">
        <v>221.26666</v>
      </c>
      <c r="H17">
        <v>1.0623682000000001</v>
      </c>
      <c r="I17">
        <v>-6.2368199999999999E-2</v>
      </c>
      <c r="J17">
        <v>0.48487950000000002</v>
      </c>
    </row>
    <row r="18" spans="1:10" x14ac:dyDescent="0.3">
      <c r="A18">
        <v>16</v>
      </c>
      <c r="B18">
        <v>330</v>
      </c>
      <c r="C18" t="b">
        <v>1</v>
      </c>
      <c r="D18">
        <v>8088</v>
      </c>
      <c r="E18">
        <v>8093</v>
      </c>
      <c r="F18">
        <v>236.2</v>
      </c>
      <c r="G18">
        <v>220.93333000000001</v>
      </c>
      <c r="H18">
        <v>1.0691006999999999</v>
      </c>
      <c r="I18">
        <v>-6.9100770000000006E-2</v>
      </c>
      <c r="J18">
        <v>0.48330172999999998</v>
      </c>
    </row>
    <row r="19" spans="1:10" x14ac:dyDescent="0.3">
      <c r="A19">
        <v>17</v>
      </c>
      <c r="B19">
        <v>346</v>
      </c>
      <c r="C19" t="b">
        <v>1</v>
      </c>
      <c r="D19">
        <v>8083</v>
      </c>
      <c r="E19">
        <v>8188</v>
      </c>
      <c r="F19">
        <v>237.73334</v>
      </c>
      <c r="G19">
        <v>221.66667000000001</v>
      </c>
      <c r="H19">
        <v>1.0724811999999999</v>
      </c>
      <c r="I19">
        <v>-7.2481199999999996E-2</v>
      </c>
      <c r="J19">
        <v>0.48251339999999998</v>
      </c>
    </row>
    <row r="20" spans="1:10" x14ac:dyDescent="0.3">
      <c r="A20">
        <v>18</v>
      </c>
      <c r="B20">
        <v>361</v>
      </c>
      <c r="C20" t="b">
        <v>1</v>
      </c>
      <c r="D20">
        <v>8088</v>
      </c>
      <c r="E20">
        <v>8129</v>
      </c>
      <c r="F20">
        <v>238.86667</v>
      </c>
      <c r="G20">
        <v>221.33332999999999</v>
      </c>
      <c r="H20">
        <v>1.0792170000000001</v>
      </c>
      <c r="I20">
        <v>-7.9216905000000004E-2</v>
      </c>
      <c r="J20">
        <v>0.4809503</v>
      </c>
    </row>
    <row r="21" spans="1:10" x14ac:dyDescent="0.3">
      <c r="A21">
        <v>19</v>
      </c>
      <c r="B21">
        <v>377</v>
      </c>
      <c r="C21" t="b">
        <v>1</v>
      </c>
      <c r="D21">
        <v>8054</v>
      </c>
      <c r="E21">
        <v>8146</v>
      </c>
      <c r="F21">
        <v>239.66667000000001</v>
      </c>
      <c r="G21">
        <v>222.13333</v>
      </c>
      <c r="H21">
        <v>1.0789316</v>
      </c>
      <c r="I21">
        <v>-7.8931609999999999E-2</v>
      </c>
      <c r="J21">
        <v>0.48101630000000001</v>
      </c>
    </row>
    <row r="22" spans="1:10" x14ac:dyDescent="0.3">
      <c r="A22">
        <v>20</v>
      </c>
      <c r="B22">
        <v>393</v>
      </c>
      <c r="C22" t="b">
        <v>1</v>
      </c>
      <c r="D22">
        <v>8048</v>
      </c>
      <c r="E22">
        <v>8146</v>
      </c>
      <c r="F22">
        <v>240.46665999999999</v>
      </c>
      <c r="G22">
        <v>222.13333</v>
      </c>
      <c r="H22">
        <v>1.082533</v>
      </c>
      <c r="I22">
        <v>-8.2532993999999998E-2</v>
      </c>
      <c r="J22">
        <v>0.48018450000000001</v>
      </c>
    </row>
    <row r="23" spans="1:10" x14ac:dyDescent="0.3">
      <c r="A23">
        <v>21</v>
      </c>
      <c r="B23">
        <v>409</v>
      </c>
      <c r="C23" t="b">
        <v>1</v>
      </c>
      <c r="D23">
        <v>8100</v>
      </c>
      <c r="E23">
        <v>8111</v>
      </c>
      <c r="F23">
        <v>240.86667</v>
      </c>
      <c r="G23">
        <v>222.13333</v>
      </c>
      <c r="H23">
        <v>1.0843338</v>
      </c>
      <c r="I23">
        <v>-8.4333754999999996E-2</v>
      </c>
      <c r="J23">
        <v>0.47976962000000001</v>
      </c>
    </row>
    <row r="24" spans="1:10" x14ac:dyDescent="0.3">
      <c r="A24">
        <v>22</v>
      </c>
      <c r="B24">
        <v>425</v>
      </c>
      <c r="C24" t="b">
        <v>1</v>
      </c>
      <c r="D24">
        <v>8100</v>
      </c>
      <c r="E24">
        <v>8123</v>
      </c>
      <c r="F24">
        <v>241.6</v>
      </c>
      <c r="G24">
        <v>220.6</v>
      </c>
      <c r="H24">
        <v>1.0951949000000001</v>
      </c>
      <c r="I24">
        <v>-9.5194920000000002E-2</v>
      </c>
      <c r="J24">
        <v>0.47728255000000003</v>
      </c>
    </row>
    <row r="25" spans="1:10" x14ac:dyDescent="0.3">
      <c r="A25">
        <v>23</v>
      </c>
      <c r="B25">
        <v>457</v>
      </c>
      <c r="C25" t="b">
        <v>1</v>
      </c>
      <c r="D25">
        <v>8094</v>
      </c>
      <c r="E25">
        <v>8117</v>
      </c>
      <c r="F25">
        <v>242.73334</v>
      </c>
      <c r="G25">
        <v>219.06666999999999</v>
      </c>
      <c r="H25">
        <v>1.1080341</v>
      </c>
      <c r="I25">
        <v>-0.10803410400000001</v>
      </c>
      <c r="J25">
        <v>0.47437563999999999</v>
      </c>
    </row>
    <row r="26" spans="1:10" x14ac:dyDescent="0.3">
      <c r="A26">
        <v>24</v>
      </c>
      <c r="B26">
        <v>472</v>
      </c>
      <c r="C26" t="b">
        <v>1</v>
      </c>
      <c r="D26">
        <v>8071</v>
      </c>
      <c r="E26">
        <v>8123</v>
      </c>
      <c r="F26">
        <v>243.86667</v>
      </c>
      <c r="G26">
        <v>218.33332999999999</v>
      </c>
      <c r="H26">
        <v>1.1169465999999999</v>
      </c>
      <c r="I26">
        <v>-0.1169466</v>
      </c>
      <c r="J26">
        <v>0.47237846</v>
      </c>
    </row>
    <row r="27" spans="1:10" x14ac:dyDescent="0.3">
      <c r="A27">
        <v>25</v>
      </c>
      <c r="B27">
        <v>488</v>
      </c>
      <c r="C27" t="b">
        <v>1</v>
      </c>
      <c r="D27">
        <v>8060</v>
      </c>
      <c r="E27">
        <v>8129</v>
      </c>
      <c r="F27">
        <v>245</v>
      </c>
      <c r="G27">
        <v>217.93333000000001</v>
      </c>
      <c r="H27">
        <v>1.1241969999999999</v>
      </c>
      <c r="I27">
        <v>-0.124197</v>
      </c>
      <c r="J27">
        <v>0.47076613</v>
      </c>
    </row>
    <row r="28" spans="1:10" x14ac:dyDescent="0.3">
      <c r="A28">
        <v>26</v>
      </c>
      <c r="B28">
        <v>504</v>
      </c>
      <c r="C28" t="b">
        <v>1</v>
      </c>
      <c r="D28">
        <v>8048</v>
      </c>
      <c r="E28">
        <v>8146</v>
      </c>
      <c r="F28">
        <v>244.6</v>
      </c>
      <c r="G28">
        <v>217.2</v>
      </c>
      <c r="H28">
        <v>1.1261511</v>
      </c>
      <c r="I28">
        <v>-0.12615106000000001</v>
      </c>
      <c r="J28">
        <v>0.47033350000000002</v>
      </c>
    </row>
    <row r="29" spans="1:10" x14ac:dyDescent="0.3">
      <c r="A29">
        <v>27</v>
      </c>
      <c r="B29">
        <v>536</v>
      </c>
      <c r="C29" t="b">
        <v>1</v>
      </c>
      <c r="D29">
        <v>8048</v>
      </c>
      <c r="E29">
        <v>8134</v>
      </c>
      <c r="F29">
        <v>243.46665999999999</v>
      </c>
      <c r="G29">
        <v>217.2</v>
      </c>
      <c r="H29">
        <v>1.120933</v>
      </c>
      <c r="I29">
        <v>-0.12093307</v>
      </c>
      <c r="J29">
        <v>0.47149059999999998</v>
      </c>
    </row>
    <row r="30" spans="1:10" x14ac:dyDescent="0.3">
      <c r="A30">
        <v>28</v>
      </c>
      <c r="B30">
        <v>568</v>
      </c>
      <c r="C30" t="b">
        <v>1</v>
      </c>
      <c r="D30">
        <v>8054</v>
      </c>
      <c r="E30">
        <v>8152</v>
      </c>
      <c r="F30">
        <v>241.93333000000001</v>
      </c>
      <c r="G30">
        <v>217.2</v>
      </c>
      <c r="H30">
        <v>1.1138736</v>
      </c>
      <c r="I30">
        <v>-0.11387356</v>
      </c>
      <c r="J30">
        <v>0.47306520000000002</v>
      </c>
    </row>
    <row r="31" spans="1:10" x14ac:dyDescent="0.3">
      <c r="A31">
        <v>29</v>
      </c>
      <c r="B31">
        <v>583</v>
      </c>
      <c r="C31" t="b">
        <v>1</v>
      </c>
      <c r="D31">
        <v>8065</v>
      </c>
      <c r="E31">
        <v>8123</v>
      </c>
      <c r="F31">
        <v>240</v>
      </c>
      <c r="G31">
        <v>217.53334000000001</v>
      </c>
      <c r="H31">
        <v>1.1032791</v>
      </c>
      <c r="I31">
        <v>-0.10327915999999999</v>
      </c>
      <c r="J31">
        <v>0.47544807</v>
      </c>
    </row>
    <row r="32" spans="1:10" x14ac:dyDescent="0.3">
      <c r="A32">
        <v>30</v>
      </c>
      <c r="B32">
        <v>599</v>
      </c>
      <c r="C32" t="b">
        <v>1</v>
      </c>
      <c r="D32">
        <v>8023</v>
      </c>
      <c r="E32">
        <v>8140</v>
      </c>
      <c r="F32">
        <v>237.66667000000001</v>
      </c>
      <c r="G32">
        <v>217.93333000000001</v>
      </c>
      <c r="H32">
        <v>1.0905476000000001</v>
      </c>
      <c r="I32">
        <v>-9.0547584E-2</v>
      </c>
      <c r="J32">
        <v>0.47834357999999999</v>
      </c>
    </row>
    <row r="33" spans="1:10" x14ac:dyDescent="0.3">
      <c r="A33">
        <v>31</v>
      </c>
      <c r="B33">
        <v>615</v>
      </c>
      <c r="C33" t="b">
        <v>1</v>
      </c>
      <c r="D33">
        <v>8083</v>
      </c>
      <c r="E33">
        <v>8146</v>
      </c>
      <c r="F33">
        <v>235.4</v>
      </c>
      <c r="G33">
        <v>218.66667000000001</v>
      </c>
      <c r="H33">
        <v>1.0765244</v>
      </c>
      <c r="I33">
        <v>-7.6524339999999996E-2</v>
      </c>
      <c r="J33">
        <v>0.48157393999999998</v>
      </c>
    </row>
    <row r="34" spans="1:10" x14ac:dyDescent="0.3">
      <c r="A34">
        <v>32</v>
      </c>
      <c r="B34">
        <v>631</v>
      </c>
      <c r="C34" t="b">
        <v>1</v>
      </c>
      <c r="D34">
        <v>8123</v>
      </c>
      <c r="E34">
        <v>8134</v>
      </c>
      <c r="F34">
        <v>234.2</v>
      </c>
      <c r="G34">
        <v>218.66667000000001</v>
      </c>
      <c r="H34">
        <v>1.0710366</v>
      </c>
      <c r="I34">
        <v>-7.1036550000000004E-2</v>
      </c>
      <c r="J34">
        <v>0.48285001999999999</v>
      </c>
    </row>
    <row r="35" spans="1:10" x14ac:dyDescent="0.3">
      <c r="A35">
        <v>33</v>
      </c>
      <c r="B35">
        <v>647</v>
      </c>
      <c r="C35" t="b">
        <v>1</v>
      </c>
      <c r="D35">
        <v>8100</v>
      </c>
      <c r="E35">
        <v>8134</v>
      </c>
      <c r="F35">
        <v>233.86667</v>
      </c>
      <c r="G35">
        <v>219</v>
      </c>
      <c r="H35">
        <v>1.0678843</v>
      </c>
      <c r="I35">
        <v>-6.7884330000000007E-2</v>
      </c>
      <c r="J35">
        <v>0.48358603999999999</v>
      </c>
    </row>
    <row r="36" spans="1:10" x14ac:dyDescent="0.3">
      <c r="A36">
        <v>34</v>
      </c>
      <c r="B36">
        <v>663</v>
      </c>
      <c r="C36" t="b">
        <v>1</v>
      </c>
      <c r="D36">
        <v>8060</v>
      </c>
      <c r="E36">
        <v>8152</v>
      </c>
      <c r="F36">
        <v>233.86667</v>
      </c>
      <c r="G36">
        <v>218.6</v>
      </c>
      <c r="H36">
        <v>1.0698383</v>
      </c>
      <c r="I36">
        <v>-6.9838344999999996E-2</v>
      </c>
      <c r="J36">
        <v>0.48312952999999997</v>
      </c>
    </row>
    <row r="37" spans="1:10" x14ac:dyDescent="0.3">
      <c r="A37">
        <v>35</v>
      </c>
      <c r="B37">
        <v>678</v>
      </c>
      <c r="C37" t="b">
        <v>1</v>
      </c>
      <c r="D37">
        <v>8060</v>
      </c>
      <c r="E37">
        <v>8152</v>
      </c>
      <c r="F37">
        <v>233.86667</v>
      </c>
      <c r="G37">
        <v>218.6</v>
      </c>
      <c r="H37">
        <v>1.0698383</v>
      </c>
      <c r="I37">
        <v>-6.9838344999999996E-2</v>
      </c>
      <c r="J37">
        <v>0.48312952999999997</v>
      </c>
    </row>
    <row r="38" spans="1:10" x14ac:dyDescent="0.3">
      <c r="A38">
        <v>36</v>
      </c>
      <c r="B38">
        <v>694</v>
      </c>
      <c r="C38" t="b">
        <v>1</v>
      </c>
      <c r="D38">
        <v>8065</v>
      </c>
      <c r="E38">
        <v>8152</v>
      </c>
      <c r="F38">
        <v>232.66667000000001</v>
      </c>
      <c r="G38">
        <v>219</v>
      </c>
      <c r="H38">
        <v>1.0624049</v>
      </c>
      <c r="I38">
        <v>-6.2404893000000003E-2</v>
      </c>
      <c r="J38">
        <v>0.48487081999999998</v>
      </c>
    </row>
    <row r="39" spans="1:10" x14ac:dyDescent="0.3">
      <c r="A39">
        <v>37</v>
      </c>
      <c r="B39">
        <v>725</v>
      </c>
      <c r="C39" t="b">
        <v>1</v>
      </c>
      <c r="D39">
        <v>8065</v>
      </c>
      <c r="E39">
        <v>8152</v>
      </c>
      <c r="F39">
        <v>231.13333</v>
      </c>
      <c r="G39">
        <v>220.53334000000001</v>
      </c>
      <c r="H39">
        <v>1.0480653</v>
      </c>
      <c r="I39">
        <v>-4.8065253000000002E-2</v>
      </c>
      <c r="J39">
        <v>0.48826565999999999</v>
      </c>
    </row>
    <row r="40" spans="1:10" x14ac:dyDescent="0.3">
      <c r="A40">
        <v>38</v>
      </c>
      <c r="B40">
        <v>741</v>
      </c>
      <c r="C40" t="b">
        <v>1</v>
      </c>
      <c r="D40">
        <v>8065</v>
      </c>
      <c r="E40">
        <v>8134</v>
      </c>
      <c r="F40">
        <v>229.2</v>
      </c>
      <c r="G40">
        <v>222.46665999999999</v>
      </c>
      <c r="H40">
        <v>1.0302667999999999</v>
      </c>
      <c r="I40">
        <v>-3.0266726000000001E-2</v>
      </c>
      <c r="J40">
        <v>0.49254609999999999</v>
      </c>
    </row>
    <row r="41" spans="1:10" x14ac:dyDescent="0.3">
      <c r="A41">
        <v>39</v>
      </c>
      <c r="B41">
        <v>757</v>
      </c>
      <c r="C41" t="b">
        <v>1</v>
      </c>
      <c r="D41">
        <v>8065</v>
      </c>
      <c r="E41">
        <v>8152</v>
      </c>
      <c r="F41">
        <v>227.26666</v>
      </c>
      <c r="G41">
        <v>224.4</v>
      </c>
      <c r="H41">
        <v>1.0127748000000001</v>
      </c>
      <c r="I41">
        <v>-1.2774817000000001E-2</v>
      </c>
      <c r="J41">
        <v>0.49682655999999997</v>
      </c>
    </row>
    <row r="42" spans="1:10" x14ac:dyDescent="0.3">
      <c r="A42">
        <v>40</v>
      </c>
      <c r="B42">
        <v>773</v>
      </c>
      <c r="C42" t="b">
        <v>1</v>
      </c>
      <c r="D42">
        <v>8100</v>
      </c>
      <c r="E42">
        <v>8146</v>
      </c>
      <c r="F42">
        <v>225.33332999999999</v>
      </c>
      <c r="G42">
        <v>226.33332999999999</v>
      </c>
      <c r="H42">
        <v>0.99558175000000004</v>
      </c>
      <c r="I42">
        <v>4.4182622999999997E-3</v>
      </c>
      <c r="J42">
        <v>0.50110703999999995</v>
      </c>
    </row>
    <row r="43" spans="1:10" x14ac:dyDescent="0.3">
      <c r="A43">
        <v>41</v>
      </c>
      <c r="B43">
        <v>790</v>
      </c>
      <c r="C43" t="b">
        <v>1</v>
      </c>
      <c r="D43">
        <v>8100</v>
      </c>
      <c r="E43">
        <v>8140</v>
      </c>
      <c r="F43">
        <v>224.93333000000001</v>
      </c>
      <c r="G43">
        <v>227.86667</v>
      </c>
      <c r="H43">
        <v>0.98712694999999995</v>
      </c>
      <c r="I43">
        <v>1.2873028999999999E-2</v>
      </c>
      <c r="J43">
        <v>0.50323910000000005</v>
      </c>
    </row>
    <row r="44" spans="1:10" x14ac:dyDescent="0.3">
      <c r="A44">
        <v>42</v>
      </c>
      <c r="B44">
        <v>805</v>
      </c>
      <c r="C44" t="b">
        <v>1</v>
      </c>
      <c r="D44">
        <v>8077</v>
      </c>
      <c r="E44">
        <v>8152</v>
      </c>
      <c r="F44">
        <v>226.06666999999999</v>
      </c>
      <c r="G44">
        <v>229</v>
      </c>
      <c r="H44">
        <v>0.98719066</v>
      </c>
      <c r="I44">
        <v>1.2809320000000001E-2</v>
      </c>
      <c r="J44">
        <v>0.50322299999999998</v>
      </c>
    </row>
    <row r="45" spans="1:10" x14ac:dyDescent="0.3">
      <c r="A45">
        <v>43</v>
      </c>
      <c r="B45">
        <v>822</v>
      </c>
      <c r="C45" t="b">
        <v>1</v>
      </c>
      <c r="D45">
        <v>8071</v>
      </c>
      <c r="E45">
        <v>8129</v>
      </c>
      <c r="F45">
        <v>227.6</v>
      </c>
      <c r="G45">
        <v>229.8</v>
      </c>
      <c r="H45">
        <v>0.99042649999999999</v>
      </c>
      <c r="I45">
        <v>9.5735290000000008E-3</v>
      </c>
      <c r="J45">
        <v>0.50240487</v>
      </c>
    </row>
    <row r="46" spans="1:10" x14ac:dyDescent="0.3">
      <c r="A46">
        <v>44</v>
      </c>
      <c r="B46">
        <v>853</v>
      </c>
      <c r="C46" t="b">
        <v>1</v>
      </c>
      <c r="D46">
        <v>8065</v>
      </c>
      <c r="E46">
        <v>8129</v>
      </c>
      <c r="F46">
        <v>229.13333</v>
      </c>
      <c r="G46">
        <v>230.2</v>
      </c>
      <c r="H46">
        <v>0.99536632999999997</v>
      </c>
      <c r="I46">
        <v>4.6336474000000004E-3</v>
      </c>
      <c r="J46">
        <v>0.50116110000000003</v>
      </c>
    </row>
    <row r="47" spans="1:10" x14ac:dyDescent="0.3">
      <c r="A47">
        <v>45</v>
      </c>
      <c r="B47">
        <v>885</v>
      </c>
      <c r="C47" t="b">
        <v>1</v>
      </c>
      <c r="D47">
        <v>8065</v>
      </c>
      <c r="E47">
        <v>8111</v>
      </c>
      <c r="F47">
        <v>230.66667000000001</v>
      </c>
      <c r="G47">
        <v>229.46665999999999</v>
      </c>
      <c r="H47">
        <v>1.0052296000000001</v>
      </c>
      <c r="I47">
        <v>-5.2295709999999997E-3</v>
      </c>
      <c r="J47">
        <v>0.49869603000000001</v>
      </c>
    </row>
    <row r="48" spans="1:10" x14ac:dyDescent="0.3">
      <c r="A48">
        <v>46</v>
      </c>
      <c r="B48">
        <v>918</v>
      </c>
      <c r="C48" t="b">
        <v>1</v>
      </c>
      <c r="D48">
        <v>8065</v>
      </c>
      <c r="E48">
        <v>8134</v>
      </c>
      <c r="F48">
        <v>231.4</v>
      </c>
      <c r="G48">
        <v>228.73334</v>
      </c>
      <c r="H48">
        <v>1.0116582999999999</v>
      </c>
      <c r="I48">
        <v>-1.1658363999999999E-2</v>
      </c>
      <c r="J48">
        <v>0.4971023</v>
      </c>
    </row>
    <row r="49" spans="1:10" x14ac:dyDescent="0.3">
      <c r="A49">
        <v>47</v>
      </c>
      <c r="B49">
        <v>933</v>
      </c>
      <c r="C49" t="b">
        <v>1</v>
      </c>
      <c r="D49">
        <v>8054</v>
      </c>
      <c r="E49">
        <v>8146</v>
      </c>
      <c r="F49">
        <v>231.4</v>
      </c>
      <c r="G49">
        <v>228</v>
      </c>
      <c r="H49">
        <v>1.0149121999999999</v>
      </c>
      <c r="I49">
        <v>-1.4912254E-2</v>
      </c>
      <c r="J49">
        <v>0.49629953999999998</v>
      </c>
    </row>
    <row r="50" spans="1:10" x14ac:dyDescent="0.3">
      <c r="A50">
        <v>48</v>
      </c>
      <c r="B50">
        <v>949</v>
      </c>
      <c r="C50" t="b">
        <v>1</v>
      </c>
      <c r="D50">
        <v>8088</v>
      </c>
      <c r="E50">
        <v>8146</v>
      </c>
      <c r="F50">
        <v>230.2</v>
      </c>
      <c r="G50">
        <v>228</v>
      </c>
      <c r="H50">
        <v>1.0096491999999999</v>
      </c>
      <c r="I50">
        <v>-9.6491089999999995E-3</v>
      </c>
      <c r="J50">
        <v>0.49759926999999998</v>
      </c>
    </row>
    <row r="51" spans="1:10" x14ac:dyDescent="0.3">
      <c r="A51">
        <v>49</v>
      </c>
      <c r="B51">
        <v>965</v>
      </c>
      <c r="C51" t="b">
        <v>1</v>
      </c>
      <c r="D51">
        <v>8060</v>
      </c>
      <c r="E51">
        <v>8170</v>
      </c>
      <c r="F51">
        <v>229</v>
      </c>
      <c r="G51">
        <v>228.4</v>
      </c>
      <c r="H51">
        <v>1.0026269999999999</v>
      </c>
      <c r="I51">
        <v>-2.6269969999999998E-3</v>
      </c>
      <c r="J51">
        <v>0.49934410000000001</v>
      </c>
    </row>
    <row r="52" spans="1:10" x14ac:dyDescent="0.3">
      <c r="A52">
        <v>50</v>
      </c>
      <c r="B52">
        <v>981</v>
      </c>
      <c r="C52" t="b">
        <v>1</v>
      </c>
      <c r="D52">
        <v>8071</v>
      </c>
      <c r="E52">
        <v>8129</v>
      </c>
      <c r="F52">
        <v>227.8</v>
      </c>
      <c r="G52">
        <v>228.4</v>
      </c>
      <c r="H52">
        <v>0.99737304000000004</v>
      </c>
      <c r="I52">
        <v>2.6269301E-3</v>
      </c>
      <c r="J52">
        <v>0.50065755999999995</v>
      </c>
    </row>
    <row r="53" spans="1:10" x14ac:dyDescent="0.3">
      <c r="A53">
        <v>51</v>
      </c>
      <c r="B53">
        <v>997</v>
      </c>
      <c r="C53" t="b">
        <v>1</v>
      </c>
      <c r="D53">
        <v>8060</v>
      </c>
      <c r="E53">
        <v>8111</v>
      </c>
      <c r="F53">
        <v>227.46665999999999</v>
      </c>
      <c r="G53">
        <v>228</v>
      </c>
      <c r="H53">
        <v>0.99766080000000001</v>
      </c>
      <c r="I53">
        <v>2.3392125E-3</v>
      </c>
      <c r="J53">
        <v>0.50058550000000002</v>
      </c>
    </row>
    <row r="54" spans="1:10" x14ac:dyDescent="0.3">
      <c r="A54">
        <v>52</v>
      </c>
      <c r="B54">
        <v>1028</v>
      </c>
      <c r="C54" t="b">
        <v>1</v>
      </c>
      <c r="D54">
        <v>8060</v>
      </c>
      <c r="E54">
        <v>8134</v>
      </c>
      <c r="F54">
        <v>227.13333</v>
      </c>
      <c r="G54">
        <v>226.8</v>
      </c>
      <c r="H54">
        <v>1.0014696999999999</v>
      </c>
      <c r="I54">
        <v>-1.4697013E-3</v>
      </c>
      <c r="J54">
        <v>0.49963284000000002</v>
      </c>
    </row>
    <row r="55" spans="1:10" x14ac:dyDescent="0.3">
      <c r="A55">
        <v>53</v>
      </c>
      <c r="B55">
        <v>1059</v>
      </c>
      <c r="C55" t="b">
        <v>1</v>
      </c>
      <c r="D55">
        <v>8083</v>
      </c>
      <c r="E55">
        <v>8134</v>
      </c>
      <c r="F55">
        <v>226.8</v>
      </c>
      <c r="G55">
        <v>225.6</v>
      </c>
      <c r="H55">
        <v>1.0053190999999999</v>
      </c>
      <c r="I55">
        <v>-5.3191352999999997E-3</v>
      </c>
      <c r="J55">
        <v>0.49867373999999998</v>
      </c>
    </row>
    <row r="56" spans="1:10" x14ac:dyDescent="0.3">
      <c r="A56">
        <v>54</v>
      </c>
      <c r="B56">
        <v>1075</v>
      </c>
      <c r="C56" t="b">
        <v>1</v>
      </c>
      <c r="D56">
        <v>8088</v>
      </c>
      <c r="E56">
        <v>8129</v>
      </c>
      <c r="F56">
        <v>227.2</v>
      </c>
      <c r="G56">
        <v>224.06666999999999</v>
      </c>
      <c r="H56">
        <v>1.013984</v>
      </c>
      <c r="I56">
        <v>-1.3983924E-2</v>
      </c>
      <c r="J56">
        <v>0.49652829999999998</v>
      </c>
    </row>
    <row r="57" spans="1:10" x14ac:dyDescent="0.3">
      <c r="A57">
        <v>55</v>
      </c>
      <c r="B57">
        <v>1091</v>
      </c>
      <c r="C57" t="b">
        <v>1</v>
      </c>
      <c r="D57">
        <v>8042</v>
      </c>
      <c r="E57">
        <v>8188</v>
      </c>
      <c r="F57">
        <v>226.86667</v>
      </c>
      <c r="G57">
        <v>222.86667</v>
      </c>
      <c r="H57">
        <v>1.0179479</v>
      </c>
      <c r="I57">
        <v>-1.7947951E-2</v>
      </c>
      <c r="J57">
        <v>0.49555293</v>
      </c>
    </row>
    <row r="58" spans="1:10" x14ac:dyDescent="0.3">
      <c r="A58">
        <v>56</v>
      </c>
      <c r="B58">
        <v>1123</v>
      </c>
      <c r="C58" t="b">
        <v>1</v>
      </c>
      <c r="D58">
        <v>8060</v>
      </c>
      <c r="E58">
        <v>8140</v>
      </c>
      <c r="F58">
        <v>226.53334000000001</v>
      </c>
      <c r="G58">
        <v>222.06666999999999</v>
      </c>
      <c r="H58">
        <v>1.0201141</v>
      </c>
      <c r="I58">
        <v>-2.0114116000000001E-2</v>
      </c>
      <c r="J58">
        <v>0.49502154999999998</v>
      </c>
    </row>
    <row r="59" spans="1:10" x14ac:dyDescent="0.3">
      <c r="A59">
        <v>57</v>
      </c>
      <c r="B59">
        <v>1154</v>
      </c>
      <c r="C59" t="b">
        <v>1</v>
      </c>
      <c r="D59">
        <v>8077</v>
      </c>
      <c r="E59">
        <v>8140</v>
      </c>
      <c r="F59">
        <v>226.53334000000001</v>
      </c>
      <c r="G59">
        <v>221.66667000000001</v>
      </c>
      <c r="H59">
        <v>1.0219549000000001</v>
      </c>
      <c r="I59">
        <v>-2.1954896000000002E-2</v>
      </c>
      <c r="J59">
        <v>0.49457087999999999</v>
      </c>
    </row>
    <row r="60" spans="1:10" x14ac:dyDescent="0.3">
      <c r="A60">
        <v>58</v>
      </c>
      <c r="B60">
        <v>1186</v>
      </c>
      <c r="C60" t="b">
        <v>1</v>
      </c>
      <c r="D60">
        <v>8071</v>
      </c>
      <c r="E60">
        <v>8129</v>
      </c>
      <c r="F60">
        <v>226.13333</v>
      </c>
      <c r="G60">
        <v>221.26666</v>
      </c>
      <c r="H60">
        <v>1.0219946</v>
      </c>
      <c r="I60">
        <v>-2.1994586999999999E-2</v>
      </c>
      <c r="J60">
        <v>0.49456116999999999</v>
      </c>
    </row>
    <row r="61" spans="1:10" x14ac:dyDescent="0.3">
      <c r="A61">
        <v>59</v>
      </c>
      <c r="B61">
        <v>1218</v>
      </c>
      <c r="C61" t="b">
        <v>1</v>
      </c>
      <c r="D61">
        <v>8106</v>
      </c>
      <c r="E61">
        <v>8129</v>
      </c>
      <c r="F61">
        <v>225.73334</v>
      </c>
      <c r="G61">
        <v>221.26666</v>
      </c>
      <c r="H61">
        <v>1.0201868000000001</v>
      </c>
      <c r="I61">
        <v>-2.0186840000000001E-2</v>
      </c>
      <c r="J61">
        <v>0.49500372999999998</v>
      </c>
    </row>
    <row r="62" spans="1:10" x14ac:dyDescent="0.3">
      <c r="A62">
        <v>60</v>
      </c>
      <c r="B62">
        <v>1234</v>
      </c>
      <c r="C62" t="b">
        <v>1</v>
      </c>
      <c r="D62">
        <v>8077</v>
      </c>
      <c r="E62">
        <v>8140</v>
      </c>
      <c r="F62">
        <v>226.13333</v>
      </c>
      <c r="G62">
        <v>222</v>
      </c>
      <c r="H62">
        <v>1.0186185999999999</v>
      </c>
      <c r="I62">
        <v>-1.8618610000000001E-2</v>
      </c>
      <c r="J62">
        <v>0.49538827000000002</v>
      </c>
    </row>
    <row r="63" spans="1:10" x14ac:dyDescent="0.3">
      <c r="A63">
        <v>61</v>
      </c>
      <c r="B63">
        <v>1250</v>
      </c>
      <c r="C63" t="b">
        <v>1</v>
      </c>
      <c r="D63">
        <v>8048</v>
      </c>
      <c r="E63">
        <v>8164</v>
      </c>
      <c r="F63">
        <v>226.93333000000001</v>
      </c>
      <c r="G63">
        <v>222.73334</v>
      </c>
      <c r="H63">
        <v>1.0188565999999999</v>
      </c>
      <c r="I63">
        <v>-1.8856615E-2</v>
      </c>
      <c r="J63">
        <v>0.49532986000000001</v>
      </c>
    </row>
    <row r="64" spans="1:10" x14ac:dyDescent="0.3">
      <c r="A64">
        <v>62</v>
      </c>
      <c r="B64">
        <v>1265</v>
      </c>
      <c r="C64" t="b">
        <v>1</v>
      </c>
      <c r="D64">
        <v>8054</v>
      </c>
      <c r="E64">
        <v>8134</v>
      </c>
      <c r="F64">
        <v>227.33332999999999</v>
      </c>
      <c r="G64">
        <v>223.06666999999999</v>
      </c>
      <c r="H64">
        <v>1.0191272</v>
      </c>
      <c r="I64">
        <v>-1.9127298000000001E-2</v>
      </c>
      <c r="J64">
        <v>0.49526350000000002</v>
      </c>
    </row>
    <row r="65" spans="1:10" x14ac:dyDescent="0.3">
      <c r="A65">
        <v>63</v>
      </c>
      <c r="B65">
        <v>1281</v>
      </c>
      <c r="C65" t="b">
        <v>1</v>
      </c>
      <c r="D65">
        <v>8077</v>
      </c>
      <c r="E65">
        <v>8140</v>
      </c>
      <c r="F65">
        <v>228.13333</v>
      </c>
      <c r="G65">
        <v>223.46665999999999</v>
      </c>
      <c r="H65">
        <v>1.0208831</v>
      </c>
      <c r="I65">
        <v>-2.0883077999999999E-2</v>
      </c>
      <c r="J65">
        <v>0.49483319999999997</v>
      </c>
    </row>
    <row r="66" spans="1:10" x14ac:dyDescent="0.3">
      <c r="A66">
        <v>64</v>
      </c>
      <c r="B66">
        <v>1297</v>
      </c>
      <c r="C66" t="b">
        <v>1</v>
      </c>
      <c r="D66">
        <v>8071</v>
      </c>
      <c r="E66">
        <v>8176</v>
      </c>
      <c r="F66">
        <v>228.53334000000001</v>
      </c>
      <c r="G66">
        <v>223.06666999999999</v>
      </c>
      <c r="H66">
        <v>1.0245069</v>
      </c>
      <c r="I66">
        <v>-2.450691E-2</v>
      </c>
      <c r="J66">
        <v>0.49394745000000001</v>
      </c>
    </row>
    <row r="67" spans="1:10" x14ac:dyDescent="0.3">
      <c r="A67">
        <v>65</v>
      </c>
      <c r="B67">
        <v>1313</v>
      </c>
      <c r="C67" t="b">
        <v>1</v>
      </c>
      <c r="D67">
        <v>8071</v>
      </c>
      <c r="E67">
        <v>8117</v>
      </c>
      <c r="F67">
        <v>228.93333000000001</v>
      </c>
      <c r="G67">
        <v>222.66667000000001</v>
      </c>
      <c r="H67">
        <v>1.0281435999999999</v>
      </c>
      <c r="I67">
        <v>-2.8143693000000001E-2</v>
      </c>
      <c r="J67">
        <v>0.49306171999999998</v>
      </c>
    </row>
    <row r="68" spans="1:10" x14ac:dyDescent="0.3">
      <c r="A68">
        <v>66</v>
      </c>
      <c r="B68">
        <v>1328</v>
      </c>
      <c r="C68" t="b">
        <v>1</v>
      </c>
      <c r="D68">
        <v>8077</v>
      </c>
      <c r="E68">
        <v>8152</v>
      </c>
      <c r="F68">
        <v>229.66667000000001</v>
      </c>
      <c r="G68">
        <v>222.26666</v>
      </c>
      <c r="H68">
        <v>1.0332934</v>
      </c>
      <c r="I68">
        <v>-3.3293379999999997E-2</v>
      </c>
      <c r="J68">
        <v>0.4918129</v>
      </c>
    </row>
    <row r="69" spans="1:10" x14ac:dyDescent="0.3">
      <c r="A69">
        <v>67</v>
      </c>
      <c r="B69">
        <v>1344</v>
      </c>
      <c r="C69" t="b">
        <v>1</v>
      </c>
      <c r="D69">
        <v>8054</v>
      </c>
      <c r="E69">
        <v>8134</v>
      </c>
      <c r="F69">
        <v>230.4</v>
      </c>
      <c r="G69">
        <v>222.66667000000001</v>
      </c>
      <c r="H69">
        <v>1.0347303999999999</v>
      </c>
      <c r="I69">
        <v>-3.4730486999999997E-2</v>
      </c>
      <c r="J69">
        <v>0.4914656</v>
      </c>
    </row>
    <row r="70" spans="1:10" x14ac:dyDescent="0.3">
      <c r="A70">
        <v>68</v>
      </c>
      <c r="B70">
        <v>1360</v>
      </c>
      <c r="C70" t="b">
        <v>1</v>
      </c>
      <c r="D70">
        <v>8060</v>
      </c>
      <c r="E70">
        <v>8164</v>
      </c>
      <c r="F70">
        <v>231.13333</v>
      </c>
      <c r="G70">
        <v>223.86667</v>
      </c>
      <c r="H70">
        <v>1.0324597</v>
      </c>
      <c r="I70">
        <v>-3.2459780000000001E-2</v>
      </c>
      <c r="J70">
        <v>0.49201465</v>
      </c>
    </row>
    <row r="71" spans="1:10" x14ac:dyDescent="0.3">
      <c r="A71">
        <v>69</v>
      </c>
      <c r="B71">
        <v>1376</v>
      </c>
      <c r="C71" t="b">
        <v>1</v>
      </c>
      <c r="D71">
        <v>8065</v>
      </c>
      <c r="E71">
        <v>8129</v>
      </c>
      <c r="F71">
        <v>230.73334</v>
      </c>
      <c r="G71">
        <v>224.2</v>
      </c>
      <c r="H71">
        <v>1.0291406999999999</v>
      </c>
      <c r="I71">
        <v>-2.9140681000000002E-2</v>
      </c>
      <c r="J71">
        <v>0.49281943</v>
      </c>
    </row>
    <row r="72" spans="1:10" x14ac:dyDescent="0.3">
      <c r="A72">
        <v>70</v>
      </c>
      <c r="B72">
        <v>1392</v>
      </c>
      <c r="C72" t="b">
        <v>1</v>
      </c>
      <c r="D72">
        <v>8077</v>
      </c>
      <c r="E72">
        <v>8146</v>
      </c>
      <c r="F72">
        <v>231.06666999999999</v>
      </c>
      <c r="G72">
        <v>225</v>
      </c>
      <c r="H72">
        <v>1.0269630000000001</v>
      </c>
      <c r="I72">
        <v>-2.6962957999999999E-2</v>
      </c>
      <c r="J72">
        <v>0.49334896</v>
      </c>
    </row>
    <row r="73" spans="1:10" x14ac:dyDescent="0.3">
      <c r="A73">
        <v>71</v>
      </c>
      <c r="B73">
        <v>1408</v>
      </c>
      <c r="C73" t="b">
        <v>1</v>
      </c>
      <c r="D73">
        <v>8077</v>
      </c>
      <c r="E73">
        <v>8140</v>
      </c>
      <c r="F73">
        <v>231.4</v>
      </c>
      <c r="G73">
        <v>225.4</v>
      </c>
      <c r="H73">
        <v>1.0266192999999999</v>
      </c>
      <c r="I73">
        <v>-2.6619344999999999E-2</v>
      </c>
      <c r="J73">
        <v>0.49343258000000001</v>
      </c>
    </row>
    <row r="74" spans="1:10" x14ac:dyDescent="0.3">
      <c r="A74">
        <v>72</v>
      </c>
      <c r="B74">
        <v>1424</v>
      </c>
      <c r="C74" t="b">
        <v>1</v>
      </c>
      <c r="D74">
        <v>8083</v>
      </c>
      <c r="E74">
        <v>8158</v>
      </c>
      <c r="F74">
        <v>231.4</v>
      </c>
      <c r="G74">
        <v>225.8</v>
      </c>
      <c r="H74">
        <v>1.0248006999999999</v>
      </c>
      <c r="I74">
        <v>-2.4800668000000001E-2</v>
      </c>
      <c r="J74">
        <v>0.49387576999999999</v>
      </c>
    </row>
    <row r="75" spans="1:10" x14ac:dyDescent="0.3">
      <c r="A75">
        <v>73</v>
      </c>
      <c r="B75">
        <v>1440</v>
      </c>
      <c r="C75" t="b">
        <v>1</v>
      </c>
      <c r="D75">
        <v>8071</v>
      </c>
      <c r="E75">
        <v>8111</v>
      </c>
      <c r="F75">
        <v>231.8</v>
      </c>
      <c r="G75">
        <v>225.8</v>
      </c>
      <c r="H75">
        <v>1.0265721999999999</v>
      </c>
      <c r="I75">
        <v>-2.6572186000000001E-2</v>
      </c>
      <c r="J75">
        <v>0.49344406000000002</v>
      </c>
    </row>
    <row r="76" spans="1:10" x14ac:dyDescent="0.3">
      <c r="A76">
        <v>74</v>
      </c>
      <c r="B76">
        <v>1456</v>
      </c>
      <c r="C76" t="b">
        <v>1</v>
      </c>
      <c r="D76">
        <v>8060</v>
      </c>
      <c r="E76">
        <v>8134</v>
      </c>
      <c r="F76">
        <v>232.2</v>
      </c>
      <c r="G76">
        <v>225.8</v>
      </c>
      <c r="H76">
        <v>1.0283437</v>
      </c>
      <c r="I76">
        <v>-2.834364E-2</v>
      </c>
      <c r="J76">
        <v>0.49301309999999998</v>
      </c>
    </row>
    <row r="77" spans="1:10" x14ac:dyDescent="0.3">
      <c r="A77">
        <v>75</v>
      </c>
      <c r="B77">
        <v>1472</v>
      </c>
      <c r="C77" t="b">
        <v>1</v>
      </c>
      <c r="D77">
        <v>8071</v>
      </c>
      <c r="E77">
        <v>8152</v>
      </c>
      <c r="F77">
        <v>231.8</v>
      </c>
      <c r="G77">
        <v>225.8</v>
      </c>
      <c r="H77">
        <v>1.0265721999999999</v>
      </c>
      <c r="I77">
        <v>-2.6572186000000001E-2</v>
      </c>
      <c r="J77">
        <v>0.49344406000000002</v>
      </c>
    </row>
    <row r="78" spans="1:10" x14ac:dyDescent="0.3">
      <c r="A78">
        <v>76</v>
      </c>
      <c r="B78">
        <v>1488</v>
      </c>
      <c r="C78" t="b">
        <v>1</v>
      </c>
      <c r="D78">
        <v>8083</v>
      </c>
      <c r="E78">
        <v>8182</v>
      </c>
      <c r="F78">
        <v>231.4</v>
      </c>
      <c r="G78">
        <v>226.6</v>
      </c>
      <c r="H78">
        <v>1.0211827</v>
      </c>
      <c r="I78">
        <v>-2.1182646999999999E-2</v>
      </c>
      <c r="J78">
        <v>0.49475983000000001</v>
      </c>
    </row>
    <row r="79" spans="1:10" x14ac:dyDescent="0.3">
      <c r="A79">
        <v>77</v>
      </c>
      <c r="B79">
        <v>1520</v>
      </c>
      <c r="C79" t="b">
        <v>1</v>
      </c>
      <c r="D79">
        <v>8042</v>
      </c>
      <c r="E79">
        <v>8134</v>
      </c>
      <c r="F79">
        <v>231.4</v>
      </c>
      <c r="G79">
        <v>226.6</v>
      </c>
      <c r="H79">
        <v>1.0211827</v>
      </c>
      <c r="I79">
        <v>-2.1182646999999999E-2</v>
      </c>
      <c r="J79">
        <v>0.49475983000000001</v>
      </c>
    </row>
    <row r="80" spans="1:10" x14ac:dyDescent="0.3">
      <c r="A80">
        <v>78</v>
      </c>
      <c r="B80">
        <v>1551</v>
      </c>
      <c r="C80" t="b">
        <v>1</v>
      </c>
      <c r="D80">
        <v>8083</v>
      </c>
      <c r="E80">
        <v>8111</v>
      </c>
      <c r="F80">
        <v>231</v>
      </c>
      <c r="G80">
        <v>226.2</v>
      </c>
      <c r="H80">
        <v>1.0212201999999999</v>
      </c>
      <c r="I80">
        <v>-2.1220174000000001E-2</v>
      </c>
      <c r="J80">
        <v>0.49475065000000001</v>
      </c>
    </row>
    <row r="81" spans="1:10" x14ac:dyDescent="0.3">
      <c r="A81">
        <v>79</v>
      </c>
      <c r="B81">
        <v>1567</v>
      </c>
      <c r="C81" t="b">
        <v>1</v>
      </c>
      <c r="D81">
        <v>8048</v>
      </c>
      <c r="E81">
        <v>8123</v>
      </c>
      <c r="F81">
        <v>231</v>
      </c>
      <c r="G81">
        <v>225.8</v>
      </c>
      <c r="H81">
        <v>1.0230292000000001</v>
      </c>
      <c r="I81">
        <v>-2.3029216000000002E-2</v>
      </c>
      <c r="J81">
        <v>0.49430826</v>
      </c>
    </row>
    <row r="82" spans="1:10" x14ac:dyDescent="0.3">
      <c r="A82">
        <v>80</v>
      </c>
      <c r="B82">
        <v>1583</v>
      </c>
      <c r="C82" t="b">
        <v>1</v>
      </c>
      <c r="D82">
        <v>8094</v>
      </c>
      <c r="E82">
        <v>8134</v>
      </c>
      <c r="F82">
        <v>231.8</v>
      </c>
      <c r="G82">
        <v>225.4</v>
      </c>
      <c r="H82">
        <v>1.028394</v>
      </c>
      <c r="I82">
        <v>-2.8394007999999998E-2</v>
      </c>
      <c r="J82">
        <v>0.49300084</v>
      </c>
    </row>
    <row r="83" spans="1:10" x14ac:dyDescent="0.3">
      <c r="A83">
        <v>81</v>
      </c>
      <c r="B83">
        <v>1599</v>
      </c>
      <c r="C83" t="b">
        <v>1</v>
      </c>
      <c r="D83">
        <v>8088</v>
      </c>
      <c r="E83">
        <v>8134</v>
      </c>
      <c r="F83">
        <v>232.6</v>
      </c>
      <c r="G83">
        <v>225</v>
      </c>
      <c r="H83">
        <v>1.0337778</v>
      </c>
      <c r="I83">
        <v>-3.3777803000000002E-2</v>
      </c>
      <c r="J83">
        <v>0.49169580000000002</v>
      </c>
    </row>
    <row r="84" spans="1:10" x14ac:dyDescent="0.3">
      <c r="A84">
        <v>82</v>
      </c>
      <c r="B84">
        <v>1615</v>
      </c>
      <c r="C84" t="b">
        <v>1</v>
      </c>
      <c r="D84">
        <v>8048</v>
      </c>
      <c r="E84">
        <v>8129</v>
      </c>
      <c r="F84">
        <v>233.4</v>
      </c>
      <c r="G84">
        <v>224.26666</v>
      </c>
      <c r="H84">
        <v>1.0407253999999999</v>
      </c>
      <c r="I84">
        <v>-4.0725316999999997E-2</v>
      </c>
      <c r="J84">
        <v>0.49002184999999998</v>
      </c>
    </row>
    <row r="85" spans="1:10" x14ac:dyDescent="0.3">
      <c r="A85">
        <v>83</v>
      </c>
      <c r="B85">
        <v>1630</v>
      </c>
      <c r="C85" t="b">
        <v>1</v>
      </c>
      <c r="D85">
        <v>8088</v>
      </c>
      <c r="E85">
        <v>8123</v>
      </c>
      <c r="F85">
        <v>234.53334000000001</v>
      </c>
      <c r="G85">
        <v>222.73334</v>
      </c>
      <c r="H85">
        <v>1.0529782000000001</v>
      </c>
      <c r="I85">
        <v>-5.2978160000000003E-2</v>
      </c>
      <c r="J85">
        <v>0.48709725999999998</v>
      </c>
    </row>
    <row r="86" spans="1:10" x14ac:dyDescent="0.3">
      <c r="A86">
        <v>84</v>
      </c>
      <c r="B86">
        <v>1646</v>
      </c>
      <c r="C86" t="b">
        <v>1</v>
      </c>
      <c r="D86">
        <v>8060</v>
      </c>
      <c r="E86">
        <v>8134</v>
      </c>
      <c r="F86">
        <v>236.06666999999999</v>
      </c>
      <c r="G86">
        <v>222.73334</v>
      </c>
      <c r="H86">
        <v>1.0598623</v>
      </c>
      <c r="I86">
        <v>-5.9862292999999997E-2</v>
      </c>
      <c r="J86">
        <v>0.48546937000000001</v>
      </c>
    </row>
    <row r="87" spans="1:10" x14ac:dyDescent="0.3">
      <c r="A87">
        <v>85</v>
      </c>
      <c r="B87">
        <v>1662</v>
      </c>
      <c r="C87" t="b">
        <v>1</v>
      </c>
      <c r="D87">
        <v>8065</v>
      </c>
      <c r="E87">
        <v>8146</v>
      </c>
      <c r="F87">
        <v>236.06666999999999</v>
      </c>
      <c r="G87">
        <v>221.93333000000001</v>
      </c>
      <c r="H87">
        <v>1.0636828</v>
      </c>
      <c r="I87">
        <v>-6.3682779999999994E-2</v>
      </c>
      <c r="J87">
        <v>0.48457060000000002</v>
      </c>
    </row>
    <row r="88" spans="1:10" x14ac:dyDescent="0.3">
      <c r="A88">
        <v>86</v>
      </c>
      <c r="B88">
        <v>1678</v>
      </c>
      <c r="C88" t="b">
        <v>1</v>
      </c>
      <c r="D88">
        <v>8071</v>
      </c>
      <c r="E88">
        <v>8146</v>
      </c>
      <c r="F88">
        <v>236.06666999999999</v>
      </c>
      <c r="G88">
        <v>221.53334000000001</v>
      </c>
      <c r="H88">
        <v>1.0656034000000001</v>
      </c>
      <c r="I88">
        <v>-6.5603330000000001E-2</v>
      </c>
      <c r="J88">
        <v>0.48412003999999997</v>
      </c>
    </row>
    <row r="89" spans="1:10" x14ac:dyDescent="0.3">
      <c r="A89">
        <v>87</v>
      </c>
      <c r="B89">
        <v>1693</v>
      </c>
      <c r="C89" t="b">
        <v>1</v>
      </c>
      <c r="D89">
        <v>8077</v>
      </c>
      <c r="E89">
        <v>8152</v>
      </c>
      <c r="F89">
        <v>235.66667000000001</v>
      </c>
      <c r="G89">
        <v>221.53334000000001</v>
      </c>
      <c r="H89">
        <v>1.0637977000000001</v>
      </c>
      <c r="I89">
        <v>-6.3797764000000007E-2</v>
      </c>
      <c r="J89">
        <v>0.48454360000000002</v>
      </c>
    </row>
    <row r="90" spans="1:10" x14ac:dyDescent="0.3">
      <c r="A90">
        <v>88</v>
      </c>
      <c r="B90">
        <v>1709</v>
      </c>
      <c r="C90" t="b">
        <v>1</v>
      </c>
      <c r="D90">
        <v>8077</v>
      </c>
      <c r="E90">
        <v>8152</v>
      </c>
      <c r="F90">
        <v>235.26666</v>
      </c>
      <c r="G90">
        <v>221.93333000000001</v>
      </c>
      <c r="H90">
        <v>1.0600780000000001</v>
      </c>
      <c r="I90">
        <v>-6.0078077000000001E-2</v>
      </c>
      <c r="J90">
        <v>0.48541846999999999</v>
      </c>
    </row>
    <row r="91" spans="1:10" x14ac:dyDescent="0.3">
      <c r="A91">
        <v>89</v>
      </c>
      <c r="B91">
        <v>1725</v>
      </c>
      <c r="C91" t="b">
        <v>1</v>
      </c>
      <c r="D91">
        <v>8083</v>
      </c>
      <c r="E91">
        <v>8117</v>
      </c>
      <c r="F91">
        <v>235.26666</v>
      </c>
      <c r="G91">
        <v>222.33332999999999</v>
      </c>
      <c r="H91">
        <v>1.0581708999999999</v>
      </c>
      <c r="I91">
        <v>-5.8170922E-2</v>
      </c>
      <c r="J91">
        <v>0.48586829999999998</v>
      </c>
    </row>
    <row r="92" spans="1:10" x14ac:dyDescent="0.3">
      <c r="A92">
        <v>90</v>
      </c>
      <c r="B92">
        <v>1741</v>
      </c>
      <c r="C92" t="b">
        <v>1</v>
      </c>
      <c r="D92">
        <v>8077</v>
      </c>
      <c r="E92">
        <v>8129</v>
      </c>
      <c r="F92">
        <v>235.66667000000001</v>
      </c>
      <c r="G92">
        <v>222.73334</v>
      </c>
      <c r="H92">
        <v>1.0580665</v>
      </c>
      <c r="I92">
        <v>-5.8066449999999999E-2</v>
      </c>
      <c r="J92">
        <v>0.48589294999999999</v>
      </c>
    </row>
    <row r="93" spans="1:10" x14ac:dyDescent="0.3">
      <c r="A93">
        <v>91</v>
      </c>
      <c r="B93">
        <v>1773</v>
      </c>
      <c r="C93" t="b">
        <v>1</v>
      </c>
      <c r="D93">
        <v>8048</v>
      </c>
      <c r="E93">
        <v>8134</v>
      </c>
      <c r="F93">
        <v>236.06666999999999</v>
      </c>
      <c r="G93">
        <v>221.53334000000001</v>
      </c>
      <c r="H93">
        <v>1.0656034000000001</v>
      </c>
      <c r="I93">
        <v>-6.5603330000000001E-2</v>
      </c>
      <c r="J93">
        <v>0.48412003999999997</v>
      </c>
    </row>
    <row r="94" spans="1:10" x14ac:dyDescent="0.3">
      <c r="A94">
        <v>92</v>
      </c>
      <c r="B94">
        <v>1804</v>
      </c>
      <c r="C94" t="b">
        <v>1</v>
      </c>
      <c r="D94">
        <v>8060</v>
      </c>
      <c r="E94">
        <v>8134</v>
      </c>
      <c r="F94">
        <v>236.46665999999999</v>
      </c>
      <c r="G94">
        <v>221.53334000000001</v>
      </c>
      <c r="H94">
        <v>1.0674089</v>
      </c>
      <c r="I94">
        <v>-6.7408904000000006E-2</v>
      </c>
      <c r="J94">
        <v>0.48369723999999997</v>
      </c>
    </row>
    <row r="95" spans="1:10" x14ac:dyDescent="0.3">
      <c r="A95">
        <v>93</v>
      </c>
      <c r="B95">
        <v>1835</v>
      </c>
      <c r="C95" t="b">
        <v>1</v>
      </c>
      <c r="D95">
        <v>8054</v>
      </c>
      <c r="E95">
        <v>8129</v>
      </c>
      <c r="F95">
        <v>235.73334</v>
      </c>
      <c r="G95">
        <v>221.2</v>
      </c>
      <c r="H95">
        <v>1.0657023000000001</v>
      </c>
      <c r="I95">
        <v>-6.5702269999999993E-2</v>
      </c>
      <c r="J95">
        <v>0.48409685000000002</v>
      </c>
    </row>
    <row r="96" spans="1:10" x14ac:dyDescent="0.3">
      <c r="A96">
        <v>94</v>
      </c>
      <c r="B96">
        <v>1867</v>
      </c>
      <c r="C96" t="b">
        <v>1</v>
      </c>
      <c r="D96">
        <v>8077</v>
      </c>
      <c r="E96">
        <v>8158</v>
      </c>
      <c r="F96">
        <v>235</v>
      </c>
      <c r="G96">
        <v>221.2</v>
      </c>
      <c r="H96">
        <v>1.062387</v>
      </c>
      <c r="I96">
        <v>-6.2386993000000002E-2</v>
      </c>
      <c r="J96">
        <v>0.48487501999999999</v>
      </c>
    </row>
    <row r="97" spans="1:10" x14ac:dyDescent="0.3">
      <c r="A97">
        <v>95</v>
      </c>
      <c r="B97">
        <v>1883</v>
      </c>
      <c r="C97" t="b">
        <v>1</v>
      </c>
      <c r="D97">
        <v>8060</v>
      </c>
      <c r="E97">
        <v>8158</v>
      </c>
      <c r="F97">
        <v>233.46665999999999</v>
      </c>
      <c r="G97">
        <v>221.2</v>
      </c>
      <c r="H97">
        <v>1.0554551000000001</v>
      </c>
      <c r="I97">
        <v>-5.5455076999999998E-2</v>
      </c>
      <c r="J97">
        <v>0.48651028000000002</v>
      </c>
    </row>
    <row r="98" spans="1:10" x14ac:dyDescent="0.3">
      <c r="A98">
        <v>96</v>
      </c>
      <c r="B98">
        <v>1899</v>
      </c>
      <c r="C98" t="b">
        <v>1</v>
      </c>
      <c r="D98">
        <v>8065</v>
      </c>
      <c r="E98">
        <v>8123</v>
      </c>
      <c r="F98">
        <v>231.93333000000001</v>
      </c>
      <c r="G98">
        <v>221.2</v>
      </c>
      <c r="H98">
        <v>1.0485232</v>
      </c>
      <c r="I98">
        <v>-4.8523225000000003E-2</v>
      </c>
      <c r="J98">
        <v>0.48815652999999998</v>
      </c>
    </row>
    <row r="99" spans="1:10" x14ac:dyDescent="0.3">
      <c r="A99">
        <v>97</v>
      </c>
      <c r="B99">
        <v>1915</v>
      </c>
      <c r="C99" t="b">
        <v>1</v>
      </c>
      <c r="D99">
        <v>8048</v>
      </c>
      <c r="E99">
        <v>8140</v>
      </c>
      <c r="F99">
        <v>230.4</v>
      </c>
      <c r="G99">
        <v>221.93333000000001</v>
      </c>
      <c r="H99">
        <v>1.0381495999999999</v>
      </c>
      <c r="I99">
        <v>-3.8149559999999999E-2</v>
      </c>
      <c r="J99">
        <v>0.49064115000000003</v>
      </c>
    </row>
    <row r="100" spans="1:10" x14ac:dyDescent="0.3">
      <c r="A100">
        <v>98</v>
      </c>
      <c r="B100">
        <v>1930</v>
      </c>
      <c r="C100" t="b">
        <v>1</v>
      </c>
      <c r="D100">
        <v>8083</v>
      </c>
      <c r="E100">
        <v>8140</v>
      </c>
      <c r="F100">
        <v>228.86667</v>
      </c>
      <c r="G100">
        <v>222.66667000000001</v>
      </c>
      <c r="H100">
        <v>1.0278442999999999</v>
      </c>
      <c r="I100">
        <v>-2.7844297E-2</v>
      </c>
      <c r="J100">
        <v>0.49313453000000002</v>
      </c>
    </row>
    <row r="101" spans="1:10" x14ac:dyDescent="0.3">
      <c r="A101">
        <v>99</v>
      </c>
      <c r="B101">
        <v>1946</v>
      </c>
      <c r="C101" t="b">
        <v>1</v>
      </c>
      <c r="D101">
        <v>8083</v>
      </c>
      <c r="E101">
        <v>8123</v>
      </c>
      <c r="F101">
        <v>227.33332999999999</v>
      </c>
      <c r="G101">
        <v>223.06666999999999</v>
      </c>
      <c r="H101">
        <v>1.0191272</v>
      </c>
      <c r="I101">
        <v>-1.9127298000000001E-2</v>
      </c>
      <c r="J101">
        <v>0.49526350000000002</v>
      </c>
    </row>
    <row r="102" spans="1:10" x14ac:dyDescent="0.3">
      <c r="A102">
        <v>100</v>
      </c>
      <c r="B102">
        <v>1963</v>
      </c>
      <c r="C102" t="b">
        <v>1</v>
      </c>
      <c r="D102">
        <v>8077</v>
      </c>
      <c r="E102">
        <v>8111</v>
      </c>
      <c r="F102">
        <v>228.13333</v>
      </c>
      <c r="G102">
        <v>222.33332999999999</v>
      </c>
      <c r="H102">
        <v>1.0260868999999999</v>
      </c>
      <c r="I102">
        <v>-2.6086971E-2</v>
      </c>
      <c r="J102">
        <v>0.49356222</v>
      </c>
    </row>
    <row r="103" spans="1:10" x14ac:dyDescent="0.3">
      <c r="A103">
        <v>101</v>
      </c>
      <c r="B103">
        <v>1978</v>
      </c>
      <c r="C103" t="b">
        <v>1</v>
      </c>
      <c r="D103">
        <v>8065</v>
      </c>
      <c r="E103">
        <v>8099</v>
      </c>
      <c r="F103">
        <v>228.93333000000001</v>
      </c>
      <c r="G103">
        <v>221.6</v>
      </c>
      <c r="H103">
        <v>1.0330926</v>
      </c>
      <c r="I103">
        <v>-3.3092637000000001E-2</v>
      </c>
      <c r="J103">
        <v>0.49186152</v>
      </c>
    </row>
    <row r="104" spans="1:10" x14ac:dyDescent="0.3">
      <c r="A104">
        <v>102</v>
      </c>
      <c r="B104">
        <v>1994</v>
      </c>
      <c r="C104" t="b">
        <v>1</v>
      </c>
      <c r="D104">
        <v>8060</v>
      </c>
      <c r="E104">
        <v>8105</v>
      </c>
      <c r="F104">
        <v>229.33332999999999</v>
      </c>
      <c r="G104">
        <v>219.26666</v>
      </c>
      <c r="H104">
        <v>1.0459106</v>
      </c>
      <c r="I104">
        <v>-4.5910607999999999E-2</v>
      </c>
      <c r="J104">
        <v>0.48877992999999997</v>
      </c>
    </row>
    <row r="105" spans="1:10" x14ac:dyDescent="0.3">
      <c r="A105">
        <v>103</v>
      </c>
      <c r="B105">
        <v>2010</v>
      </c>
      <c r="C105" t="b">
        <v>1</v>
      </c>
      <c r="D105">
        <v>8000</v>
      </c>
      <c r="E105">
        <v>8140</v>
      </c>
      <c r="F105">
        <v>228.93333000000001</v>
      </c>
      <c r="G105">
        <v>216.93333000000001</v>
      </c>
      <c r="H105">
        <v>1.0553166</v>
      </c>
      <c r="I105">
        <v>-5.5316534000000001E-2</v>
      </c>
      <c r="J105">
        <v>0.48654306000000003</v>
      </c>
    </row>
    <row r="106" spans="1:10" x14ac:dyDescent="0.3">
      <c r="A106">
        <v>104</v>
      </c>
      <c r="B106">
        <v>2026</v>
      </c>
      <c r="C106" t="b">
        <v>1</v>
      </c>
      <c r="D106">
        <v>8060</v>
      </c>
      <c r="E106">
        <v>8129</v>
      </c>
      <c r="F106">
        <v>227.8</v>
      </c>
      <c r="G106">
        <v>214.6</v>
      </c>
      <c r="H106">
        <v>1.0615097</v>
      </c>
      <c r="I106">
        <v>-6.1509769999999998E-2</v>
      </c>
      <c r="J106">
        <v>0.48508137000000001</v>
      </c>
    </row>
    <row r="107" spans="1:10" x14ac:dyDescent="0.3">
      <c r="A107">
        <v>105</v>
      </c>
      <c r="B107">
        <v>2042</v>
      </c>
      <c r="C107" t="b">
        <v>1</v>
      </c>
      <c r="D107">
        <v>8054</v>
      </c>
      <c r="E107">
        <v>8117</v>
      </c>
      <c r="F107">
        <v>226.66667000000001</v>
      </c>
      <c r="G107">
        <v>212.66667000000001</v>
      </c>
      <c r="H107">
        <v>1.0658307</v>
      </c>
      <c r="I107">
        <v>-6.5830719999999995E-2</v>
      </c>
      <c r="J107">
        <v>0.48406674999999999</v>
      </c>
    </row>
    <row r="108" spans="1:10" x14ac:dyDescent="0.3">
      <c r="A108">
        <v>106</v>
      </c>
      <c r="B108">
        <v>2057</v>
      </c>
      <c r="C108" t="b">
        <v>1</v>
      </c>
      <c r="D108">
        <v>8083</v>
      </c>
      <c r="E108">
        <v>8140</v>
      </c>
      <c r="F108">
        <v>225.53334000000001</v>
      </c>
      <c r="G108">
        <v>212.33332999999999</v>
      </c>
      <c r="H108">
        <v>1.0621665</v>
      </c>
      <c r="I108">
        <v>-6.2166463999999998E-2</v>
      </c>
      <c r="J108">
        <v>0.48492689999999999</v>
      </c>
    </row>
    <row r="109" spans="1:10" x14ac:dyDescent="0.3">
      <c r="A109">
        <v>107</v>
      </c>
      <c r="B109">
        <v>2090</v>
      </c>
      <c r="C109" t="b">
        <v>1</v>
      </c>
      <c r="D109">
        <v>8065</v>
      </c>
      <c r="E109">
        <v>8152</v>
      </c>
      <c r="F109">
        <v>224.4</v>
      </c>
      <c r="G109">
        <v>212.73334</v>
      </c>
      <c r="H109">
        <v>1.0548416</v>
      </c>
      <c r="I109">
        <v>-5.4841692999999997E-2</v>
      </c>
      <c r="J109">
        <v>0.48665550000000002</v>
      </c>
    </row>
    <row r="110" spans="1:10" x14ac:dyDescent="0.3">
      <c r="A110">
        <v>108</v>
      </c>
      <c r="B110">
        <v>2121</v>
      </c>
      <c r="C110" t="b">
        <v>1</v>
      </c>
      <c r="D110">
        <v>8083</v>
      </c>
      <c r="E110">
        <v>8152</v>
      </c>
      <c r="F110">
        <v>224.73334</v>
      </c>
      <c r="G110">
        <v>213.46665999999999</v>
      </c>
      <c r="H110">
        <v>1.0527796</v>
      </c>
      <c r="I110">
        <v>-5.2779566E-2</v>
      </c>
      <c r="J110">
        <v>0.48714435</v>
      </c>
    </row>
    <row r="111" spans="1:10" x14ac:dyDescent="0.3">
      <c r="A111">
        <v>109</v>
      </c>
      <c r="B111">
        <v>2153</v>
      </c>
      <c r="C111" t="b">
        <v>1</v>
      </c>
      <c r="D111">
        <v>8077</v>
      </c>
      <c r="E111">
        <v>8111</v>
      </c>
      <c r="F111">
        <v>225.86667</v>
      </c>
      <c r="G111">
        <v>213.86667</v>
      </c>
      <c r="H111">
        <v>1.0561096999999999</v>
      </c>
      <c r="I111">
        <v>-5.6109725999999999E-2</v>
      </c>
      <c r="J111">
        <v>0.48635536000000001</v>
      </c>
    </row>
    <row r="112" spans="1:10" x14ac:dyDescent="0.3">
      <c r="A112">
        <v>110</v>
      </c>
      <c r="B112">
        <v>2184</v>
      </c>
      <c r="C112" t="b">
        <v>1</v>
      </c>
      <c r="D112">
        <v>8065</v>
      </c>
      <c r="E112">
        <v>8129</v>
      </c>
      <c r="F112">
        <v>227</v>
      </c>
      <c r="G112">
        <v>214.26666</v>
      </c>
      <c r="H112">
        <v>1.0594275</v>
      </c>
      <c r="I112">
        <v>-5.9427526000000001E-2</v>
      </c>
      <c r="J112">
        <v>0.48557182999999998</v>
      </c>
    </row>
    <row r="113" spans="1:10" x14ac:dyDescent="0.3">
      <c r="A113">
        <v>111</v>
      </c>
      <c r="B113">
        <v>2200</v>
      </c>
      <c r="C113" t="b">
        <v>1</v>
      </c>
      <c r="D113">
        <v>8077</v>
      </c>
      <c r="E113">
        <v>8146</v>
      </c>
      <c r="F113">
        <v>228.13333</v>
      </c>
      <c r="G113">
        <v>215.06666999999999</v>
      </c>
      <c r="H113">
        <v>1.0607563</v>
      </c>
      <c r="I113">
        <v>-6.0756350000000001E-2</v>
      </c>
      <c r="J113">
        <v>0.48525869999999999</v>
      </c>
    </row>
    <row r="114" spans="1:10" x14ac:dyDescent="0.3">
      <c r="A114">
        <v>112</v>
      </c>
      <c r="B114">
        <v>2216</v>
      </c>
      <c r="C114" t="b">
        <v>1</v>
      </c>
      <c r="D114">
        <v>8094</v>
      </c>
      <c r="E114">
        <v>8129</v>
      </c>
      <c r="F114">
        <v>229.26666</v>
      </c>
      <c r="G114">
        <v>214.33332999999999</v>
      </c>
      <c r="H114">
        <v>1.0696734000000001</v>
      </c>
      <c r="I114">
        <v>-6.9673410000000005E-2</v>
      </c>
      <c r="J114">
        <v>0.48316804000000002</v>
      </c>
    </row>
    <row r="115" spans="1:10" x14ac:dyDescent="0.3">
      <c r="A115">
        <v>113</v>
      </c>
      <c r="B115">
        <v>2248</v>
      </c>
      <c r="C115" t="b">
        <v>1</v>
      </c>
      <c r="D115">
        <v>8054</v>
      </c>
      <c r="E115">
        <v>8111</v>
      </c>
      <c r="F115">
        <v>230.06666999999999</v>
      </c>
      <c r="G115">
        <v>213.6</v>
      </c>
      <c r="H115">
        <v>1.0770911000000001</v>
      </c>
      <c r="I115">
        <v>-7.7091099999999996E-2</v>
      </c>
      <c r="J115">
        <v>0.4814425</v>
      </c>
    </row>
    <row r="116" spans="1:10" x14ac:dyDescent="0.3">
      <c r="A116">
        <v>114</v>
      </c>
      <c r="B116">
        <v>2280</v>
      </c>
      <c r="C116" t="b">
        <v>1</v>
      </c>
      <c r="D116">
        <v>8065</v>
      </c>
      <c r="E116">
        <v>8123</v>
      </c>
      <c r="F116">
        <v>230.06666999999999</v>
      </c>
      <c r="G116">
        <v>212.86667</v>
      </c>
      <c r="H116">
        <v>1.0808017000000001</v>
      </c>
      <c r="I116">
        <v>-8.0801739999999997E-2</v>
      </c>
      <c r="J116">
        <v>0.48058397000000003</v>
      </c>
    </row>
    <row r="117" spans="1:10" x14ac:dyDescent="0.3">
      <c r="A117">
        <v>115</v>
      </c>
      <c r="B117">
        <v>2296</v>
      </c>
      <c r="C117" t="b">
        <v>1</v>
      </c>
      <c r="D117">
        <v>8077</v>
      </c>
      <c r="E117">
        <v>8146</v>
      </c>
      <c r="F117">
        <v>230.06666999999999</v>
      </c>
      <c r="G117">
        <v>213.26666</v>
      </c>
      <c r="H117">
        <v>1.0787747000000001</v>
      </c>
      <c r="I117">
        <v>-7.8774629999999998E-2</v>
      </c>
      <c r="J117">
        <v>0.48105263999999998</v>
      </c>
    </row>
    <row r="118" spans="1:10" x14ac:dyDescent="0.3">
      <c r="A118">
        <v>116</v>
      </c>
      <c r="B118">
        <v>2312</v>
      </c>
      <c r="C118" t="b">
        <v>1</v>
      </c>
      <c r="D118">
        <v>8077</v>
      </c>
      <c r="E118">
        <v>8099</v>
      </c>
      <c r="F118">
        <v>230.06666999999999</v>
      </c>
      <c r="G118">
        <v>213.26666</v>
      </c>
      <c r="H118">
        <v>1.0787747000000001</v>
      </c>
      <c r="I118">
        <v>-7.8774629999999998E-2</v>
      </c>
      <c r="J118">
        <v>0.48105263999999998</v>
      </c>
    </row>
    <row r="119" spans="1:10" x14ac:dyDescent="0.3">
      <c r="A119">
        <v>117</v>
      </c>
      <c r="B119">
        <v>2327</v>
      </c>
      <c r="C119" t="b">
        <v>1</v>
      </c>
      <c r="D119">
        <v>8054</v>
      </c>
      <c r="E119">
        <v>8134</v>
      </c>
      <c r="F119">
        <v>229.26666</v>
      </c>
      <c r="G119">
        <v>214.06666999999999</v>
      </c>
      <c r="H119">
        <v>1.0710059999999999</v>
      </c>
      <c r="I119">
        <v>-7.1005899999999997E-2</v>
      </c>
      <c r="J119">
        <v>0.48285717</v>
      </c>
    </row>
    <row r="120" spans="1:10" x14ac:dyDescent="0.3">
      <c r="A120">
        <v>118</v>
      </c>
      <c r="B120">
        <v>2359</v>
      </c>
      <c r="C120" t="b">
        <v>1</v>
      </c>
      <c r="D120">
        <v>8065</v>
      </c>
      <c r="E120">
        <v>8111</v>
      </c>
      <c r="F120">
        <v>229.26666</v>
      </c>
      <c r="G120">
        <v>214.86667</v>
      </c>
      <c r="H120">
        <v>1.0670183</v>
      </c>
      <c r="I120">
        <v>-6.701828E-2</v>
      </c>
      <c r="J120">
        <v>0.48378866999999998</v>
      </c>
    </row>
    <row r="121" spans="1:10" x14ac:dyDescent="0.3">
      <c r="A121">
        <v>119</v>
      </c>
      <c r="B121">
        <v>2375</v>
      </c>
      <c r="C121" t="b">
        <v>1</v>
      </c>
      <c r="D121">
        <v>8071</v>
      </c>
      <c r="E121">
        <v>8152</v>
      </c>
      <c r="F121">
        <v>230</v>
      </c>
      <c r="G121">
        <v>216.4</v>
      </c>
      <c r="H121">
        <v>1.0628466999999999</v>
      </c>
      <c r="I121">
        <v>-6.2846609999999997E-2</v>
      </c>
      <c r="J121">
        <v>0.48476701999999999</v>
      </c>
    </row>
    <row r="122" spans="1:10" x14ac:dyDescent="0.3">
      <c r="A122">
        <v>120</v>
      </c>
      <c r="B122">
        <v>2390</v>
      </c>
      <c r="C122" t="b">
        <v>1</v>
      </c>
      <c r="D122">
        <v>8077</v>
      </c>
      <c r="E122">
        <v>8117</v>
      </c>
      <c r="F122">
        <v>230.73334</v>
      </c>
      <c r="G122">
        <v>216.4</v>
      </c>
      <c r="H122">
        <v>1.0662354000000001</v>
      </c>
      <c r="I122">
        <v>-6.6235416000000005E-2</v>
      </c>
      <c r="J122">
        <v>0.48397194999999998</v>
      </c>
    </row>
    <row r="123" spans="1:10" x14ac:dyDescent="0.3">
      <c r="A123">
        <v>121</v>
      </c>
      <c r="B123">
        <v>2406</v>
      </c>
      <c r="C123" t="b">
        <v>1</v>
      </c>
      <c r="D123">
        <v>8077</v>
      </c>
      <c r="E123">
        <v>8134</v>
      </c>
      <c r="F123">
        <v>231.46665999999999</v>
      </c>
      <c r="G123">
        <v>216.73334</v>
      </c>
      <c r="H123">
        <v>1.067979</v>
      </c>
      <c r="I123">
        <v>-6.7979029999999996E-2</v>
      </c>
      <c r="J123">
        <v>0.48356387000000001</v>
      </c>
    </row>
    <row r="124" spans="1:10" x14ac:dyDescent="0.3">
      <c r="A124">
        <v>122</v>
      </c>
      <c r="B124">
        <v>2422</v>
      </c>
      <c r="C124" t="b">
        <v>1</v>
      </c>
      <c r="D124">
        <v>8077</v>
      </c>
      <c r="E124">
        <v>8129</v>
      </c>
      <c r="F124">
        <v>232.6</v>
      </c>
      <c r="G124">
        <v>216</v>
      </c>
      <c r="H124">
        <v>1.0768518</v>
      </c>
      <c r="I124">
        <v>-7.6851879999999997E-2</v>
      </c>
      <c r="J124">
        <v>0.48149797</v>
      </c>
    </row>
    <row r="125" spans="1:10" x14ac:dyDescent="0.3">
      <c r="A125">
        <v>123</v>
      </c>
      <c r="B125">
        <v>2438</v>
      </c>
      <c r="C125" t="b">
        <v>1</v>
      </c>
      <c r="D125">
        <v>8094</v>
      </c>
      <c r="E125">
        <v>8123</v>
      </c>
      <c r="F125">
        <v>233.4</v>
      </c>
      <c r="G125">
        <v>215.26666</v>
      </c>
      <c r="H125">
        <v>1.0842366000000001</v>
      </c>
      <c r="I125">
        <v>-8.4236599999999995E-2</v>
      </c>
      <c r="J125">
        <v>0.47979197000000001</v>
      </c>
    </row>
    <row r="126" spans="1:10" x14ac:dyDescent="0.3">
      <c r="A126">
        <v>124</v>
      </c>
      <c r="B126">
        <v>2470</v>
      </c>
      <c r="C126" t="b">
        <v>1</v>
      </c>
      <c r="D126">
        <v>8048</v>
      </c>
      <c r="E126">
        <v>8146</v>
      </c>
      <c r="F126">
        <v>233.4</v>
      </c>
      <c r="G126">
        <v>214.53334000000001</v>
      </c>
      <c r="H126">
        <v>1.0879426999999999</v>
      </c>
      <c r="I126">
        <v>-8.7942759999999995E-2</v>
      </c>
      <c r="J126">
        <v>0.47894029999999999</v>
      </c>
    </row>
    <row r="127" spans="1:10" x14ac:dyDescent="0.3">
      <c r="A127">
        <v>125</v>
      </c>
      <c r="B127">
        <v>2502</v>
      </c>
      <c r="C127" t="b">
        <v>1</v>
      </c>
      <c r="D127">
        <v>8077</v>
      </c>
      <c r="E127">
        <v>8129</v>
      </c>
      <c r="F127">
        <v>233.4</v>
      </c>
      <c r="G127">
        <v>213.8</v>
      </c>
      <c r="H127">
        <v>1.0916744</v>
      </c>
      <c r="I127">
        <v>-9.1674420000000006E-2</v>
      </c>
      <c r="J127">
        <v>0.47808588000000002</v>
      </c>
    </row>
    <row r="128" spans="1:10" x14ac:dyDescent="0.3">
      <c r="A128">
        <v>126</v>
      </c>
      <c r="B128">
        <v>2534</v>
      </c>
      <c r="C128" t="b">
        <v>1</v>
      </c>
      <c r="D128">
        <v>8088</v>
      </c>
      <c r="E128">
        <v>8140</v>
      </c>
      <c r="F128">
        <v>233.4</v>
      </c>
      <c r="G128">
        <v>212.66667000000001</v>
      </c>
      <c r="H128">
        <v>1.0974921</v>
      </c>
      <c r="I128">
        <v>-9.7492105999999995E-2</v>
      </c>
      <c r="J128">
        <v>0.47675984999999999</v>
      </c>
    </row>
    <row r="129" spans="1:10" x14ac:dyDescent="0.3">
      <c r="A129">
        <v>127</v>
      </c>
      <c r="B129">
        <v>2549</v>
      </c>
      <c r="C129" t="b">
        <v>1</v>
      </c>
      <c r="D129">
        <v>8106</v>
      </c>
      <c r="E129">
        <v>8146</v>
      </c>
      <c r="F129">
        <v>234.13333</v>
      </c>
      <c r="G129">
        <v>213.4</v>
      </c>
      <c r="H129">
        <v>1.0971571</v>
      </c>
      <c r="I129">
        <v>-9.7157160000000006E-2</v>
      </c>
      <c r="J129">
        <v>0.47683599999999998</v>
      </c>
    </row>
    <row r="130" spans="1:10" x14ac:dyDescent="0.3">
      <c r="A130">
        <v>128</v>
      </c>
      <c r="B130">
        <v>2565</v>
      </c>
      <c r="C130" t="b">
        <v>1</v>
      </c>
      <c r="D130">
        <v>8077</v>
      </c>
      <c r="E130">
        <v>8146</v>
      </c>
      <c r="F130">
        <v>234.13333</v>
      </c>
      <c r="G130">
        <v>214.53334000000001</v>
      </c>
      <c r="H130">
        <v>1.091361</v>
      </c>
      <c r="I130">
        <v>-9.1361046000000001E-2</v>
      </c>
      <c r="J130">
        <v>0.47815750000000001</v>
      </c>
    </row>
    <row r="131" spans="1:10" x14ac:dyDescent="0.3">
      <c r="A131">
        <v>129</v>
      </c>
      <c r="B131">
        <v>2581</v>
      </c>
      <c r="C131" t="b">
        <v>1</v>
      </c>
      <c r="D131">
        <v>8060</v>
      </c>
      <c r="E131">
        <v>8111</v>
      </c>
      <c r="F131">
        <v>234.93333000000001</v>
      </c>
      <c r="G131">
        <v>215.26666</v>
      </c>
      <c r="H131">
        <v>1.0913596000000001</v>
      </c>
      <c r="I131">
        <v>-9.1359579999999996E-2</v>
      </c>
      <c r="J131">
        <v>0.47815785</v>
      </c>
    </row>
    <row r="132" spans="1:10" x14ac:dyDescent="0.3">
      <c r="A132">
        <v>130</v>
      </c>
      <c r="B132">
        <v>2597</v>
      </c>
      <c r="C132" t="b">
        <v>1</v>
      </c>
      <c r="D132">
        <v>8037</v>
      </c>
      <c r="E132">
        <v>8134</v>
      </c>
      <c r="F132">
        <v>234.93333000000001</v>
      </c>
      <c r="G132">
        <v>216</v>
      </c>
      <c r="H132">
        <v>1.0876543999999999</v>
      </c>
      <c r="I132">
        <v>-8.7654319999999994E-2</v>
      </c>
      <c r="J132">
        <v>0.4790065</v>
      </c>
    </row>
    <row r="133" spans="1:10" x14ac:dyDescent="0.3">
      <c r="A133">
        <v>131</v>
      </c>
      <c r="B133">
        <v>2613</v>
      </c>
      <c r="C133" t="b">
        <v>1</v>
      </c>
      <c r="D133">
        <v>8088</v>
      </c>
      <c r="E133">
        <v>8152</v>
      </c>
      <c r="F133">
        <v>234.93333000000001</v>
      </c>
      <c r="G133">
        <v>217.53334000000001</v>
      </c>
      <c r="H133">
        <v>1.0799878000000001</v>
      </c>
      <c r="I133">
        <v>-7.9987710000000004E-2</v>
      </c>
      <c r="J133">
        <v>0.48077207999999999</v>
      </c>
    </row>
    <row r="134" spans="1:10" x14ac:dyDescent="0.3">
      <c r="A134">
        <v>132</v>
      </c>
      <c r="B134">
        <v>2629</v>
      </c>
      <c r="C134" t="b">
        <v>1</v>
      </c>
      <c r="D134">
        <v>8060</v>
      </c>
      <c r="E134">
        <v>8117</v>
      </c>
      <c r="F134">
        <v>234.6</v>
      </c>
      <c r="G134">
        <v>218.26666</v>
      </c>
      <c r="H134">
        <v>1.0748321000000001</v>
      </c>
      <c r="I134">
        <v>-7.4832060000000006E-2</v>
      </c>
      <c r="J134">
        <v>0.48196673000000001</v>
      </c>
    </row>
    <row r="135" spans="1:10" x14ac:dyDescent="0.3">
      <c r="A135">
        <v>133</v>
      </c>
      <c r="B135">
        <v>2645</v>
      </c>
      <c r="C135" t="b">
        <v>1</v>
      </c>
      <c r="D135">
        <v>8071</v>
      </c>
      <c r="E135">
        <v>8129</v>
      </c>
      <c r="F135">
        <v>234.26666</v>
      </c>
      <c r="G135">
        <v>218.66667000000001</v>
      </c>
      <c r="H135">
        <v>1.0713414000000001</v>
      </c>
      <c r="I135">
        <v>-7.1341420000000003E-2</v>
      </c>
      <c r="J135">
        <v>0.48277890000000001</v>
      </c>
    </row>
    <row r="136" spans="1:10" x14ac:dyDescent="0.3">
      <c r="A136">
        <v>134</v>
      </c>
      <c r="B136">
        <v>2661</v>
      </c>
      <c r="C136" t="b">
        <v>1</v>
      </c>
      <c r="D136">
        <v>8060</v>
      </c>
      <c r="E136">
        <v>8105</v>
      </c>
      <c r="F136">
        <v>233.53334000000001</v>
      </c>
      <c r="G136">
        <v>218.33332999999999</v>
      </c>
      <c r="H136">
        <v>1.0696182999999999</v>
      </c>
      <c r="I136">
        <v>-6.9618379999999994E-2</v>
      </c>
      <c r="J136">
        <v>0.48318087999999998</v>
      </c>
    </row>
    <row r="137" spans="1:10" x14ac:dyDescent="0.3">
      <c r="A137">
        <v>135</v>
      </c>
      <c r="B137">
        <v>2677</v>
      </c>
      <c r="C137" t="b">
        <v>1</v>
      </c>
      <c r="D137">
        <v>8054</v>
      </c>
      <c r="E137">
        <v>8152</v>
      </c>
      <c r="F137">
        <v>232.8</v>
      </c>
      <c r="G137">
        <v>219.13333</v>
      </c>
      <c r="H137">
        <v>1.0623670000000001</v>
      </c>
      <c r="I137">
        <v>-6.2366924999999997E-2</v>
      </c>
      <c r="J137">
        <v>0.48487975999999999</v>
      </c>
    </row>
    <row r="138" spans="1:10" x14ac:dyDescent="0.3">
      <c r="A138">
        <v>136</v>
      </c>
      <c r="B138">
        <v>2693</v>
      </c>
      <c r="C138" t="b">
        <v>1</v>
      </c>
      <c r="D138">
        <v>8060</v>
      </c>
      <c r="E138">
        <v>8158</v>
      </c>
      <c r="F138">
        <v>232.06666999999999</v>
      </c>
      <c r="G138">
        <v>218.8</v>
      </c>
      <c r="H138">
        <v>1.0606338</v>
      </c>
      <c r="I138">
        <v>-6.0633739999999998E-2</v>
      </c>
      <c r="J138">
        <v>0.48528759999999999</v>
      </c>
    </row>
    <row r="139" spans="1:10" x14ac:dyDescent="0.3">
      <c r="A139">
        <v>137</v>
      </c>
      <c r="B139">
        <v>2709</v>
      </c>
      <c r="C139" t="b">
        <v>1</v>
      </c>
      <c r="D139">
        <v>8060</v>
      </c>
      <c r="E139">
        <v>8134</v>
      </c>
      <c r="F139">
        <v>230.93333000000001</v>
      </c>
      <c r="G139">
        <v>219.13333</v>
      </c>
      <c r="H139">
        <v>1.0538485</v>
      </c>
      <c r="I139">
        <v>-5.3848510000000002E-2</v>
      </c>
      <c r="J139">
        <v>0.48689084999999999</v>
      </c>
    </row>
    <row r="140" spans="1:10" x14ac:dyDescent="0.3">
      <c r="A140">
        <v>138</v>
      </c>
      <c r="B140">
        <v>2740</v>
      </c>
      <c r="C140" t="b">
        <v>1</v>
      </c>
      <c r="D140">
        <v>8106</v>
      </c>
      <c r="E140">
        <v>8134</v>
      </c>
      <c r="F140">
        <v>229.8</v>
      </c>
      <c r="G140">
        <v>219.46665999999999</v>
      </c>
      <c r="H140">
        <v>1.0470839000000001</v>
      </c>
      <c r="I140">
        <v>-4.7083890000000003E-2</v>
      </c>
      <c r="J140">
        <v>0.48849976000000001</v>
      </c>
    </row>
    <row r="141" spans="1:10" x14ac:dyDescent="0.3">
      <c r="A141">
        <v>139</v>
      </c>
      <c r="B141">
        <v>2757</v>
      </c>
      <c r="C141" t="b">
        <v>1</v>
      </c>
      <c r="D141">
        <v>8083</v>
      </c>
      <c r="E141">
        <v>8146</v>
      </c>
      <c r="F141">
        <v>228.66667000000001</v>
      </c>
      <c r="G141">
        <v>220.6</v>
      </c>
      <c r="H141">
        <v>1.036567</v>
      </c>
      <c r="I141">
        <v>-3.6566929999999997E-2</v>
      </c>
      <c r="J141">
        <v>0.49102244</v>
      </c>
    </row>
    <row r="142" spans="1:10" x14ac:dyDescent="0.3">
      <c r="A142">
        <v>140</v>
      </c>
      <c r="B142">
        <v>2789</v>
      </c>
      <c r="C142" t="b">
        <v>1</v>
      </c>
      <c r="D142">
        <v>8065</v>
      </c>
      <c r="E142">
        <v>8117</v>
      </c>
      <c r="F142">
        <v>227.86667</v>
      </c>
      <c r="G142">
        <v>220.93333000000001</v>
      </c>
      <c r="H142">
        <v>1.031382</v>
      </c>
      <c r="I142">
        <v>-3.1382019999999997E-2</v>
      </c>
      <c r="J142">
        <v>0.49227569999999998</v>
      </c>
    </row>
    <row r="143" spans="1:10" x14ac:dyDescent="0.3">
      <c r="A143">
        <v>141</v>
      </c>
      <c r="B143">
        <v>2805</v>
      </c>
      <c r="C143" t="b">
        <v>1</v>
      </c>
      <c r="D143">
        <v>8054</v>
      </c>
      <c r="E143">
        <v>8146</v>
      </c>
      <c r="F143">
        <v>227.06666999999999</v>
      </c>
      <c r="G143">
        <v>221.26666</v>
      </c>
      <c r="H143">
        <v>1.0262127000000001</v>
      </c>
      <c r="I143">
        <v>-2.621273E-2</v>
      </c>
      <c r="J143">
        <v>0.49353160000000001</v>
      </c>
    </row>
    <row r="144" spans="1:10" x14ac:dyDescent="0.3">
      <c r="A144">
        <v>142</v>
      </c>
      <c r="B144">
        <v>2836</v>
      </c>
      <c r="C144" t="b">
        <v>1</v>
      </c>
      <c r="D144">
        <v>8037</v>
      </c>
      <c r="E144">
        <v>8129</v>
      </c>
      <c r="F144">
        <v>225.53334000000001</v>
      </c>
      <c r="G144">
        <v>220.86667</v>
      </c>
      <c r="H144">
        <v>1.0211288999999999</v>
      </c>
      <c r="I144">
        <v>-2.1128910000000001E-2</v>
      </c>
      <c r="J144">
        <v>0.49477296999999998</v>
      </c>
    </row>
    <row r="145" spans="1:10" x14ac:dyDescent="0.3">
      <c r="A145">
        <v>143</v>
      </c>
      <c r="B145">
        <v>2852</v>
      </c>
      <c r="C145" t="b">
        <v>1</v>
      </c>
      <c r="D145">
        <v>8106</v>
      </c>
      <c r="E145">
        <v>8158</v>
      </c>
      <c r="F145">
        <v>224.73334</v>
      </c>
      <c r="G145">
        <v>220.86667</v>
      </c>
      <c r="H145">
        <v>1.0175068</v>
      </c>
      <c r="I145">
        <v>-1.7506799999999999E-2</v>
      </c>
      <c r="J145">
        <v>0.49566130000000003</v>
      </c>
    </row>
    <row r="146" spans="1:10" x14ac:dyDescent="0.3">
      <c r="A146">
        <v>144</v>
      </c>
      <c r="B146">
        <v>2869</v>
      </c>
      <c r="C146" t="b">
        <v>1</v>
      </c>
      <c r="D146">
        <v>8077</v>
      </c>
      <c r="E146">
        <v>8146</v>
      </c>
      <c r="F146">
        <v>223.93333000000001</v>
      </c>
      <c r="G146">
        <v>221.26666</v>
      </c>
      <c r="H146">
        <v>1.0120518000000001</v>
      </c>
      <c r="I146">
        <v>-1.2051846E-2</v>
      </c>
      <c r="J146">
        <v>0.49700507999999999</v>
      </c>
    </row>
    <row r="147" spans="1:10" x14ac:dyDescent="0.3">
      <c r="A147">
        <v>145</v>
      </c>
      <c r="B147">
        <v>2884</v>
      </c>
      <c r="C147" t="b">
        <v>1</v>
      </c>
      <c r="D147">
        <v>8071</v>
      </c>
      <c r="E147">
        <v>8129</v>
      </c>
      <c r="F147">
        <v>223.53334000000001</v>
      </c>
      <c r="G147">
        <v>221.66667000000001</v>
      </c>
      <c r="H147">
        <v>1.0084211000000001</v>
      </c>
      <c r="I147">
        <v>-8.421062E-3</v>
      </c>
      <c r="J147">
        <v>0.49790356000000002</v>
      </c>
    </row>
    <row r="148" spans="1:10" x14ac:dyDescent="0.3">
      <c r="A148">
        <v>146</v>
      </c>
      <c r="B148">
        <v>2916</v>
      </c>
      <c r="C148" t="b">
        <v>1</v>
      </c>
      <c r="D148">
        <v>8083</v>
      </c>
      <c r="E148">
        <v>8158</v>
      </c>
      <c r="F148">
        <v>223.53334000000001</v>
      </c>
      <c r="G148">
        <v>221.66667000000001</v>
      </c>
      <c r="H148">
        <v>1.0084211000000001</v>
      </c>
      <c r="I148">
        <v>-8.421062E-3</v>
      </c>
      <c r="J148">
        <v>0.49790356000000002</v>
      </c>
    </row>
    <row r="149" spans="1:10" x14ac:dyDescent="0.3">
      <c r="A149">
        <v>147</v>
      </c>
      <c r="B149">
        <v>2932</v>
      </c>
      <c r="C149" t="b">
        <v>1</v>
      </c>
      <c r="D149">
        <v>8065</v>
      </c>
      <c r="E149">
        <v>8158</v>
      </c>
      <c r="F149">
        <v>224.66667000000001</v>
      </c>
      <c r="G149">
        <v>223.26666</v>
      </c>
      <c r="H149">
        <v>1.0062705000000001</v>
      </c>
      <c r="I149">
        <v>-6.2705696999999999E-3</v>
      </c>
      <c r="J149">
        <v>0.49843723000000001</v>
      </c>
    </row>
    <row r="150" spans="1:10" x14ac:dyDescent="0.3">
      <c r="A150">
        <v>148</v>
      </c>
      <c r="B150">
        <v>2948</v>
      </c>
      <c r="C150" t="b">
        <v>1</v>
      </c>
      <c r="D150">
        <v>8037</v>
      </c>
      <c r="E150">
        <v>8140</v>
      </c>
      <c r="F150">
        <v>225.4</v>
      </c>
      <c r="G150">
        <v>224.4</v>
      </c>
      <c r="H150">
        <v>1.0044563</v>
      </c>
      <c r="I150">
        <v>-4.4563279999999999E-3</v>
      </c>
      <c r="J150">
        <v>0.49888840000000001</v>
      </c>
    </row>
    <row r="151" spans="1:10" x14ac:dyDescent="0.3">
      <c r="A151">
        <v>149</v>
      </c>
      <c r="B151">
        <v>2964</v>
      </c>
      <c r="C151" t="b">
        <v>1</v>
      </c>
      <c r="D151">
        <v>8071</v>
      </c>
      <c r="E151">
        <v>8140</v>
      </c>
      <c r="F151">
        <v>226.13333</v>
      </c>
      <c r="G151">
        <v>225.13333</v>
      </c>
      <c r="H151">
        <v>1.0044419</v>
      </c>
      <c r="I151">
        <v>-4.4418119999999998E-3</v>
      </c>
      <c r="J151">
        <v>0.498892</v>
      </c>
    </row>
    <row r="152" spans="1:10" x14ac:dyDescent="0.3">
      <c r="A152">
        <v>150</v>
      </c>
      <c r="B152">
        <v>2979</v>
      </c>
      <c r="C152" t="b">
        <v>1</v>
      </c>
      <c r="D152">
        <v>8083</v>
      </c>
      <c r="E152">
        <v>8140</v>
      </c>
      <c r="F152">
        <v>226.86667</v>
      </c>
      <c r="G152">
        <v>225.86667</v>
      </c>
      <c r="H152">
        <v>1.0044274</v>
      </c>
      <c r="I152">
        <v>-4.4273906E-3</v>
      </c>
      <c r="J152">
        <v>0.49889559999999999</v>
      </c>
    </row>
    <row r="153" spans="1:10" x14ac:dyDescent="0.3">
      <c r="A153">
        <v>151</v>
      </c>
      <c r="B153">
        <v>2995</v>
      </c>
      <c r="C153" t="b">
        <v>1</v>
      </c>
      <c r="D153">
        <v>8060</v>
      </c>
      <c r="E153">
        <v>8140</v>
      </c>
      <c r="F153">
        <v>227.2</v>
      </c>
      <c r="G153">
        <v>226.6</v>
      </c>
      <c r="H153">
        <v>1.0026478000000001</v>
      </c>
      <c r="I153">
        <v>-2.6477969999999999E-3</v>
      </c>
      <c r="J153">
        <v>0.49933895</v>
      </c>
    </row>
    <row r="154" spans="1:10" x14ac:dyDescent="0.3">
      <c r="A154">
        <v>152</v>
      </c>
      <c r="B154">
        <v>3011</v>
      </c>
      <c r="C154" t="b">
        <v>1</v>
      </c>
      <c r="D154">
        <v>8077</v>
      </c>
      <c r="E154">
        <v>8129</v>
      </c>
      <c r="F154">
        <v>227.93333000000001</v>
      </c>
      <c r="G154">
        <v>227</v>
      </c>
      <c r="H154">
        <v>1.0041116000000001</v>
      </c>
      <c r="I154">
        <v>-4.1116049999999999E-3</v>
      </c>
      <c r="J154">
        <v>0.49897419999999998</v>
      </c>
    </row>
    <row r="155" spans="1:10" x14ac:dyDescent="0.3">
      <c r="A155">
        <v>153</v>
      </c>
      <c r="B155">
        <v>3027</v>
      </c>
      <c r="C155" t="b">
        <v>1</v>
      </c>
      <c r="D155">
        <v>8000</v>
      </c>
      <c r="E155">
        <v>8152</v>
      </c>
      <c r="F155">
        <v>228.66667000000001</v>
      </c>
      <c r="G155">
        <v>227.4</v>
      </c>
      <c r="H155">
        <v>1.0055703</v>
      </c>
      <c r="I155">
        <v>-5.5702636E-3</v>
      </c>
      <c r="J155">
        <v>0.49861133000000002</v>
      </c>
    </row>
    <row r="156" spans="1:10" x14ac:dyDescent="0.3">
      <c r="A156">
        <v>154</v>
      </c>
      <c r="B156">
        <v>3043</v>
      </c>
      <c r="C156" t="b">
        <v>1</v>
      </c>
      <c r="D156">
        <v>8094</v>
      </c>
      <c r="E156">
        <v>8129</v>
      </c>
      <c r="F156">
        <v>229.8</v>
      </c>
      <c r="G156">
        <v>227</v>
      </c>
      <c r="H156">
        <v>1.0123348000000001</v>
      </c>
      <c r="I156">
        <v>-1.2334815000000001E-2</v>
      </c>
      <c r="J156">
        <v>0.49693522000000001</v>
      </c>
    </row>
    <row r="157" spans="1:10" x14ac:dyDescent="0.3">
      <c r="A157">
        <v>155</v>
      </c>
      <c r="B157">
        <v>3058</v>
      </c>
      <c r="C157" t="b">
        <v>1</v>
      </c>
      <c r="D157">
        <v>8094</v>
      </c>
      <c r="E157">
        <v>8134</v>
      </c>
      <c r="F157">
        <v>230.6</v>
      </c>
      <c r="G157">
        <v>227</v>
      </c>
      <c r="H157">
        <v>1.0158590000000001</v>
      </c>
      <c r="I157">
        <v>-1.5859057999999999E-2</v>
      </c>
      <c r="J157">
        <v>0.49606642000000001</v>
      </c>
    </row>
    <row r="158" spans="1:10" x14ac:dyDescent="0.3">
      <c r="A158">
        <v>156</v>
      </c>
      <c r="B158">
        <v>3074</v>
      </c>
      <c r="C158" t="b">
        <v>1</v>
      </c>
      <c r="D158">
        <v>8100</v>
      </c>
      <c r="E158">
        <v>8105</v>
      </c>
      <c r="F158">
        <v>232.53334000000001</v>
      </c>
      <c r="G158">
        <v>226.66667000000001</v>
      </c>
      <c r="H158">
        <v>1.0258824</v>
      </c>
      <c r="I158">
        <v>-2.5882361E-2</v>
      </c>
      <c r="J158">
        <v>0.49361208000000001</v>
      </c>
    </row>
    <row r="159" spans="1:10" x14ac:dyDescent="0.3">
      <c r="A159">
        <v>157</v>
      </c>
      <c r="B159">
        <v>3090</v>
      </c>
      <c r="C159" t="b">
        <v>1</v>
      </c>
      <c r="D159">
        <v>8054</v>
      </c>
      <c r="E159">
        <v>8134</v>
      </c>
      <c r="F159">
        <v>234.46665999999999</v>
      </c>
      <c r="G159">
        <v>226.66667000000001</v>
      </c>
      <c r="H159">
        <v>1.0344116999999999</v>
      </c>
      <c r="I159">
        <v>-3.4411709999999998E-2</v>
      </c>
      <c r="J159">
        <v>0.49154258000000001</v>
      </c>
    </row>
    <row r="160" spans="1:10" x14ac:dyDescent="0.3">
      <c r="A160">
        <v>158</v>
      </c>
      <c r="B160">
        <v>3122</v>
      </c>
      <c r="C160" t="b">
        <v>1</v>
      </c>
      <c r="D160">
        <v>8083</v>
      </c>
      <c r="E160">
        <v>8140</v>
      </c>
      <c r="F160">
        <v>236.4</v>
      </c>
      <c r="G160">
        <v>225.86667</v>
      </c>
      <c r="H160">
        <v>1.0466352000000001</v>
      </c>
      <c r="I160">
        <v>-4.6635147000000002E-2</v>
      </c>
      <c r="J160">
        <v>0.48860687000000003</v>
      </c>
    </row>
    <row r="161" spans="1:10" x14ac:dyDescent="0.3">
      <c r="A161">
        <v>159</v>
      </c>
      <c r="B161">
        <v>3153</v>
      </c>
      <c r="C161" t="b">
        <v>1</v>
      </c>
      <c r="D161">
        <v>8065</v>
      </c>
      <c r="E161">
        <v>8134</v>
      </c>
      <c r="F161">
        <v>237.6</v>
      </c>
      <c r="G161">
        <v>225.06666999999999</v>
      </c>
      <c r="H161">
        <v>1.0556871999999999</v>
      </c>
      <c r="I161">
        <v>-5.5687238E-2</v>
      </c>
      <c r="J161">
        <v>0.48645532000000002</v>
      </c>
    </row>
    <row r="162" spans="1:10" x14ac:dyDescent="0.3">
      <c r="A162">
        <v>160</v>
      </c>
      <c r="B162">
        <v>3185</v>
      </c>
      <c r="C162" t="b">
        <v>1</v>
      </c>
      <c r="D162">
        <v>8077</v>
      </c>
      <c r="E162">
        <v>8152</v>
      </c>
      <c r="F162">
        <v>238</v>
      </c>
      <c r="G162">
        <v>224.26666</v>
      </c>
      <c r="H162">
        <v>1.0612366</v>
      </c>
      <c r="I162">
        <v>-6.1236642000000001E-2</v>
      </c>
      <c r="J162">
        <v>0.48514565999999998</v>
      </c>
    </row>
    <row r="163" spans="1:10" x14ac:dyDescent="0.3">
      <c r="A163">
        <v>161</v>
      </c>
      <c r="B163">
        <v>3201</v>
      </c>
      <c r="C163" t="b">
        <v>1</v>
      </c>
      <c r="D163">
        <v>8094</v>
      </c>
      <c r="E163">
        <v>8134</v>
      </c>
      <c r="F163">
        <v>238</v>
      </c>
      <c r="G163">
        <v>223.46665999999999</v>
      </c>
      <c r="H163">
        <v>1.0650358</v>
      </c>
      <c r="I163">
        <v>-6.5035835E-2</v>
      </c>
      <c r="J163">
        <v>0.48425308</v>
      </c>
    </row>
    <row r="164" spans="1:10" x14ac:dyDescent="0.3">
      <c r="A164">
        <v>162</v>
      </c>
      <c r="B164">
        <v>3217</v>
      </c>
      <c r="C164" t="b">
        <v>1</v>
      </c>
      <c r="D164">
        <v>8083</v>
      </c>
      <c r="E164">
        <v>8117</v>
      </c>
      <c r="F164">
        <v>238.4</v>
      </c>
      <c r="G164">
        <v>221.86667</v>
      </c>
      <c r="H164">
        <v>1.0745191999999999</v>
      </c>
      <c r="I164">
        <v>-7.4519194999999996E-2</v>
      </c>
      <c r="J164">
        <v>0.48203940000000001</v>
      </c>
    </row>
    <row r="165" spans="1:10" x14ac:dyDescent="0.3">
      <c r="A165">
        <v>163</v>
      </c>
      <c r="B165">
        <v>3233</v>
      </c>
      <c r="C165" t="b">
        <v>1</v>
      </c>
      <c r="D165">
        <v>8088</v>
      </c>
      <c r="E165">
        <v>8170</v>
      </c>
      <c r="F165">
        <v>239.2</v>
      </c>
      <c r="G165">
        <v>221.06666999999999</v>
      </c>
      <c r="H165">
        <v>1.0820265</v>
      </c>
      <c r="I165">
        <v>-8.202653E-2</v>
      </c>
      <c r="J165">
        <v>0.48030129999999999</v>
      </c>
    </row>
    <row r="166" spans="1:10" x14ac:dyDescent="0.3">
      <c r="A166">
        <v>164</v>
      </c>
      <c r="B166">
        <v>3249</v>
      </c>
      <c r="C166" t="b">
        <v>1</v>
      </c>
      <c r="D166">
        <v>8083</v>
      </c>
      <c r="E166">
        <v>8117</v>
      </c>
      <c r="F166">
        <v>240</v>
      </c>
      <c r="G166">
        <v>220.66667000000001</v>
      </c>
      <c r="H166">
        <v>1.0876132000000001</v>
      </c>
      <c r="I166">
        <v>-8.7613269999999993E-2</v>
      </c>
      <c r="J166">
        <v>0.47901591999999998</v>
      </c>
    </row>
    <row r="167" spans="1:10" x14ac:dyDescent="0.3">
      <c r="A167">
        <v>165</v>
      </c>
      <c r="B167">
        <v>3265</v>
      </c>
      <c r="C167" t="b">
        <v>1</v>
      </c>
      <c r="D167">
        <v>8088</v>
      </c>
      <c r="E167">
        <v>8158</v>
      </c>
      <c r="F167">
        <v>241.13333</v>
      </c>
      <c r="G167">
        <v>220.26666</v>
      </c>
      <c r="H167">
        <v>1.0947336999999999</v>
      </c>
      <c r="I167">
        <v>-9.4733670000000006E-2</v>
      </c>
      <c r="J167">
        <v>0.47738766999999999</v>
      </c>
    </row>
    <row r="168" spans="1:10" x14ac:dyDescent="0.3">
      <c r="A168">
        <v>166</v>
      </c>
      <c r="B168">
        <v>3280</v>
      </c>
      <c r="C168" t="b">
        <v>1</v>
      </c>
      <c r="D168">
        <v>8077</v>
      </c>
      <c r="E168">
        <v>8152</v>
      </c>
      <c r="F168">
        <v>242.33332999999999</v>
      </c>
      <c r="G168">
        <v>221.06666999999999</v>
      </c>
      <c r="H168">
        <v>1.0962002</v>
      </c>
      <c r="I168">
        <v>-9.6200220000000003E-2</v>
      </c>
      <c r="J168">
        <v>0.47705366999999999</v>
      </c>
    </row>
    <row r="169" spans="1:10" x14ac:dyDescent="0.3">
      <c r="A169">
        <v>167</v>
      </c>
      <c r="B169">
        <v>3296</v>
      </c>
      <c r="C169" t="b">
        <v>1</v>
      </c>
      <c r="D169">
        <v>8071</v>
      </c>
      <c r="E169">
        <v>8146</v>
      </c>
      <c r="F169">
        <v>243.13333</v>
      </c>
      <c r="G169">
        <v>221.86667</v>
      </c>
      <c r="H169">
        <v>1.0958532999999999</v>
      </c>
      <c r="I169">
        <v>-9.5853339999999995E-2</v>
      </c>
      <c r="J169">
        <v>0.47713262000000001</v>
      </c>
    </row>
    <row r="170" spans="1:10" x14ac:dyDescent="0.3">
      <c r="A170">
        <v>168</v>
      </c>
      <c r="B170">
        <v>3312</v>
      </c>
      <c r="C170" t="b">
        <v>1</v>
      </c>
      <c r="D170">
        <v>8071</v>
      </c>
      <c r="E170">
        <v>8152</v>
      </c>
      <c r="F170">
        <v>243.53334000000001</v>
      </c>
      <c r="G170">
        <v>222.66667000000001</v>
      </c>
      <c r="H170">
        <v>1.0937125999999999</v>
      </c>
      <c r="I170">
        <v>-9.3712580000000004E-2</v>
      </c>
      <c r="J170">
        <v>0.47762048000000001</v>
      </c>
    </row>
    <row r="171" spans="1:10" x14ac:dyDescent="0.3">
      <c r="A171">
        <v>169</v>
      </c>
      <c r="B171">
        <v>3328</v>
      </c>
      <c r="C171" t="b">
        <v>1</v>
      </c>
      <c r="D171">
        <v>8083</v>
      </c>
      <c r="E171">
        <v>8158</v>
      </c>
      <c r="F171">
        <v>243.53334000000001</v>
      </c>
      <c r="G171">
        <v>223.46665999999999</v>
      </c>
      <c r="H171">
        <v>1.0897973000000001</v>
      </c>
      <c r="I171">
        <v>-8.9797206000000004E-2</v>
      </c>
      <c r="J171">
        <v>0.47851533000000002</v>
      </c>
    </row>
    <row r="172" spans="1:10" x14ac:dyDescent="0.3">
      <c r="A172">
        <v>170</v>
      </c>
      <c r="B172">
        <v>3344</v>
      </c>
      <c r="C172" t="b">
        <v>1</v>
      </c>
      <c r="D172">
        <v>8071</v>
      </c>
      <c r="E172">
        <v>8164</v>
      </c>
      <c r="F172">
        <v>243.13333</v>
      </c>
      <c r="G172">
        <v>224.66667000000001</v>
      </c>
      <c r="H172">
        <v>1.0821958</v>
      </c>
      <c r="I172">
        <v>-8.2195809999999994E-2</v>
      </c>
      <c r="J172">
        <v>0.48026225</v>
      </c>
    </row>
    <row r="173" spans="1:10" x14ac:dyDescent="0.3">
      <c r="A173">
        <v>171</v>
      </c>
      <c r="B173">
        <v>3360</v>
      </c>
      <c r="C173" t="b">
        <v>1</v>
      </c>
      <c r="D173">
        <v>8054</v>
      </c>
      <c r="E173">
        <v>8129</v>
      </c>
      <c r="F173">
        <v>241.6</v>
      </c>
      <c r="G173">
        <v>226.2</v>
      </c>
      <c r="H173">
        <v>1.0680814000000001</v>
      </c>
      <c r="I173">
        <v>-6.8081390000000006E-2</v>
      </c>
      <c r="J173">
        <v>0.48353996999999999</v>
      </c>
    </row>
    <row r="174" spans="1:10" x14ac:dyDescent="0.3">
      <c r="A174">
        <v>172</v>
      </c>
      <c r="B174">
        <v>3375</v>
      </c>
      <c r="C174" t="b">
        <v>1</v>
      </c>
      <c r="D174">
        <v>8077</v>
      </c>
      <c r="E174">
        <v>8152</v>
      </c>
      <c r="F174">
        <v>240.06666999999999</v>
      </c>
      <c r="G174">
        <v>227.4</v>
      </c>
      <c r="H174">
        <v>1.0557022</v>
      </c>
      <c r="I174">
        <v>-5.5702164999999998E-2</v>
      </c>
      <c r="J174">
        <v>0.48645177000000001</v>
      </c>
    </row>
    <row r="175" spans="1:10" x14ac:dyDescent="0.3">
      <c r="A175">
        <v>173</v>
      </c>
      <c r="B175">
        <v>3391</v>
      </c>
      <c r="C175" t="b">
        <v>1</v>
      </c>
      <c r="D175">
        <v>8094</v>
      </c>
      <c r="E175">
        <v>8134</v>
      </c>
      <c r="F175">
        <v>238.93333000000001</v>
      </c>
      <c r="G175">
        <v>228.6</v>
      </c>
      <c r="H175">
        <v>1.0452026000000001</v>
      </c>
      <c r="I175">
        <v>-4.5202659999999999E-2</v>
      </c>
      <c r="J175">
        <v>0.48894912000000001</v>
      </c>
    </row>
    <row r="176" spans="1:10" x14ac:dyDescent="0.3">
      <c r="A176">
        <v>174</v>
      </c>
      <c r="B176">
        <v>3407</v>
      </c>
      <c r="C176" t="b">
        <v>1</v>
      </c>
      <c r="D176">
        <v>8065</v>
      </c>
      <c r="E176">
        <v>8105</v>
      </c>
      <c r="F176">
        <v>238.13333</v>
      </c>
      <c r="G176">
        <v>228.6</v>
      </c>
      <c r="H176">
        <v>1.0417031000000001</v>
      </c>
      <c r="I176">
        <v>-4.1703083000000002E-2</v>
      </c>
      <c r="J176">
        <v>0.48978719999999998</v>
      </c>
    </row>
    <row r="177" spans="1:10" x14ac:dyDescent="0.3">
      <c r="A177">
        <v>175</v>
      </c>
      <c r="B177">
        <v>3423</v>
      </c>
      <c r="C177" t="b">
        <v>1</v>
      </c>
      <c r="D177">
        <v>8060</v>
      </c>
      <c r="E177">
        <v>8146</v>
      </c>
      <c r="F177">
        <v>237.33332999999999</v>
      </c>
      <c r="G177">
        <v>228.6</v>
      </c>
      <c r="H177">
        <v>1.0382035000000001</v>
      </c>
      <c r="I177">
        <v>-3.8203507999999997E-2</v>
      </c>
      <c r="J177">
        <v>0.49062812</v>
      </c>
    </row>
    <row r="178" spans="1:10" x14ac:dyDescent="0.3">
      <c r="A178">
        <v>176</v>
      </c>
      <c r="B178">
        <v>3454</v>
      </c>
      <c r="C178" t="b">
        <v>1</v>
      </c>
      <c r="D178">
        <v>8083</v>
      </c>
      <c r="E178">
        <v>8117</v>
      </c>
      <c r="F178">
        <v>237.33332999999999</v>
      </c>
      <c r="G178">
        <v>228.6</v>
      </c>
      <c r="H178">
        <v>1.0382035000000001</v>
      </c>
      <c r="I178">
        <v>-3.8203507999999997E-2</v>
      </c>
      <c r="J178">
        <v>0.49062812</v>
      </c>
    </row>
    <row r="179" spans="1:10" x14ac:dyDescent="0.3">
      <c r="A179">
        <v>177</v>
      </c>
      <c r="B179">
        <v>3470</v>
      </c>
      <c r="C179" t="b">
        <v>1</v>
      </c>
      <c r="D179">
        <v>8048</v>
      </c>
      <c r="E179">
        <v>8134</v>
      </c>
      <c r="F179">
        <v>236.13333</v>
      </c>
      <c r="G179">
        <v>228.6</v>
      </c>
      <c r="H179">
        <v>1.0329542</v>
      </c>
      <c r="I179">
        <v>-3.295418E-2</v>
      </c>
      <c r="J179">
        <v>0.49189500000000003</v>
      </c>
    </row>
    <row r="180" spans="1:10" x14ac:dyDescent="0.3">
      <c r="A180">
        <v>178</v>
      </c>
      <c r="B180">
        <v>3502</v>
      </c>
      <c r="C180" t="b">
        <v>1</v>
      </c>
      <c r="D180">
        <v>8083</v>
      </c>
      <c r="E180">
        <v>8129</v>
      </c>
      <c r="F180">
        <v>234.93333000000001</v>
      </c>
      <c r="G180">
        <v>228.26666</v>
      </c>
      <c r="H180">
        <v>1.0292056999999999</v>
      </c>
      <c r="I180">
        <v>-2.920563E-2</v>
      </c>
      <c r="J180">
        <v>0.49280365999999998</v>
      </c>
    </row>
    <row r="181" spans="1:10" x14ac:dyDescent="0.3">
      <c r="A181">
        <v>179</v>
      </c>
      <c r="B181">
        <v>3534</v>
      </c>
      <c r="C181" t="b">
        <v>1</v>
      </c>
      <c r="D181">
        <v>8065</v>
      </c>
      <c r="E181">
        <v>8129</v>
      </c>
      <c r="F181">
        <v>233.73334</v>
      </c>
      <c r="G181">
        <v>227.93333000000001</v>
      </c>
      <c r="H181">
        <v>1.0254460000000001</v>
      </c>
      <c r="I181">
        <v>-2.5446050000000001E-2</v>
      </c>
      <c r="J181">
        <v>0.4937184</v>
      </c>
    </row>
    <row r="182" spans="1:10" x14ac:dyDescent="0.3">
      <c r="A182">
        <v>180</v>
      </c>
      <c r="B182">
        <v>3549</v>
      </c>
      <c r="C182" t="b">
        <v>1</v>
      </c>
      <c r="D182">
        <v>8048</v>
      </c>
      <c r="E182">
        <v>8134</v>
      </c>
      <c r="F182">
        <v>232.2</v>
      </c>
      <c r="G182">
        <v>227.6</v>
      </c>
      <c r="H182">
        <v>1.0202108999999999</v>
      </c>
      <c r="I182">
        <v>-2.0210855E-2</v>
      </c>
      <c r="J182">
        <v>0.49499786000000001</v>
      </c>
    </row>
    <row r="183" spans="1:10" x14ac:dyDescent="0.3">
      <c r="A183">
        <v>181</v>
      </c>
      <c r="B183">
        <v>3566</v>
      </c>
      <c r="C183" t="b">
        <v>1</v>
      </c>
      <c r="D183">
        <v>8077</v>
      </c>
      <c r="E183">
        <v>8140</v>
      </c>
      <c r="F183">
        <v>231</v>
      </c>
      <c r="G183">
        <v>226.4</v>
      </c>
      <c r="H183">
        <v>1.0203180000000001</v>
      </c>
      <c r="I183">
        <v>-2.0318047999999998E-2</v>
      </c>
      <c r="J183">
        <v>0.49497157000000003</v>
      </c>
    </row>
    <row r="184" spans="1:10" x14ac:dyDescent="0.3">
      <c r="A184">
        <v>182</v>
      </c>
      <c r="B184">
        <v>3581</v>
      </c>
      <c r="C184" t="b">
        <v>1</v>
      </c>
      <c r="D184">
        <v>8071</v>
      </c>
      <c r="E184">
        <v>8099</v>
      </c>
      <c r="F184">
        <v>230.2</v>
      </c>
      <c r="G184">
        <v>224.86667</v>
      </c>
      <c r="H184">
        <v>1.0237178</v>
      </c>
      <c r="I184">
        <v>-2.3717735E-2</v>
      </c>
      <c r="J184">
        <v>0.49414010000000003</v>
      </c>
    </row>
    <row r="185" spans="1:10" x14ac:dyDescent="0.3">
      <c r="A185">
        <v>183</v>
      </c>
      <c r="B185">
        <v>3597</v>
      </c>
      <c r="C185" t="b">
        <v>1</v>
      </c>
      <c r="D185">
        <v>8117</v>
      </c>
      <c r="E185">
        <v>8111</v>
      </c>
      <c r="F185">
        <v>229.8</v>
      </c>
      <c r="G185">
        <v>223.33332999999999</v>
      </c>
      <c r="H185">
        <v>1.0289552</v>
      </c>
      <c r="I185">
        <v>-2.895526E-2</v>
      </c>
      <c r="J185">
        <v>0.49286449999999998</v>
      </c>
    </row>
    <row r="186" spans="1:10" x14ac:dyDescent="0.3">
      <c r="A186">
        <v>184</v>
      </c>
      <c r="B186">
        <v>3613</v>
      </c>
      <c r="C186" t="b">
        <v>1</v>
      </c>
      <c r="D186">
        <v>8065</v>
      </c>
      <c r="E186">
        <v>8129</v>
      </c>
      <c r="F186">
        <v>229.4</v>
      </c>
      <c r="G186">
        <v>221.8</v>
      </c>
      <c r="H186">
        <v>1.034265</v>
      </c>
      <c r="I186">
        <v>-3.4265063999999998E-2</v>
      </c>
      <c r="J186">
        <v>0.49157800000000001</v>
      </c>
    </row>
    <row r="187" spans="1:10" x14ac:dyDescent="0.3">
      <c r="A187">
        <v>185</v>
      </c>
      <c r="B187">
        <v>3629</v>
      </c>
      <c r="C187" t="b">
        <v>1</v>
      </c>
      <c r="D187">
        <v>8071</v>
      </c>
      <c r="E187">
        <v>8117</v>
      </c>
      <c r="F187">
        <v>229.4</v>
      </c>
      <c r="G187">
        <v>219.46665999999999</v>
      </c>
      <c r="H187">
        <v>1.0452612999999999</v>
      </c>
      <c r="I187">
        <v>-4.5261244999999999E-2</v>
      </c>
      <c r="J187">
        <v>0.48893510000000001</v>
      </c>
    </row>
    <row r="188" spans="1:10" x14ac:dyDescent="0.3">
      <c r="A188">
        <v>186</v>
      </c>
      <c r="B188">
        <v>3644</v>
      </c>
      <c r="C188" t="b">
        <v>1</v>
      </c>
      <c r="D188">
        <v>8083</v>
      </c>
      <c r="E188">
        <v>8158</v>
      </c>
      <c r="F188">
        <v>229.4</v>
      </c>
      <c r="G188">
        <v>217.13333</v>
      </c>
      <c r="H188">
        <v>1.0564936</v>
      </c>
      <c r="I188">
        <v>-5.6493689999999999E-2</v>
      </c>
      <c r="J188">
        <v>0.48626456000000001</v>
      </c>
    </row>
    <row r="189" spans="1:10" x14ac:dyDescent="0.3">
      <c r="A189">
        <v>187</v>
      </c>
      <c r="B189">
        <v>3660</v>
      </c>
      <c r="C189" t="b">
        <v>1</v>
      </c>
      <c r="D189">
        <v>8094</v>
      </c>
      <c r="E189">
        <v>8111</v>
      </c>
      <c r="F189">
        <v>230.2</v>
      </c>
      <c r="G189">
        <v>214.8</v>
      </c>
      <c r="H189">
        <v>1.0716946000000001</v>
      </c>
      <c r="I189">
        <v>-7.1694569999999999E-2</v>
      </c>
      <c r="J189">
        <v>0.48269662000000002</v>
      </c>
    </row>
    <row r="190" spans="1:10" x14ac:dyDescent="0.3">
      <c r="A190">
        <v>188</v>
      </c>
      <c r="B190">
        <v>3676</v>
      </c>
      <c r="C190" t="b">
        <v>1</v>
      </c>
      <c r="D190">
        <v>8065</v>
      </c>
      <c r="E190">
        <v>8129</v>
      </c>
      <c r="F190">
        <v>229.8</v>
      </c>
      <c r="G190">
        <v>213.26666</v>
      </c>
      <c r="H190">
        <v>1.0775243000000001</v>
      </c>
      <c r="I190">
        <v>-7.7524259999999998E-2</v>
      </c>
      <c r="J190">
        <v>0.48134217000000001</v>
      </c>
    </row>
    <row r="191" spans="1:10" x14ac:dyDescent="0.3">
      <c r="A191">
        <v>189</v>
      </c>
      <c r="B191">
        <v>3692</v>
      </c>
      <c r="C191" t="b">
        <v>1</v>
      </c>
      <c r="D191">
        <v>8071</v>
      </c>
      <c r="E191">
        <v>8158</v>
      </c>
      <c r="F191">
        <v>229.8</v>
      </c>
      <c r="G191">
        <v>212.93333000000001</v>
      </c>
      <c r="H191">
        <v>1.0792109999999999</v>
      </c>
      <c r="I191">
        <v>-7.9211030000000002E-2</v>
      </c>
      <c r="J191">
        <v>0.48095167</v>
      </c>
    </row>
    <row r="192" spans="1:10" x14ac:dyDescent="0.3">
      <c r="A192">
        <v>190</v>
      </c>
      <c r="B192">
        <v>3707</v>
      </c>
      <c r="C192" t="b">
        <v>1</v>
      </c>
      <c r="D192">
        <v>8077</v>
      </c>
      <c r="E192">
        <v>8158</v>
      </c>
      <c r="F192">
        <v>230.6</v>
      </c>
      <c r="G192">
        <v>214.53334000000001</v>
      </c>
      <c r="H192">
        <v>1.0748911999999999</v>
      </c>
      <c r="I192">
        <v>-7.4891230000000003E-2</v>
      </c>
      <c r="J192">
        <v>0.48195296999999998</v>
      </c>
    </row>
    <row r="193" spans="1:10" x14ac:dyDescent="0.3">
      <c r="A193">
        <v>191</v>
      </c>
      <c r="B193">
        <v>3723</v>
      </c>
      <c r="C193" t="b">
        <v>1</v>
      </c>
      <c r="D193">
        <v>8083</v>
      </c>
      <c r="E193">
        <v>8105</v>
      </c>
      <c r="F193">
        <v>230.6</v>
      </c>
      <c r="G193">
        <v>214.2</v>
      </c>
      <c r="H193">
        <v>1.0765640000000001</v>
      </c>
      <c r="I193">
        <v>-7.6563999999999993E-2</v>
      </c>
      <c r="J193">
        <v>0.48156475999999998</v>
      </c>
    </row>
    <row r="194" spans="1:10" x14ac:dyDescent="0.3">
      <c r="A194">
        <v>192</v>
      </c>
      <c r="B194">
        <v>3739</v>
      </c>
      <c r="C194" t="b">
        <v>1</v>
      </c>
      <c r="D194">
        <v>8088</v>
      </c>
      <c r="E194">
        <v>8129</v>
      </c>
      <c r="F194">
        <v>231.4</v>
      </c>
      <c r="G194">
        <v>213.86667</v>
      </c>
      <c r="H194">
        <v>1.0819825000000001</v>
      </c>
      <c r="I194">
        <v>-8.1982509999999995E-2</v>
      </c>
      <c r="J194">
        <v>0.48031141999999999</v>
      </c>
    </row>
    <row r="195" spans="1:10" x14ac:dyDescent="0.3">
      <c r="A195">
        <v>193</v>
      </c>
      <c r="B195">
        <v>3755</v>
      </c>
      <c r="C195" t="b">
        <v>1</v>
      </c>
      <c r="D195">
        <v>8071</v>
      </c>
      <c r="E195">
        <v>8134</v>
      </c>
      <c r="F195">
        <v>232.2</v>
      </c>
      <c r="G195">
        <v>214.2</v>
      </c>
      <c r="H195">
        <v>1.0840335999999999</v>
      </c>
      <c r="I195">
        <v>-8.4033616000000005E-2</v>
      </c>
      <c r="J195">
        <v>0.47983870000000001</v>
      </c>
    </row>
    <row r="196" spans="1:10" x14ac:dyDescent="0.3">
      <c r="A196">
        <v>194</v>
      </c>
      <c r="B196">
        <v>3771</v>
      </c>
      <c r="C196" t="b">
        <v>1</v>
      </c>
      <c r="D196">
        <v>8077</v>
      </c>
      <c r="E196">
        <v>8117</v>
      </c>
      <c r="F196">
        <v>233</v>
      </c>
      <c r="G196">
        <v>214.2</v>
      </c>
      <c r="H196">
        <v>1.0877684000000001</v>
      </c>
      <c r="I196">
        <v>-8.7768460000000006E-2</v>
      </c>
      <c r="J196">
        <v>0.47898030000000003</v>
      </c>
    </row>
    <row r="197" spans="1:10" x14ac:dyDescent="0.3">
      <c r="A197">
        <v>195</v>
      </c>
      <c r="B197">
        <v>3787</v>
      </c>
      <c r="C197" t="b">
        <v>1</v>
      </c>
      <c r="D197">
        <v>8054</v>
      </c>
      <c r="E197">
        <v>8105</v>
      </c>
      <c r="F197">
        <v>233.8</v>
      </c>
      <c r="G197">
        <v>213.4</v>
      </c>
      <c r="H197">
        <v>1.0955950999999999</v>
      </c>
      <c r="I197">
        <v>-9.5595169999999993E-2</v>
      </c>
      <c r="J197">
        <v>0.47719139999999999</v>
      </c>
    </row>
    <row r="198" spans="1:10" x14ac:dyDescent="0.3">
      <c r="A198">
        <v>196</v>
      </c>
      <c r="B198">
        <v>3803</v>
      </c>
      <c r="C198" t="b">
        <v>1</v>
      </c>
      <c r="D198">
        <v>8088</v>
      </c>
      <c r="E198">
        <v>8134</v>
      </c>
      <c r="F198">
        <v>234.6</v>
      </c>
      <c r="G198">
        <v>213.06666999999999</v>
      </c>
      <c r="H198">
        <v>1.1010637999999999</v>
      </c>
      <c r="I198">
        <v>-0.10106386000000001</v>
      </c>
      <c r="J198">
        <v>0.47594934999999999</v>
      </c>
    </row>
    <row r="199" spans="1:10" x14ac:dyDescent="0.3">
      <c r="A199">
        <v>197</v>
      </c>
      <c r="B199">
        <v>3835</v>
      </c>
      <c r="C199" t="b">
        <v>1</v>
      </c>
      <c r="D199">
        <v>8117</v>
      </c>
      <c r="E199">
        <v>8176</v>
      </c>
      <c r="F199">
        <v>235</v>
      </c>
      <c r="G199">
        <v>213.4</v>
      </c>
      <c r="H199">
        <v>1.1012183</v>
      </c>
      <c r="I199">
        <v>-0.1012184</v>
      </c>
      <c r="J199">
        <v>0.47591435999999998</v>
      </c>
    </row>
    <row r="200" spans="1:10" x14ac:dyDescent="0.3">
      <c r="A200">
        <v>198</v>
      </c>
      <c r="B200">
        <v>3866</v>
      </c>
      <c r="C200" t="b">
        <v>1</v>
      </c>
      <c r="D200">
        <v>8088</v>
      </c>
      <c r="E200">
        <v>8111</v>
      </c>
      <c r="F200">
        <v>236.13333</v>
      </c>
      <c r="G200">
        <v>212.6</v>
      </c>
      <c r="H200">
        <v>1.1106929999999999</v>
      </c>
      <c r="I200">
        <v>-0.11069296000000001</v>
      </c>
      <c r="J200">
        <v>0.47377804000000001</v>
      </c>
    </row>
    <row r="201" spans="1:10" x14ac:dyDescent="0.3">
      <c r="A201">
        <v>199</v>
      </c>
      <c r="B201">
        <v>3882</v>
      </c>
      <c r="C201" t="b">
        <v>1</v>
      </c>
      <c r="D201">
        <v>8071</v>
      </c>
      <c r="E201">
        <v>8123</v>
      </c>
      <c r="F201">
        <v>237.26666</v>
      </c>
      <c r="G201">
        <v>212.2</v>
      </c>
      <c r="H201">
        <v>1.1181276</v>
      </c>
      <c r="I201">
        <v>-0.11812755</v>
      </c>
      <c r="J201">
        <v>0.47211507000000003</v>
      </c>
    </row>
    <row r="202" spans="1:10" x14ac:dyDescent="0.3">
      <c r="A202">
        <v>200</v>
      </c>
      <c r="B202">
        <v>3898</v>
      </c>
      <c r="C202" t="b">
        <v>1</v>
      </c>
      <c r="D202">
        <v>8060</v>
      </c>
      <c r="E202">
        <v>8117</v>
      </c>
      <c r="F202">
        <v>238.4</v>
      </c>
      <c r="G202">
        <v>212.6</v>
      </c>
      <c r="H202">
        <v>1.1213546000000001</v>
      </c>
      <c r="I202">
        <v>-0.121354595</v>
      </c>
      <c r="J202">
        <v>0.47139692</v>
      </c>
    </row>
    <row r="203" spans="1:10" x14ac:dyDescent="0.3">
      <c r="A203">
        <v>201</v>
      </c>
      <c r="B203">
        <v>3914</v>
      </c>
      <c r="C203" t="b">
        <v>1</v>
      </c>
      <c r="D203">
        <v>8065</v>
      </c>
      <c r="E203">
        <v>8152</v>
      </c>
      <c r="F203">
        <v>238.4</v>
      </c>
      <c r="G203">
        <v>213</v>
      </c>
      <c r="H203">
        <v>1.1192487</v>
      </c>
      <c r="I203">
        <v>-0.1192488</v>
      </c>
      <c r="J203">
        <v>0.47186533000000003</v>
      </c>
    </row>
    <row r="204" spans="1:10" x14ac:dyDescent="0.3">
      <c r="A204">
        <v>202</v>
      </c>
      <c r="B204">
        <v>3930</v>
      </c>
      <c r="C204" t="b">
        <v>1</v>
      </c>
      <c r="D204">
        <v>8071</v>
      </c>
      <c r="E204">
        <v>8117</v>
      </c>
      <c r="F204">
        <v>237.6</v>
      </c>
      <c r="G204">
        <v>213</v>
      </c>
      <c r="H204">
        <v>1.1154929</v>
      </c>
      <c r="I204">
        <v>-0.11549298500000001</v>
      </c>
      <c r="J204">
        <v>0.47270307</v>
      </c>
    </row>
    <row r="205" spans="1:10" x14ac:dyDescent="0.3">
      <c r="A205">
        <v>203</v>
      </c>
      <c r="B205">
        <v>3946</v>
      </c>
      <c r="C205" t="b">
        <v>1</v>
      </c>
      <c r="D205">
        <v>8071</v>
      </c>
      <c r="E205">
        <v>8152</v>
      </c>
      <c r="F205">
        <v>237.6</v>
      </c>
      <c r="G205">
        <v>212.6</v>
      </c>
      <c r="H205">
        <v>1.1175917</v>
      </c>
      <c r="I205">
        <v>-0.11759172</v>
      </c>
      <c r="J205">
        <v>0.47223458000000001</v>
      </c>
    </row>
    <row r="206" spans="1:10" x14ac:dyDescent="0.3">
      <c r="A206">
        <v>204</v>
      </c>
      <c r="B206">
        <v>3961</v>
      </c>
      <c r="C206" t="b">
        <v>1</v>
      </c>
      <c r="D206">
        <v>8060</v>
      </c>
      <c r="E206">
        <v>8129</v>
      </c>
      <c r="F206">
        <v>237.2</v>
      </c>
      <c r="G206">
        <v>212.6</v>
      </c>
      <c r="H206">
        <v>1.1157102999999999</v>
      </c>
      <c r="I206">
        <v>-0.11571020999999999</v>
      </c>
      <c r="J206">
        <v>0.47265455000000001</v>
      </c>
    </row>
    <row r="207" spans="1:10" x14ac:dyDescent="0.3">
      <c r="A207">
        <v>205</v>
      </c>
      <c r="B207">
        <v>3992</v>
      </c>
      <c r="C207" t="b">
        <v>1</v>
      </c>
      <c r="D207">
        <v>8060</v>
      </c>
      <c r="E207">
        <v>8152</v>
      </c>
      <c r="F207">
        <v>236.4</v>
      </c>
      <c r="G207">
        <v>212.2</v>
      </c>
      <c r="H207">
        <v>1.1140433999999999</v>
      </c>
      <c r="I207">
        <v>-0.11404334000000001</v>
      </c>
      <c r="J207">
        <v>0.47302723000000002</v>
      </c>
    </row>
    <row r="208" spans="1:10" x14ac:dyDescent="0.3">
      <c r="A208">
        <v>206</v>
      </c>
      <c r="B208">
        <v>4008</v>
      </c>
      <c r="C208" t="b">
        <v>1</v>
      </c>
      <c r="D208">
        <v>8077</v>
      </c>
      <c r="E208">
        <v>8117</v>
      </c>
      <c r="F208">
        <v>236</v>
      </c>
      <c r="G208">
        <v>212.2</v>
      </c>
      <c r="H208">
        <v>1.1121582999999999</v>
      </c>
      <c r="I208">
        <v>-0.11215836</v>
      </c>
      <c r="J208">
        <v>0.47344932000000001</v>
      </c>
    </row>
    <row r="209" spans="1:10" x14ac:dyDescent="0.3">
      <c r="A209">
        <v>207</v>
      </c>
      <c r="B209">
        <v>4024</v>
      </c>
      <c r="C209" t="b">
        <v>1</v>
      </c>
      <c r="D209">
        <v>8065</v>
      </c>
      <c r="E209">
        <v>8123</v>
      </c>
      <c r="F209">
        <v>235.2</v>
      </c>
      <c r="G209">
        <v>212.2</v>
      </c>
      <c r="H209">
        <v>1.1083883000000001</v>
      </c>
      <c r="I209">
        <v>-0.10838831</v>
      </c>
      <c r="J209">
        <v>0.47429594000000003</v>
      </c>
    </row>
    <row r="210" spans="1:10" x14ac:dyDescent="0.3">
      <c r="A210">
        <v>208</v>
      </c>
      <c r="B210">
        <v>4040</v>
      </c>
      <c r="C210" t="b">
        <v>1</v>
      </c>
      <c r="D210">
        <v>8048</v>
      </c>
      <c r="E210">
        <v>8117</v>
      </c>
      <c r="F210">
        <v>234.06666999999999</v>
      </c>
      <c r="G210">
        <v>211.46665999999999</v>
      </c>
      <c r="H210">
        <v>1.1068727</v>
      </c>
      <c r="I210">
        <v>-0.10687267</v>
      </c>
      <c r="J210">
        <v>0.47463712000000002</v>
      </c>
    </row>
    <row r="211" spans="1:10" x14ac:dyDescent="0.3">
      <c r="A211">
        <v>209</v>
      </c>
      <c r="B211">
        <v>4056</v>
      </c>
      <c r="C211" t="b">
        <v>1</v>
      </c>
      <c r="D211">
        <v>8100</v>
      </c>
      <c r="E211">
        <v>8129</v>
      </c>
      <c r="F211">
        <v>233.26666</v>
      </c>
      <c r="G211">
        <v>211.06666999999999</v>
      </c>
      <c r="H211">
        <v>1.1051800000000001</v>
      </c>
      <c r="I211">
        <v>-0.105180025</v>
      </c>
      <c r="J211">
        <v>0.47501876999999998</v>
      </c>
    </row>
    <row r="212" spans="1:10" x14ac:dyDescent="0.3">
      <c r="A212">
        <v>210</v>
      </c>
      <c r="B212">
        <v>4072</v>
      </c>
      <c r="C212" t="b">
        <v>1</v>
      </c>
      <c r="D212">
        <v>8077</v>
      </c>
      <c r="E212">
        <v>8140</v>
      </c>
      <c r="F212">
        <v>233.26666</v>
      </c>
      <c r="G212">
        <v>211.46665999999999</v>
      </c>
      <c r="H212">
        <v>1.1030895999999999</v>
      </c>
      <c r="I212">
        <v>-0.10308955</v>
      </c>
      <c r="J212">
        <v>0.47549089999999999</v>
      </c>
    </row>
    <row r="213" spans="1:10" x14ac:dyDescent="0.3">
      <c r="A213">
        <v>211</v>
      </c>
      <c r="B213">
        <v>4088</v>
      </c>
      <c r="C213" t="b">
        <v>1</v>
      </c>
      <c r="D213">
        <v>8106</v>
      </c>
      <c r="E213">
        <v>8146</v>
      </c>
      <c r="F213">
        <v>233.26666</v>
      </c>
      <c r="G213">
        <v>211.46665999999999</v>
      </c>
      <c r="H213">
        <v>1.1030895999999999</v>
      </c>
      <c r="I213">
        <v>-0.10308955</v>
      </c>
      <c r="J213">
        <v>0.47549089999999999</v>
      </c>
    </row>
    <row r="214" spans="1:10" x14ac:dyDescent="0.3">
      <c r="A214">
        <v>212</v>
      </c>
      <c r="B214">
        <v>4120</v>
      </c>
      <c r="C214" t="b">
        <v>1</v>
      </c>
      <c r="D214">
        <v>8042</v>
      </c>
      <c r="E214">
        <v>8146</v>
      </c>
      <c r="F214">
        <v>233.26666</v>
      </c>
      <c r="G214">
        <v>211.86667</v>
      </c>
      <c r="H214">
        <v>1.1010069</v>
      </c>
      <c r="I214">
        <v>-0.101006895</v>
      </c>
      <c r="J214">
        <v>0.47596224999999998</v>
      </c>
    </row>
    <row r="215" spans="1:10" x14ac:dyDescent="0.3">
      <c r="A215">
        <v>213</v>
      </c>
      <c r="B215">
        <v>4151</v>
      </c>
      <c r="C215" t="b">
        <v>1</v>
      </c>
      <c r="D215">
        <v>8094</v>
      </c>
      <c r="E215">
        <v>8140</v>
      </c>
      <c r="F215">
        <v>233.66667000000001</v>
      </c>
      <c r="G215">
        <v>213.4</v>
      </c>
      <c r="H215">
        <v>1.0949703</v>
      </c>
      <c r="I215">
        <v>-9.4970374999999996E-2</v>
      </c>
      <c r="J215">
        <v>0.47733372000000002</v>
      </c>
    </row>
    <row r="216" spans="1:10" x14ac:dyDescent="0.3">
      <c r="A216">
        <v>214</v>
      </c>
      <c r="B216">
        <v>4167</v>
      </c>
      <c r="C216" t="b">
        <v>1</v>
      </c>
      <c r="D216">
        <v>8060</v>
      </c>
      <c r="E216">
        <v>8134</v>
      </c>
      <c r="F216">
        <v>232.93333000000001</v>
      </c>
      <c r="G216">
        <v>214.53334000000001</v>
      </c>
      <c r="H216">
        <v>1.0857675</v>
      </c>
      <c r="I216">
        <v>-8.5767529999999995E-2</v>
      </c>
      <c r="J216">
        <v>0.47943982000000002</v>
      </c>
    </row>
    <row r="217" spans="1:10" x14ac:dyDescent="0.3">
      <c r="A217">
        <v>215</v>
      </c>
      <c r="B217">
        <v>4183</v>
      </c>
      <c r="C217" t="b">
        <v>1</v>
      </c>
      <c r="D217">
        <v>8083</v>
      </c>
      <c r="E217">
        <v>8129</v>
      </c>
      <c r="F217">
        <v>232.6</v>
      </c>
      <c r="G217">
        <v>215.66667000000001</v>
      </c>
      <c r="H217">
        <v>1.0785161999999999</v>
      </c>
      <c r="I217">
        <v>-7.8516230000000006E-2</v>
      </c>
      <c r="J217">
        <v>0.48111245000000002</v>
      </c>
    </row>
    <row r="218" spans="1:10" x14ac:dyDescent="0.3">
      <c r="A218">
        <v>216</v>
      </c>
      <c r="B218">
        <v>4199</v>
      </c>
      <c r="C218" t="b">
        <v>1</v>
      </c>
      <c r="D218">
        <v>8083</v>
      </c>
      <c r="E218">
        <v>8140</v>
      </c>
      <c r="F218">
        <v>233.4</v>
      </c>
      <c r="G218">
        <v>216.8</v>
      </c>
      <c r="H218">
        <v>1.0765682000000001</v>
      </c>
      <c r="I218">
        <v>-7.6568220000000006E-2</v>
      </c>
      <c r="J218">
        <v>0.48156375000000001</v>
      </c>
    </row>
    <row r="219" spans="1:10" x14ac:dyDescent="0.3">
      <c r="A219">
        <v>217</v>
      </c>
      <c r="B219">
        <v>4215</v>
      </c>
      <c r="C219" t="b">
        <v>1</v>
      </c>
      <c r="D219">
        <v>8048</v>
      </c>
      <c r="E219">
        <v>8134</v>
      </c>
      <c r="F219">
        <v>234.2</v>
      </c>
      <c r="G219">
        <v>217.93333000000001</v>
      </c>
      <c r="H219">
        <v>1.0746405000000001</v>
      </c>
      <c r="I219">
        <v>-7.4640540000000005E-2</v>
      </c>
      <c r="J219">
        <v>0.48201119999999997</v>
      </c>
    </row>
    <row r="220" spans="1:10" x14ac:dyDescent="0.3">
      <c r="A220">
        <v>218</v>
      </c>
      <c r="B220">
        <v>4231</v>
      </c>
      <c r="C220" t="b">
        <v>1</v>
      </c>
      <c r="D220">
        <v>8065</v>
      </c>
      <c r="E220">
        <v>8117</v>
      </c>
      <c r="F220">
        <v>233.8</v>
      </c>
      <c r="G220">
        <v>218.66667000000001</v>
      </c>
      <c r="H220">
        <v>1.0692073</v>
      </c>
      <c r="I220">
        <v>-6.9207299999999999E-2</v>
      </c>
      <c r="J220">
        <v>0.48327683999999999</v>
      </c>
    </row>
    <row r="221" spans="1:10" x14ac:dyDescent="0.3">
      <c r="A221">
        <v>219</v>
      </c>
      <c r="B221">
        <v>4247</v>
      </c>
      <c r="C221" t="b">
        <v>1</v>
      </c>
      <c r="D221">
        <v>8077</v>
      </c>
      <c r="E221">
        <v>8129</v>
      </c>
      <c r="F221">
        <v>234.6</v>
      </c>
      <c r="G221">
        <v>218.66667000000001</v>
      </c>
      <c r="H221">
        <v>1.0728658</v>
      </c>
      <c r="I221">
        <v>-7.2865860000000005E-2</v>
      </c>
      <c r="J221">
        <v>0.48242390000000002</v>
      </c>
    </row>
    <row r="222" spans="1:10" x14ac:dyDescent="0.3">
      <c r="A222">
        <v>220</v>
      </c>
      <c r="B222">
        <v>4262</v>
      </c>
      <c r="C222" t="b">
        <v>1</v>
      </c>
      <c r="D222">
        <v>8071</v>
      </c>
      <c r="E222">
        <v>8140</v>
      </c>
      <c r="F222">
        <v>235</v>
      </c>
      <c r="G222">
        <v>217.46665999999999</v>
      </c>
      <c r="H222">
        <v>1.0806254</v>
      </c>
      <c r="I222">
        <v>-8.0625420000000003E-2</v>
      </c>
      <c r="J222">
        <v>0.48062470000000002</v>
      </c>
    </row>
    <row r="223" spans="1:10" x14ac:dyDescent="0.3">
      <c r="A223">
        <v>221</v>
      </c>
      <c r="B223">
        <v>4278</v>
      </c>
      <c r="C223" t="b">
        <v>1</v>
      </c>
      <c r="D223">
        <v>8048</v>
      </c>
      <c r="E223">
        <v>8134</v>
      </c>
      <c r="F223">
        <v>234.6</v>
      </c>
      <c r="G223">
        <v>217.8</v>
      </c>
      <c r="H223">
        <v>1.077135</v>
      </c>
      <c r="I223">
        <v>-7.7134999999999995E-2</v>
      </c>
      <c r="J223">
        <v>0.48143235000000001</v>
      </c>
    </row>
    <row r="224" spans="1:10" x14ac:dyDescent="0.3">
      <c r="A224">
        <v>222</v>
      </c>
      <c r="B224">
        <v>4294</v>
      </c>
      <c r="C224" t="b">
        <v>1</v>
      </c>
      <c r="D224">
        <v>8071</v>
      </c>
      <c r="E224">
        <v>8146</v>
      </c>
      <c r="F224">
        <v>235</v>
      </c>
      <c r="G224">
        <v>218.13333</v>
      </c>
      <c r="H224">
        <v>1.0773227000000001</v>
      </c>
      <c r="I224">
        <v>-7.7322749999999996E-2</v>
      </c>
      <c r="J224">
        <v>0.48138883999999998</v>
      </c>
    </row>
    <row r="225" spans="1:10" x14ac:dyDescent="0.3">
      <c r="A225">
        <v>223</v>
      </c>
      <c r="B225">
        <v>4310</v>
      </c>
      <c r="C225" t="b">
        <v>1</v>
      </c>
      <c r="D225">
        <v>8071</v>
      </c>
      <c r="E225">
        <v>8105</v>
      </c>
      <c r="F225">
        <v>235.73334</v>
      </c>
      <c r="G225">
        <v>218.86667</v>
      </c>
      <c r="H225">
        <v>1.0770637000000001</v>
      </c>
      <c r="I225">
        <v>-7.7063670000000001E-2</v>
      </c>
      <c r="J225">
        <v>0.48144890000000001</v>
      </c>
    </row>
    <row r="226" spans="1:10" x14ac:dyDescent="0.3">
      <c r="A226">
        <v>224</v>
      </c>
      <c r="B226">
        <v>4326</v>
      </c>
      <c r="C226" t="b">
        <v>1</v>
      </c>
      <c r="D226">
        <v>8065</v>
      </c>
      <c r="E226">
        <v>8111</v>
      </c>
      <c r="F226">
        <v>236.13333</v>
      </c>
      <c r="G226">
        <v>219.6</v>
      </c>
      <c r="H226">
        <v>1.0752884</v>
      </c>
      <c r="I226">
        <v>-7.5288359999999999E-2</v>
      </c>
      <c r="J226">
        <v>0.48186076</v>
      </c>
    </row>
    <row r="227" spans="1:10" x14ac:dyDescent="0.3">
      <c r="A227">
        <v>225</v>
      </c>
      <c r="B227">
        <v>4341</v>
      </c>
      <c r="C227" t="b">
        <v>1</v>
      </c>
      <c r="D227">
        <v>8117</v>
      </c>
      <c r="E227">
        <v>8129</v>
      </c>
      <c r="F227">
        <v>235.73334</v>
      </c>
      <c r="G227">
        <v>220</v>
      </c>
      <c r="H227">
        <v>1.0715151999999999</v>
      </c>
      <c r="I227">
        <v>-7.1515170000000003E-2</v>
      </c>
      <c r="J227">
        <v>0.48273843999999999</v>
      </c>
    </row>
    <row r="228" spans="1:10" x14ac:dyDescent="0.3">
      <c r="A228">
        <v>226</v>
      </c>
      <c r="B228">
        <v>4357</v>
      </c>
      <c r="C228" t="b">
        <v>1</v>
      </c>
      <c r="D228">
        <v>8065</v>
      </c>
      <c r="E228">
        <v>8146</v>
      </c>
      <c r="F228">
        <v>235.33332999999999</v>
      </c>
      <c r="G228">
        <v>220</v>
      </c>
      <c r="H228">
        <v>1.0696969000000001</v>
      </c>
      <c r="I228">
        <v>-6.9696949999999994E-2</v>
      </c>
      <c r="J228">
        <v>0.48316255000000002</v>
      </c>
    </row>
    <row r="229" spans="1:10" x14ac:dyDescent="0.3">
      <c r="A229">
        <v>227</v>
      </c>
      <c r="B229">
        <v>4373</v>
      </c>
      <c r="C229" t="b">
        <v>1</v>
      </c>
      <c r="D229">
        <v>8071</v>
      </c>
      <c r="E229">
        <v>8105</v>
      </c>
      <c r="F229">
        <v>234.93333000000001</v>
      </c>
      <c r="G229">
        <v>218.06666999999999</v>
      </c>
      <c r="H229">
        <v>1.0773463999999999</v>
      </c>
      <c r="I229">
        <v>-7.7346385000000004E-2</v>
      </c>
      <c r="J229">
        <v>0.48138334999999999</v>
      </c>
    </row>
    <row r="230" spans="1:10" x14ac:dyDescent="0.3">
      <c r="A230">
        <v>228</v>
      </c>
      <c r="B230">
        <v>4389</v>
      </c>
      <c r="C230" t="b">
        <v>1</v>
      </c>
      <c r="D230">
        <v>8088</v>
      </c>
      <c r="E230">
        <v>8134</v>
      </c>
      <c r="F230">
        <v>233.4</v>
      </c>
      <c r="G230">
        <v>217.33332999999999</v>
      </c>
      <c r="H230">
        <v>1.0739262999999999</v>
      </c>
      <c r="I230">
        <v>-7.3926374000000003E-2</v>
      </c>
      <c r="J230">
        <v>0.48217716999999999</v>
      </c>
    </row>
    <row r="231" spans="1:10" x14ac:dyDescent="0.3">
      <c r="A231">
        <v>229</v>
      </c>
      <c r="B231">
        <v>4405</v>
      </c>
      <c r="C231" t="b">
        <v>1</v>
      </c>
      <c r="D231">
        <v>8060</v>
      </c>
      <c r="E231">
        <v>8152</v>
      </c>
      <c r="F231">
        <v>233</v>
      </c>
      <c r="G231">
        <v>216.93333000000001</v>
      </c>
      <c r="H231">
        <v>1.0740627</v>
      </c>
      <c r="I231">
        <v>-7.406269E-2</v>
      </c>
      <c r="J231">
        <v>0.4821455</v>
      </c>
    </row>
    <row r="232" spans="1:10" x14ac:dyDescent="0.3">
      <c r="A232">
        <v>230</v>
      </c>
      <c r="B232">
        <v>4421</v>
      </c>
      <c r="C232" t="b">
        <v>1</v>
      </c>
      <c r="D232">
        <v>8048</v>
      </c>
      <c r="E232">
        <v>8146</v>
      </c>
      <c r="F232">
        <v>231.8</v>
      </c>
      <c r="G232">
        <v>217.33332999999999</v>
      </c>
      <c r="H232">
        <v>1.0665644000000001</v>
      </c>
      <c r="I232">
        <v>-6.6564455999999994E-2</v>
      </c>
      <c r="J232">
        <v>0.48389490000000002</v>
      </c>
    </row>
    <row r="233" spans="1:10" x14ac:dyDescent="0.3">
      <c r="A233">
        <v>231</v>
      </c>
      <c r="B233">
        <v>4437</v>
      </c>
      <c r="C233" t="b">
        <v>1</v>
      </c>
      <c r="D233">
        <v>8060</v>
      </c>
      <c r="E233">
        <v>8164</v>
      </c>
      <c r="F233">
        <v>230.26666</v>
      </c>
      <c r="G233">
        <v>217.73334</v>
      </c>
      <c r="H233">
        <v>1.0575627000000001</v>
      </c>
      <c r="I233">
        <v>-5.7562729999999999E-2</v>
      </c>
      <c r="J233">
        <v>0.48601191999999999</v>
      </c>
    </row>
    <row r="234" spans="1:10" x14ac:dyDescent="0.3">
      <c r="A234">
        <v>232</v>
      </c>
      <c r="B234">
        <v>4453</v>
      </c>
      <c r="C234" t="b">
        <v>1</v>
      </c>
      <c r="D234">
        <v>8083</v>
      </c>
      <c r="E234">
        <v>8158</v>
      </c>
      <c r="F234">
        <v>228.73334</v>
      </c>
      <c r="G234">
        <v>218.93333000000001</v>
      </c>
      <c r="H234">
        <v>1.0447625</v>
      </c>
      <c r="I234">
        <v>-4.4762499999999997E-2</v>
      </c>
      <c r="J234">
        <v>0.48905431999999999</v>
      </c>
    </row>
    <row r="235" spans="1:10" x14ac:dyDescent="0.3">
      <c r="A235">
        <v>233</v>
      </c>
      <c r="B235">
        <v>4469</v>
      </c>
      <c r="C235" t="b">
        <v>1</v>
      </c>
      <c r="D235">
        <v>8060</v>
      </c>
      <c r="E235">
        <v>8099</v>
      </c>
      <c r="F235">
        <v>228.4</v>
      </c>
      <c r="G235">
        <v>220.13333</v>
      </c>
      <c r="H235">
        <v>1.0375529999999999</v>
      </c>
      <c r="I235">
        <v>-3.755298E-2</v>
      </c>
      <c r="J235">
        <v>0.49078480000000002</v>
      </c>
    </row>
    <row r="236" spans="1:10" x14ac:dyDescent="0.3">
      <c r="A236">
        <v>234</v>
      </c>
      <c r="B236">
        <v>4485</v>
      </c>
      <c r="C236" t="b">
        <v>1</v>
      </c>
      <c r="D236">
        <v>8071</v>
      </c>
      <c r="E236">
        <v>8146</v>
      </c>
      <c r="F236">
        <v>227.26666</v>
      </c>
      <c r="G236">
        <v>221.26666</v>
      </c>
      <c r="H236">
        <v>1.0271167000000001</v>
      </c>
      <c r="I236">
        <v>-2.7116602E-2</v>
      </c>
      <c r="J236">
        <v>0.49331152</v>
      </c>
    </row>
    <row r="237" spans="1:10" x14ac:dyDescent="0.3">
      <c r="A237">
        <v>235</v>
      </c>
      <c r="B237">
        <v>4501</v>
      </c>
      <c r="C237" t="b">
        <v>1</v>
      </c>
      <c r="D237">
        <v>8054</v>
      </c>
      <c r="E237">
        <v>8152</v>
      </c>
      <c r="F237">
        <v>226.53334000000001</v>
      </c>
      <c r="G237">
        <v>222.46665999999999</v>
      </c>
      <c r="H237">
        <v>1.0182799</v>
      </c>
      <c r="I237">
        <v>-1.8279956999999999E-2</v>
      </c>
      <c r="J237">
        <v>0.49547140000000001</v>
      </c>
    </row>
    <row r="238" spans="1:10" x14ac:dyDescent="0.3">
      <c r="A238">
        <v>236</v>
      </c>
      <c r="B238">
        <v>4517</v>
      </c>
      <c r="C238" t="b">
        <v>1</v>
      </c>
      <c r="D238">
        <v>8037</v>
      </c>
      <c r="E238">
        <v>8146</v>
      </c>
      <c r="F238">
        <v>226.2</v>
      </c>
      <c r="G238">
        <v>223.26666</v>
      </c>
      <c r="H238">
        <v>1.0131383</v>
      </c>
      <c r="I238">
        <v>-1.3138255E-2</v>
      </c>
      <c r="J238">
        <v>0.49673685000000001</v>
      </c>
    </row>
    <row r="239" spans="1:10" x14ac:dyDescent="0.3">
      <c r="A239">
        <v>237</v>
      </c>
      <c r="B239">
        <v>4533</v>
      </c>
      <c r="C239" t="b">
        <v>1</v>
      </c>
      <c r="D239">
        <v>8071</v>
      </c>
      <c r="E239">
        <v>8134</v>
      </c>
      <c r="F239">
        <v>225.46665999999999</v>
      </c>
      <c r="G239">
        <v>224.06666999999999</v>
      </c>
      <c r="H239">
        <v>1.0062481000000001</v>
      </c>
      <c r="I239">
        <v>-6.2481131999999997E-3</v>
      </c>
      <c r="J239">
        <v>0.49844283</v>
      </c>
    </row>
    <row r="240" spans="1:10" x14ac:dyDescent="0.3">
      <c r="A240">
        <v>238</v>
      </c>
      <c r="B240">
        <v>4549</v>
      </c>
      <c r="C240" t="b">
        <v>1</v>
      </c>
      <c r="D240">
        <v>8054</v>
      </c>
      <c r="E240">
        <v>8158</v>
      </c>
      <c r="F240">
        <v>224.33332999999999</v>
      </c>
      <c r="G240">
        <v>224.86667</v>
      </c>
      <c r="H240">
        <v>0.99762819999999997</v>
      </c>
      <c r="I240">
        <v>2.3718075999999999E-3</v>
      </c>
      <c r="J240">
        <v>0.50059366000000005</v>
      </c>
    </row>
    <row r="241" spans="1:10" x14ac:dyDescent="0.3">
      <c r="A241">
        <v>239</v>
      </c>
      <c r="B241">
        <v>4564</v>
      </c>
      <c r="C241" t="b">
        <v>1</v>
      </c>
      <c r="D241">
        <v>8065</v>
      </c>
      <c r="E241">
        <v>8111</v>
      </c>
      <c r="F241">
        <v>223.2</v>
      </c>
      <c r="G241">
        <v>225.66667000000001</v>
      </c>
      <c r="H241">
        <v>0.98906939999999999</v>
      </c>
      <c r="I241">
        <v>1.0930611999999999E-2</v>
      </c>
      <c r="J241">
        <v>0.50274764999999999</v>
      </c>
    </row>
    <row r="242" spans="1:10" x14ac:dyDescent="0.3">
      <c r="A242">
        <v>240</v>
      </c>
      <c r="B242">
        <v>4580</v>
      </c>
      <c r="C242" t="b">
        <v>1</v>
      </c>
      <c r="D242">
        <v>8011</v>
      </c>
      <c r="E242">
        <v>8146</v>
      </c>
      <c r="F242">
        <v>222.06666999999999</v>
      </c>
      <c r="G242">
        <v>226.8</v>
      </c>
      <c r="H242">
        <v>0.9791299</v>
      </c>
      <c r="I242">
        <v>2.0870092999999999E-2</v>
      </c>
      <c r="J242">
        <v>0.50527257000000003</v>
      </c>
    </row>
    <row r="243" spans="1:10" x14ac:dyDescent="0.3">
      <c r="A243">
        <v>241</v>
      </c>
      <c r="B243">
        <v>4596</v>
      </c>
      <c r="C243" t="b">
        <v>1</v>
      </c>
      <c r="D243">
        <v>8023</v>
      </c>
      <c r="E243">
        <v>8134</v>
      </c>
      <c r="F243">
        <v>220.93333000000001</v>
      </c>
      <c r="G243">
        <v>227.13333</v>
      </c>
      <c r="H243">
        <v>0.97270330000000005</v>
      </c>
      <c r="I243">
        <v>2.7296730000000002E-2</v>
      </c>
      <c r="J243">
        <v>0.5069186</v>
      </c>
    </row>
    <row r="244" spans="1:10" x14ac:dyDescent="0.3">
      <c r="A244">
        <v>242</v>
      </c>
      <c r="B244">
        <v>4612</v>
      </c>
      <c r="C244" t="b">
        <v>1</v>
      </c>
      <c r="D244">
        <v>8060</v>
      </c>
      <c r="E244">
        <v>8146</v>
      </c>
      <c r="F244">
        <v>219.8</v>
      </c>
      <c r="G244">
        <v>229.46665999999999</v>
      </c>
      <c r="H244">
        <v>0.95787334000000002</v>
      </c>
      <c r="I244">
        <v>4.2126626E-2</v>
      </c>
      <c r="J244">
        <v>0.5107583</v>
      </c>
    </row>
    <row r="245" spans="1:10" x14ac:dyDescent="0.3">
      <c r="A245">
        <v>243</v>
      </c>
      <c r="B245">
        <v>4628</v>
      </c>
      <c r="C245" t="b">
        <v>1</v>
      </c>
      <c r="D245">
        <v>8077</v>
      </c>
      <c r="E245">
        <v>8099</v>
      </c>
      <c r="F245">
        <v>219.06666999999999</v>
      </c>
      <c r="G245">
        <v>229.8</v>
      </c>
      <c r="H245">
        <v>0.95329269999999999</v>
      </c>
      <c r="I245">
        <v>4.67073E-2</v>
      </c>
      <c r="J245">
        <v>0.51195603999999995</v>
      </c>
    </row>
    <row r="246" spans="1:10" x14ac:dyDescent="0.3">
      <c r="A246">
        <v>244</v>
      </c>
      <c r="B246">
        <v>4644</v>
      </c>
      <c r="C246" t="b">
        <v>1</v>
      </c>
      <c r="D246">
        <v>8077</v>
      </c>
      <c r="E246">
        <v>8129</v>
      </c>
      <c r="F246">
        <v>218.33332999999999</v>
      </c>
      <c r="G246">
        <v>229.8</v>
      </c>
      <c r="H246">
        <v>0.95010150000000004</v>
      </c>
      <c r="I246">
        <v>4.9898497999999999E-2</v>
      </c>
      <c r="J246">
        <v>0.51279383999999995</v>
      </c>
    </row>
    <row r="247" spans="1:10" x14ac:dyDescent="0.3">
      <c r="A247">
        <v>245</v>
      </c>
      <c r="B247">
        <v>4660</v>
      </c>
      <c r="C247" t="b">
        <v>1</v>
      </c>
      <c r="D247">
        <v>8071</v>
      </c>
      <c r="E247">
        <v>8123</v>
      </c>
      <c r="F247">
        <v>218.73334</v>
      </c>
      <c r="G247">
        <v>228.66667000000001</v>
      </c>
      <c r="H247">
        <v>0.95655979999999996</v>
      </c>
      <c r="I247">
        <v>4.3440237999999999E-2</v>
      </c>
      <c r="J247">
        <v>0.51110120000000003</v>
      </c>
    </row>
    <row r="248" spans="1:10" x14ac:dyDescent="0.3">
      <c r="A248">
        <v>246</v>
      </c>
      <c r="B248">
        <v>4676</v>
      </c>
      <c r="C248" t="b">
        <v>1</v>
      </c>
      <c r="D248">
        <v>8030</v>
      </c>
      <c r="E248">
        <v>8146</v>
      </c>
      <c r="F248">
        <v>219.46665999999999</v>
      </c>
      <c r="G248">
        <v>227.53334000000001</v>
      </c>
      <c r="H248">
        <v>0.9645473</v>
      </c>
      <c r="I248">
        <v>3.5452742000000002E-2</v>
      </c>
      <c r="J248">
        <v>0.50902312999999999</v>
      </c>
    </row>
    <row r="249" spans="1:10" x14ac:dyDescent="0.3">
      <c r="A249">
        <v>247</v>
      </c>
      <c r="B249">
        <v>4692</v>
      </c>
      <c r="C249" t="b">
        <v>1</v>
      </c>
      <c r="D249">
        <v>8065</v>
      </c>
      <c r="E249">
        <v>8158</v>
      </c>
      <c r="F249">
        <v>220.2</v>
      </c>
      <c r="G249">
        <v>226</v>
      </c>
      <c r="H249">
        <v>0.97433627</v>
      </c>
      <c r="I249">
        <v>2.5663729999999999E-2</v>
      </c>
      <c r="J249">
        <v>0.50649929999999999</v>
      </c>
    </row>
    <row r="250" spans="1:10" x14ac:dyDescent="0.3">
      <c r="A250">
        <v>248</v>
      </c>
      <c r="B250">
        <v>4708</v>
      </c>
      <c r="C250" t="b">
        <v>1</v>
      </c>
      <c r="D250">
        <v>8065</v>
      </c>
      <c r="E250">
        <v>8146</v>
      </c>
      <c r="F250">
        <v>220.53334000000001</v>
      </c>
      <c r="G250">
        <v>225.6</v>
      </c>
      <c r="H250">
        <v>0.9775414</v>
      </c>
      <c r="I250">
        <v>2.2458624E-2</v>
      </c>
      <c r="J250">
        <v>0.50567839999999997</v>
      </c>
    </row>
    <row r="251" spans="1:10" x14ac:dyDescent="0.3">
      <c r="A251">
        <v>249</v>
      </c>
      <c r="B251">
        <v>4724</v>
      </c>
      <c r="C251" t="b">
        <v>1</v>
      </c>
      <c r="D251">
        <v>8083</v>
      </c>
      <c r="E251">
        <v>8146</v>
      </c>
      <c r="F251">
        <v>220.86667</v>
      </c>
      <c r="G251">
        <v>225.6</v>
      </c>
      <c r="H251">
        <v>0.97901886999999999</v>
      </c>
      <c r="I251">
        <v>2.0981105E-2</v>
      </c>
      <c r="J251">
        <v>0.50530090000000005</v>
      </c>
    </row>
    <row r="252" spans="1:10" x14ac:dyDescent="0.3">
      <c r="A252">
        <v>250</v>
      </c>
      <c r="B252">
        <v>4740</v>
      </c>
      <c r="C252" t="b">
        <v>1</v>
      </c>
      <c r="D252">
        <v>8060</v>
      </c>
      <c r="E252">
        <v>8152</v>
      </c>
      <c r="F252">
        <v>221.2</v>
      </c>
      <c r="G252">
        <v>225.2</v>
      </c>
      <c r="H252">
        <v>0.98223800000000006</v>
      </c>
      <c r="I252">
        <v>1.7761989999999998E-2</v>
      </c>
      <c r="J252">
        <v>0.50448029999999999</v>
      </c>
    </row>
    <row r="253" spans="1:10" x14ac:dyDescent="0.3">
      <c r="A253">
        <v>251</v>
      </c>
      <c r="B253">
        <v>4756</v>
      </c>
      <c r="C253" t="b">
        <v>1</v>
      </c>
      <c r="D253">
        <v>8065</v>
      </c>
      <c r="E253">
        <v>8176</v>
      </c>
      <c r="F253">
        <v>221.53334000000001</v>
      </c>
      <c r="G253">
        <v>225.6</v>
      </c>
      <c r="H253">
        <v>0.98197400000000001</v>
      </c>
      <c r="I253">
        <v>1.8026E-2</v>
      </c>
      <c r="J253">
        <v>0.50454750000000004</v>
      </c>
    </row>
    <row r="254" spans="1:10" x14ac:dyDescent="0.3">
      <c r="A254">
        <v>252</v>
      </c>
      <c r="B254">
        <v>4772</v>
      </c>
      <c r="C254" t="b">
        <v>1</v>
      </c>
      <c r="D254">
        <v>8088</v>
      </c>
      <c r="E254">
        <v>8123</v>
      </c>
      <c r="F254">
        <v>221.86667</v>
      </c>
      <c r="G254">
        <v>225.6</v>
      </c>
      <c r="H254">
        <v>0.98345154999999995</v>
      </c>
      <c r="I254">
        <v>1.6548480000000001E-2</v>
      </c>
      <c r="J254">
        <v>0.50417160000000005</v>
      </c>
    </row>
    <row r="255" spans="1:10" x14ac:dyDescent="0.3">
      <c r="A255">
        <v>253</v>
      </c>
      <c r="B255">
        <v>4787</v>
      </c>
      <c r="C255" t="b">
        <v>1</v>
      </c>
      <c r="D255">
        <v>8065</v>
      </c>
      <c r="E255">
        <v>8099</v>
      </c>
      <c r="F255">
        <v>222.6</v>
      </c>
      <c r="G255">
        <v>225.6</v>
      </c>
      <c r="H255">
        <v>0.98670214000000001</v>
      </c>
      <c r="I255">
        <v>1.3297872000000001E-2</v>
      </c>
      <c r="J255">
        <v>0.50334674000000001</v>
      </c>
    </row>
    <row r="256" spans="1:10" x14ac:dyDescent="0.3">
      <c r="A256">
        <v>254</v>
      </c>
      <c r="B256">
        <v>4818</v>
      </c>
      <c r="C256" t="b">
        <v>1</v>
      </c>
      <c r="D256">
        <v>8077</v>
      </c>
      <c r="E256">
        <v>8134</v>
      </c>
      <c r="F256">
        <v>223.33332999999999</v>
      </c>
      <c r="G256">
        <v>224.8</v>
      </c>
      <c r="H256">
        <v>0.99347569999999996</v>
      </c>
      <c r="I256">
        <v>6.5243539999999996E-3</v>
      </c>
      <c r="J256">
        <v>0.50163645000000001</v>
      </c>
    </row>
    <row r="257" spans="1:10" x14ac:dyDescent="0.3">
      <c r="A257">
        <v>255</v>
      </c>
      <c r="B257">
        <v>4834</v>
      </c>
      <c r="C257" t="b">
        <v>1</v>
      </c>
      <c r="D257">
        <v>8054</v>
      </c>
      <c r="E257">
        <v>8152</v>
      </c>
      <c r="F257">
        <v>224.06666999999999</v>
      </c>
      <c r="G257">
        <v>224</v>
      </c>
      <c r="H257">
        <v>1.0002977</v>
      </c>
      <c r="I257">
        <v>-2.9761452000000001E-4</v>
      </c>
      <c r="J257">
        <v>0.49992560000000003</v>
      </c>
    </row>
    <row r="258" spans="1:10" x14ac:dyDescent="0.3">
      <c r="A258">
        <v>256</v>
      </c>
      <c r="B258">
        <v>4850</v>
      </c>
      <c r="C258" t="b">
        <v>1</v>
      </c>
      <c r="D258">
        <v>8065</v>
      </c>
      <c r="E258">
        <v>8129</v>
      </c>
      <c r="F258">
        <v>224.8</v>
      </c>
      <c r="G258">
        <v>223.66667000000001</v>
      </c>
      <c r="H258">
        <v>1.0050671</v>
      </c>
      <c r="I258">
        <v>-5.0670545999999999E-3</v>
      </c>
      <c r="J258">
        <v>0.49873644</v>
      </c>
    </row>
    <row r="259" spans="1:10" x14ac:dyDescent="0.3">
      <c r="A259">
        <v>257</v>
      </c>
      <c r="B259">
        <v>4866</v>
      </c>
      <c r="C259" t="b">
        <v>1</v>
      </c>
      <c r="D259">
        <v>8077</v>
      </c>
      <c r="E259">
        <v>8158</v>
      </c>
      <c r="F259">
        <v>225.53334000000001</v>
      </c>
      <c r="G259">
        <v>222.86667</v>
      </c>
      <c r="H259">
        <v>1.0119653</v>
      </c>
      <c r="I259">
        <v>-1.1965323E-2</v>
      </c>
      <c r="J259">
        <v>0.49702644000000001</v>
      </c>
    </row>
    <row r="260" spans="1:10" x14ac:dyDescent="0.3">
      <c r="A260">
        <v>258</v>
      </c>
      <c r="B260">
        <v>4882</v>
      </c>
      <c r="C260" t="b">
        <v>1</v>
      </c>
      <c r="D260">
        <v>8048</v>
      </c>
      <c r="E260">
        <v>8134</v>
      </c>
      <c r="F260">
        <v>225.86667</v>
      </c>
      <c r="G260">
        <v>222.86667</v>
      </c>
      <c r="H260">
        <v>1.0134609999999999</v>
      </c>
      <c r="I260">
        <v>-1.3460962999999999E-2</v>
      </c>
      <c r="J260">
        <v>0.49665724999999999</v>
      </c>
    </row>
    <row r="261" spans="1:10" x14ac:dyDescent="0.3">
      <c r="A261">
        <v>259</v>
      </c>
      <c r="B261">
        <v>4898</v>
      </c>
      <c r="C261" t="b">
        <v>1</v>
      </c>
      <c r="D261">
        <v>8065</v>
      </c>
      <c r="E261">
        <v>8134</v>
      </c>
      <c r="F261">
        <v>226.2</v>
      </c>
      <c r="G261">
        <v>222.86667</v>
      </c>
      <c r="H261">
        <v>1.0149566000000001</v>
      </c>
      <c r="I261">
        <v>-1.4956603000000001E-2</v>
      </c>
      <c r="J261">
        <v>0.49628863000000001</v>
      </c>
    </row>
    <row r="262" spans="1:10" x14ac:dyDescent="0.3">
      <c r="A262">
        <v>260</v>
      </c>
      <c r="B262">
        <v>4913</v>
      </c>
      <c r="C262" t="b">
        <v>1</v>
      </c>
      <c r="D262">
        <v>8071</v>
      </c>
      <c r="E262">
        <v>8146</v>
      </c>
      <c r="F262">
        <v>225.8</v>
      </c>
      <c r="G262">
        <v>223.2</v>
      </c>
      <c r="H262">
        <v>1.0116487999999999</v>
      </c>
      <c r="I262">
        <v>-1.1648772999999999E-2</v>
      </c>
      <c r="J262">
        <v>0.49710467000000003</v>
      </c>
    </row>
    <row r="263" spans="1:10" x14ac:dyDescent="0.3">
      <c r="A263">
        <v>261</v>
      </c>
      <c r="B263">
        <v>4929</v>
      </c>
      <c r="C263" t="b">
        <v>1</v>
      </c>
      <c r="D263">
        <v>8088</v>
      </c>
      <c r="E263">
        <v>8134</v>
      </c>
      <c r="F263">
        <v>225.8</v>
      </c>
      <c r="G263">
        <v>223.53334000000001</v>
      </c>
      <c r="H263">
        <v>1.0101401999999999</v>
      </c>
      <c r="I263">
        <v>-1.01401545E-2</v>
      </c>
      <c r="J263">
        <v>0.49747774</v>
      </c>
    </row>
    <row r="264" spans="1:10" x14ac:dyDescent="0.3">
      <c r="A264">
        <v>262</v>
      </c>
      <c r="B264">
        <v>4945</v>
      </c>
      <c r="C264" t="b">
        <v>1</v>
      </c>
      <c r="D264">
        <v>8071</v>
      </c>
      <c r="E264">
        <v>8134</v>
      </c>
      <c r="F264">
        <v>225.8</v>
      </c>
      <c r="G264">
        <v>223.86667</v>
      </c>
      <c r="H264">
        <v>1.0086360999999999</v>
      </c>
      <c r="I264">
        <v>-8.6360970000000006E-3</v>
      </c>
      <c r="J264">
        <v>0.49785024</v>
      </c>
    </row>
    <row r="265" spans="1:10" x14ac:dyDescent="0.3">
      <c r="A265">
        <v>263</v>
      </c>
      <c r="B265">
        <v>4961</v>
      </c>
      <c r="C265" t="b">
        <v>1</v>
      </c>
      <c r="D265">
        <v>8088</v>
      </c>
      <c r="E265">
        <v>8129</v>
      </c>
      <c r="F265">
        <v>226.2</v>
      </c>
      <c r="G265">
        <v>223.06666999999999</v>
      </c>
      <c r="H265">
        <v>1.0140467</v>
      </c>
      <c r="I265">
        <v>-1.4046614000000001E-2</v>
      </c>
      <c r="J265">
        <v>0.49651283000000002</v>
      </c>
    </row>
    <row r="266" spans="1:10" x14ac:dyDescent="0.3">
      <c r="A266">
        <v>264</v>
      </c>
      <c r="B266">
        <v>4993</v>
      </c>
      <c r="C266" t="b">
        <v>1</v>
      </c>
      <c r="D266">
        <v>8088</v>
      </c>
      <c r="E266">
        <v>8134</v>
      </c>
      <c r="F266">
        <v>227.73334</v>
      </c>
      <c r="G266">
        <v>222.26666</v>
      </c>
      <c r="H266">
        <v>1.0245951</v>
      </c>
      <c r="I266">
        <v>-2.4595117E-2</v>
      </c>
      <c r="J266">
        <v>0.49392593000000001</v>
      </c>
    </row>
    <row r="267" spans="1:10" x14ac:dyDescent="0.3">
      <c r="A267">
        <v>265</v>
      </c>
      <c r="B267">
        <v>5009</v>
      </c>
      <c r="C267" t="b">
        <v>1</v>
      </c>
      <c r="D267">
        <v>8065</v>
      </c>
      <c r="E267">
        <v>8152</v>
      </c>
      <c r="F267">
        <v>229.26666</v>
      </c>
      <c r="G267">
        <v>221.46665999999999</v>
      </c>
      <c r="H267">
        <v>1.0352197999999999</v>
      </c>
      <c r="I267">
        <v>-3.5219762000000002E-2</v>
      </c>
      <c r="J267">
        <v>0.49134739999999999</v>
      </c>
    </row>
    <row r="268" spans="1:10" x14ac:dyDescent="0.3">
      <c r="A268">
        <v>266</v>
      </c>
      <c r="B268">
        <v>5025</v>
      </c>
      <c r="C268" t="b">
        <v>1</v>
      </c>
      <c r="D268">
        <v>8077</v>
      </c>
      <c r="E268">
        <v>8140</v>
      </c>
      <c r="F268">
        <v>230.06666999999999</v>
      </c>
      <c r="G268">
        <v>220.26666</v>
      </c>
      <c r="H268">
        <v>1.0444914999999999</v>
      </c>
      <c r="I268">
        <v>-4.4491540000000003E-2</v>
      </c>
      <c r="J268">
        <v>0.48911916999999999</v>
      </c>
    </row>
    <row r="269" spans="1:10" x14ac:dyDescent="0.3">
      <c r="A269">
        <v>267</v>
      </c>
      <c r="B269">
        <v>5041</v>
      </c>
      <c r="C269" t="b">
        <v>1</v>
      </c>
      <c r="D269">
        <v>8077</v>
      </c>
      <c r="E269">
        <v>8087</v>
      </c>
      <c r="F269">
        <v>230.86667</v>
      </c>
      <c r="G269">
        <v>219.46665999999999</v>
      </c>
      <c r="H269">
        <v>1.0519441</v>
      </c>
      <c r="I269">
        <v>-5.1944150000000001E-2</v>
      </c>
      <c r="J269">
        <v>0.48734272000000001</v>
      </c>
    </row>
    <row r="270" spans="1:10" x14ac:dyDescent="0.3">
      <c r="A270">
        <v>268</v>
      </c>
      <c r="B270">
        <v>5057</v>
      </c>
      <c r="C270" t="b">
        <v>1</v>
      </c>
      <c r="D270">
        <v>8030</v>
      </c>
      <c r="E270">
        <v>8158</v>
      </c>
      <c r="F270">
        <v>231.66667000000001</v>
      </c>
      <c r="G270">
        <v>219.06666999999999</v>
      </c>
      <c r="H270">
        <v>1.0575167999999999</v>
      </c>
      <c r="I270">
        <v>-5.7516764999999997E-2</v>
      </c>
      <c r="J270">
        <v>0.48602276999999999</v>
      </c>
    </row>
    <row r="271" spans="1:10" x14ac:dyDescent="0.3">
      <c r="A271">
        <v>269</v>
      </c>
      <c r="B271">
        <v>5072</v>
      </c>
      <c r="C271" t="b">
        <v>1</v>
      </c>
      <c r="D271">
        <v>8077</v>
      </c>
      <c r="E271">
        <v>8129</v>
      </c>
      <c r="F271">
        <v>232.46665999999999</v>
      </c>
      <c r="G271">
        <v>219.46665999999999</v>
      </c>
      <c r="H271">
        <v>1.0592345000000001</v>
      </c>
      <c r="I271">
        <v>-5.9234509999999997E-2</v>
      </c>
      <c r="J271">
        <v>0.48561734000000001</v>
      </c>
    </row>
    <row r="272" spans="1:10" x14ac:dyDescent="0.3">
      <c r="A272">
        <v>270</v>
      </c>
      <c r="B272">
        <v>5088</v>
      </c>
      <c r="C272" t="b">
        <v>1</v>
      </c>
      <c r="D272">
        <v>8100</v>
      </c>
      <c r="E272">
        <v>8134</v>
      </c>
      <c r="F272">
        <v>233.26666</v>
      </c>
      <c r="G272">
        <v>219.46665999999999</v>
      </c>
      <c r="H272">
        <v>1.0628797000000001</v>
      </c>
      <c r="I272">
        <v>-6.2879729999999995E-2</v>
      </c>
      <c r="J272">
        <v>0.4847592</v>
      </c>
    </row>
    <row r="273" spans="1:10" x14ac:dyDescent="0.3">
      <c r="A273">
        <v>271</v>
      </c>
      <c r="B273">
        <v>5104</v>
      </c>
      <c r="C273" t="b">
        <v>1</v>
      </c>
      <c r="D273">
        <v>8094</v>
      </c>
      <c r="E273">
        <v>8134</v>
      </c>
      <c r="F273">
        <v>234.06666999999999</v>
      </c>
      <c r="G273">
        <v>219.8</v>
      </c>
      <c r="H273">
        <v>1.0649074000000001</v>
      </c>
      <c r="I273">
        <v>-6.4907469999999995E-2</v>
      </c>
      <c r="J273">
        <v>0.48428320000000002</v>
      </c>
    </row>
    <row r="274" spans="1:10" x14ac:dyDescent="0.3">
      <c r="A274">
        <v>272</v>
      </c>
      <c r="B274">
        <v>5137</v>
      </c>
      <c r="C274" t="b">
        <v>1</v>
      </c>
      <c r="D274">
        <v>8111</v>
      </c>
      <c r="E274">
        <v>8134</v>
      </c>
      <c r="F274">
        <v>236</v>
      </c>
      <c r="G274">
        <v>219.8</v>
      </c>
      <c r="H274">
        <v>1.0737034000000001</v>
      </c>
      <c r="I274">
        <v>-7.3703350000000001E-2</v>
      </c>
      <c r="J274">
        <v>0.48222904999999999</v>
      </c>
    </row>
    <row r="275" spans="1:10" x14ac:dyDescent="0.3">
      <c r="A275">
        <v>273</v>
      </c>
      <c r="B275">
        <v>5168</v>
      </c>
      <c r="C275" t="b">
        <v>1</v>
      </c>
      <c r="D275">
        <v>8048</v>
      </c>
      <c r="E275">
        <v>8129</v>
      </c>
      <c r="F275">
        <v>237.93333000000001</v>
      </c>
      <c r="G275">
        <v>219.8</v>
      </c>
      <c r="H275">
        <v>1.0824993000000001</v>
      </c>
      <c r="I275">
        <v>-8.2499230000000007E-2</v>
      </c>
      <c r="J275">
        <v>0.48019223999999999</v>
      </c>
    </row>
    <row r="276" spans="1:10" x14ac:dyDescent="0.3">
      <c r="A276">
        <v>274</v>
      </c>
      <c r="B276">
        <v>5184</v>
      </c>
      <c r="C276" t="b">
        <v>1</v>
      </c>
      <c r="D276">
        <v>8083</v>
      </c>
      <c r="E276">
        <v>8140</v>
      </c>
      <c r="F276">
        <v>239.86667</v>
      </c>
      <c r="G276">
        <v>219.8</v>
      </c>
      <c r="H276">
        <v>1.0912951</v>
      </c>
      <c r="I276">
        <v>-9.1295109999999999E-2</v>
      </c>
      <c r="J276">
        <v>0.47817257000000002</v>
      </c>
    </row>
    <row r="277" spans="1:10" x14ac:dyDescent="0.3">
      <c r="A277">
        <v>275</v>
      </c>
      <c r="B277">
        <v>5200</v>
      </c>
      <c r="C277" t="b">
        <v>1</v>
      </c>
      <c r="D277">
        <v>8060</v>
      </c>
      <c r="E277">
        <v>8117</v>
      </c>
      <c r="F277">
        <v>241.06666999999999</v>
      </c>
      <c r="G277">
        <v>219.8</v>
      </c>
      <c r="H277">
        <v>1.0967545999999999</v>
      </c>
      <c r="I277">
        <v>-9.6754599999999996E-2</v>
      </c>
      <c r="J277">
        <v>0.47692751999999999</v>
      </c>
    </row>
    <row r="278" spans="1:10" x14ac:dyDescent="0.3">
      <c r="A278">
        <v>276</v>
      </c>
      <c r="B278">
        <v>5216</v>
      </c>
      <c r="C278" t="b">
        <v>1</v>
      </c>
      <c r="D278">
        <v>8083</v>
      </c>
      <c r="E278">
        <v>8117</v>
      </c>
      <c r="F278">
        <v>241.86667</v>
      </c>
      <c r="G278">
        <v>219.46665999999999</v>
      </c>
      <c r="H278">
        <v>1.1020657</v>
      </c>
      <c r="I278">
        <v>-0.10206566</v>
      </c>
      <c r="J278">
        <v>0.47572255000000002</v>
      </c>
    </row>
    <row r="279" spans="1:10" x14ac:dyDescent="0.3">
      <c r="A279">
        <v>277</v>
      </c>
      <c r="B279">
        <v>5231</v>
      </c>
      <c r="C279" t="b">
        <v>1</v>
      </c>
      <c r="D279">
        <v>8106</v>
      </c>
      <c r="E279">
        <v>8111</v>
      </c>
      <c r="F279">
        <v>242.66667000000001</v>
      </c>
      <c r="G279">
        <v>218.33332999999999</v>
      </c>
      <c r="H279">
        <v>1.1114504000000001</v>
      </c>
      <c r="I279">
        <v>-0.111450434</v>
      </c>
      <c r="J279">
        <v>0.47360807999999999</v>
      </c>
    </row>
    <row r="280" spans="1:10" x14ac:dyDescent="0.3">
      <c r="A280">
        <v>278</v>
      </c>
      <c r="B280">
        <v>5247</v>
      </c>
      <c r="C280" t="b">
        <v>1</v>
      </c>
      <c r="D280">
        <v>8088</v>
      </c>
      <c r="E280">
        <v>8146</v>
      </c>
      <c r="F280">
        <v>243.46665999999999</v>
      </c>
      <c r="G280">
        <v>217.2</v>
      </c>
      <c r="H280">
        <v>1.120933</v>
      </c>
      <c r="I280">
        <v>-0.12093307</v>
      </c>
      <c r="J280">
        <v>0.47149059999999998</v>
      </c>
    </row>
    <row r="281" spans="1:10" x14ac:dyDescent="0.3">
      <c r="A281">
        <v>279</v>
      </c>
      <c r="B281">
        <v>5263</v>
      </c>
      <c r="C281" t="b">
        <v>1</v>
      </c>
      <c r="D281">
        <v>8077</v>
      </c>
      <c r="E281">
        <v>8129</v>
      </c>
      <c r="F281">
        <v>243.13333</v>
      </c>
      <c r="G281">
        <v>216.06666999999999</v>
      </c>
      <c r="H281">
        <v>1.12527</v>
      </c>
      <c r="I281">
        <v>-0.12526998</v>
      </c>
      <c r="J281">
        <v>0.47052844999999999</v>
      </c>
    </row>
    <row r="282" spans="1:10" x14ac:dyDescent="0.3">
      <c r="A282">
        <v>280</v>
      </c>
      <c r="B282">
        <v>5279</v>
      </c>
      <c r="C282" t="b">
        <v>1</v>
      </c>
      <c r="D282">
        <v>8065</v>
      </c>
      <c r="E282">
        <v>8129</v>
      </c>
      <c r="F282">
        <v>242.8</v>
      </c>
      <c r="G282">
        <v>215.73334</v>
      </c>
      <c r="H282">
        <v>1.1254635</v>
      </c>
      <c r="I282">
        <v>-0.12546352999999999</v>
      </c>
      <c r="J282">
        <v>0.47048562999999999</v>
      </c>
    </row>
    <row r="283" spans="1:10" x14ac:dyDescent="0.3">
      <c r="A283">
        <v>281</v>
      </c>
      <c r="B283">
        <v>5295</v>
      </c>
      <c r="C283" t="b">
        <v>1</v>
      </c>
      <c r="D283">
        <v>8083</v>
      </c>
      <c r="E283">
        <v>8099</v>
      </c>
      <c r="F283">
        <v>243.2</v>
      </c>
      <c r="G283">
        <v>215.4</v>
      </c>
      <c r="H283">
        <v>1.1290621999999999</v>
      </c>
      <c r="I283">
        <v>-0.12906222000000001</v>
      </c>
      <c r="J283">
        <v>0.46969038000000002</v>
      </c>
    </row>
    <row r="284" spans="1:10" x14ac:dyDescent="0.3">
      <c r="A284">
        <v>282</v>
      </c>
      <c r="B284">
        <v>5311</v>
      </c>
      <c r="C284" t="b">
        <v>1</v>
      </c>
      <c r="D284">
        <v>8071</v>
      </c>
      <c r="E284">
        <v>8129</v>
      </c>
      <c r="F284">
        <v>243.2</v>
      </c>
      <c r="G284">
        <v>215.06666999999999</v>
      </c>
      <c r="H284">
        <v>1.1308122</v>
      </c>
      <c r="I284">
        <v>-0.13081213999999999</v>
      </c>
      <c r="J284">
        <v>0.46930462000000001</v>
      </c>
    </row>
    <row r="285" spans="1:10" x14ac:dyDescent="0.3">
      <c r="A285">
        <v>283</v>
      </c>
      <c r="B285">
        <v>5327</v>
      </c>
      <c r="C285" t="b">
        <v>1</v>
      </c>
      <c r="D285">
        <v>8077</v>
      </c>
      <c r="E285">
        <v>8164</v>
      </c>
      <c r="F285">
        <v>243.2</v>
      </c>
      <c r="G285">
        <v>214.33332999999999</v>
      </c>
      <c r="H285">
        <v>1.1346811999999999</v>
      </c>
      <c r="I285">
        <v>-0.1346812</v>
      </c>
      <c r="J285">
        <v>0.46845403000000002</v>
      </c>
    </row>
    <row r="286" spans="1:10" x14ac:dyDescent="0.3">
      <c r="A286">
        <v>284</v>
      </c>
      <c r="B286">
        <v>5342</v>
      </c>
      <c r="C286" t="b">
        <v>1</v>
      </c>
      <c r="D286">
        <v>8054</v>
      </c>
      <c r="E286">
        <v>8129</v>
      </c>
      <c r="F286">
        <v>242.8</v>
      </c>
      <c r="G286">
        <v>213.6</v>
      </c>
      <c r="H286">
        <v>1.1367041</v>
      </c>
      <c r="I286">
        <v>-0.1367041</v>
      </c>
      <c r="J286">
        <v>0.46801050999999999</v>
      </c>
    </row>
    <row r="287" spans="1:10" x14ac:dyDescent="0.3">
      <c r="A287">
        <v>285</v>
      </c>
      <c r="B287">
        <v>5358</v>
      </c>
      <c r="C287" t="b">
        <v>1</v>
      </c>
      <c r="D287">
        <v>8094</v>
      </c>
      <c r="E287">
        <v>8146</v>
      </c>
      <c r="F287">
        <v>242.8</v>
      </c>
      <c r="G287">
        <v>213.26666</v>
      </c>
      <c r="H287">
        <v>1.1384808</v>
      </c>
      <c r="I287">
        <v>-0.13848081000000001</v>
      </c>
      <c r="J287">
        <v>0.46762169999999997</v>
      </c>
    </row>
    <row r="288" spans="1:10" x14ac:dyDescent="0.3">
      <c r="A288">
        <v>286</v>
      </c>
      <c r="B288">
        <v>5374</v>
      </c>
      <c r="C288" t="b">
        <v>1</v>
      </c>
      <c r="D288">
        <v>8083</v>
      </c>
      <c r="E288">
        <v>8129</v>
      </c>
      <c r="F288">
        <v>242.8</v>
      </c>
      <c r="G288">
        <v>212.93333000000001</v>
      </c>
      <c r="H288">
        <v>1.140263</v>
      </c>
      <c r="I288">
        <v>-0.140263</v>
      </c>
      <c r="J288">
        <v>0.46723229999999999</v>
      </c>
    </row>
    <row r="289" spans="1:10" x14ac:dyDescent="0.3">
      <c r="A289">
        <v>287</v>
      </c>
      <c r="B289">
        <v>5390</v>
      </c>
      <c r="C289" t="b">
        <v>1</v>
      </c>
      <c r="D289">
        <v>8088</v>
      </c>
      <c r="E289">
        <v>8182</v>
      </c>
      <c r="F289">
        <v>242.06666999999999</v>
      </c>
      <c r="G289">
        <v>213.73334</v>
      </c>
      <c r="H289">
        <v>1.1325639999999999</v>
      </c>
      <c r="I289">
        <v>-0.13256392</v>
      </c>
      <c r="J289">
        <v>0.46891913000000002</v>
      </c>
    </row>
    <row r="290" spans="1:10" x14ac:dyDescent="0.3">
      <c r="A290">
        <v>288</v>
      </c>
      <c r="B290">
        <v>5406</v>
      </c>
      <c r="C290" t="b">
        <v>1</v>
      </c>
      <c r="D290">
        <v>8077</v>
      </c>
      <c r="E290">
        <v>8105</v>
      </c>
      <c r="F290">
        <v>241.33332999999999</v>
      </c>
      <c r="G290">
        <v>213.4</v>
      </c>
      <c r="H290">
        <v>1.1308966</v>
      </c>
      <c r="I290">
        <v>-0.1308966</v>
      </c>
      <c r="J290">
        <v>0.46928602000000003</v>
      </c>
    </row>
    <row r="291" spans="1:10" x14ac:dyDescent="0.3">
      <c r="A291">
        <v>289</v>
      </c>
      <c r="B291">
        <v>5422</v>
      </c>
      <c r="C291" t="b">
        <v>1</v>
      </c>
      <c r="D291">
        <v>8071</v>
      </c>
      <c r="E291">
        <v>8129</v>
      </c>
      <c r="F291">
        <v>240.6</v>
      </c>
      <c r="G291">
        <v>213.06666999999999</v>
      </c>
      <c r="H291">
        <v>1.1292241000000001</v>
      </c>
      <c r="I291">
        <v>-0.12922406</v>
      </c>
      <c r="J291">
        <v>0.46965465000000001</v>
      </c>
    </row>
    <row r="292" spans="1:10" x14ac:dyDescent="0.3">
      <c r="A292">
        <v>290</v>
      </c>
      <c r="B292">
        <v>5438</v>
      </c>
      <c r="C292" t="b">
        <v>1</v>
      </c>
      <c r="D292">
        <v>8023</v>
      </c>
      <c r="E292">
        <v>8146</v>
      </c>
      <c r="F292">
        <v>240.2</v>
      </c>
      <c r="G292">
        <v>212.73334</v>
      </c>
      <c r="H292">
        <v>1.1291131000000001</v>
      </c>
      <c r="I292">
        <v>-0.12911310000000001</v>
      </c>
      <c r="J292">
        <v>0.46967912000000001</v>
      </c>
    </row>
    <row r="293" spans="1:10" x14ac:dyDescent="0.3">
      <c r="A293">
        <v>291</v>
      </c>
      <c r="B293">
        <v>5453</v>
      </c>
      <c r="C293" t="b">
        <v>1</v>
      </c>
      <c r="D293">
        <v>8065</v>
      </c>
      <c r="E293">
        <v>8123</v>
      </c>
      <c r="F293">
        <v>239.4</v>
      </c>
      <c r="G293">
        <v>212.73334</v>
      </c>
      <c r="H293">
        <v>1.1253525</v>
      </c>
      <c r="I293">
        <v>-0.12535250000000001</v>
      </c>
      <c r="J293">
        <v>0.47051018</v>
      </c>
    </row>
    <row r="294" spans="1:10" x14ac:dyDescent="0.3">
      <c r="A294">
        <v>292</v>
      </c>
      <c r="B294">
        <v>5469</v>
      </c>
      <c r="C294" t="b">
        <v>1</v>
      </c>
      <c r="D294">
        <v>8065</v>
      </c>
      <c r="E294">
        <v>8134</v>
      </c>
      <c r="F294">
        <v>238.2</v>
      </c>
      <c r="G294">
        <v>213.53334000000001</v>
      </c>
      <c r="H294">
        <v>1.1155166999999999</v>
      </c>
      <c r="I294">
        <v>-0.115516655</v>
      </c>
      <c r="J294">
        <v>0.47269776000000002</v>
      </c>
    </row>
    <row r="295" spans="1:10" x14ac:dyDescent="0.3">
      <c r="A295">
        <v>293</v>
      </c>
      <c r="B295">
        <v>5485</v>
      </c>
      <c r="C295" t="b">
        <v>1</v>
      </c>
      <c r="D295">
        <v>8054</v>
      </c>
      <c r="E295">
        <v>8111</v>
      </c>
      <c r="F295">
        <v>237</v>
      </c>
      <c r="G295">
        <v>214.33332999999999</v>
      </c>
      <c r="H295">
        <v>1.1057543000000001</v>
      </c>
      <c r="I295">
        <v>-0.1057543</v>
      </c>
      <c r="J295">
        <v>0.47488922</v>
      </c>
    </row>
    <row r="296" spans="1:10" x14ac:dyDescent="0.3">
      <c r="A296">
        <v>294</v>
      </c>
      <c r="B296">
        <v>5517</v>
      </c>
      <c r="C296" t="b">
        <v>1</v>
      </c>
      <c r="D296">
        <v>8083</v>
      </c>
      <c r="E296">
        <v>8134</v>
      </c>
      <c r="F296">
        <v>235.8</v>
      </c>
      <c r="G296">
        <v>215.46665999999999</v>
      </c>
      <c r="H296">
        <v>1.0943688</v>
      </c>
      <c r="I296">
        <v>-9.4368859999999999E-2</v>
      </c>
      <c r="J296">
        <v>0.47747082000000002</v>
      </c>
    </row>
    <row r="297" spans="1:10" x14ac:dyDescent="0.3">
      <c r="A297">
        <v>295</v>
      </c>
      <c r="B297">
        <v>5533</v>
      </c>
      <c r="C297" t="b">
        <v>1</v>
      </c>
      <c r="D297">
        <v>8100</v>
      </c>
      <c r="E297">
        <v>8140</v>
      </c>
      <c r="F297">
        <v>234.6</v>
      </c>
      <c r="G297">
        <v>215.8</v>
      </c>
      <c r="H297">
        <v>1.0871177000000001</v>
      </c>
      <c r="I297">
        <v>-8.7117719999999996E-2</v>
      </c>
      <c r="J297">
        <v>0.47912964000000002</v>
      </c>
    </row>
    <row r="298" spans="1:10" x14ac:dyDescent="0.3">
      <c r="A298">
        <v>296</v>
      </c>
      <c r="B298">
        <v>5549</v>
      </c>
      <c r="C298" t="b">
        <v>1</v>
      </c>
      <c r="D298">
        <v>8111</v>
      </c>
      <c r="E298">
        <v>8146</v>
      </c>
      <c r="F298">
        <v>234.6</v>
      </c>
      <c r="G298">
        <v>216.13333</v>
      </c>
      <c r="H298">
        <v>1.0854410999999999</v>
      </c>
      <c r="I298">
        <v>-8.5441130000000004E-2</v>
      </c>
      <c r="J298">
        <v>0.47951486999999998</v>
      </c>
    </row>
    <row r="299" spans="1:10" x14ac:dyDescent="0.3">
      <c r="A299">
        <v>297</v>
      </c>
      <c r="B299">
        <v>5565</v>
      </c>
      <c r="C299" t="b">
        <v>1</v>
      </c>
      <c r="D299">
        <v>8077</v>
      </c>
      <c r="E299">
        <v>8146</v>
      </c>
      <c r="F299">
        <v>235</v>
      </c>
      <c r="G299">
        <v>216.86667</v>
      </c>
      <c r="H299">
        <v>1.0836151000000001</v>
      </c>
      <c r="I299">
        <v>-8.3615120000000001E-2</v>
      </c>
      <c r="J299">
        <v>0.47993508000000001</v>
      </c>
    </row>
    <row r="300" spans="1:10" x14ac:dyDescent="0.3">
      <c r="A300">
        <v>298</v>
      </c>
      <c r="B300">
        <v>5580</v>
      </c>
      <c r="C300" t="b">
        <v>1</v>
      </c>
      <c r="D300">
        <v>8065</v>
      </c>
      <c r="E300">
        <v>8140</v>
      </c>
      <c r="F300">
        <v>235.4</v>
      </c>
      <c r="G300">
        <v>217.6</v>
      </c>
      <c r="H300">
        <v>1.0818014</v>
      </c>
      <c r="I300">
        <v>-8.1801414000000003E-2</v>
      </c>
      <c r="J300">
        <v>0.48035319999999998</v>
      </c>
    </row>
    <row r="301" spans="1:10" x14ac:dyDescent="0.3">
      <c r="A301">
        <v>299</v>
      </c>
      <c r="B301">
        <v>5596</v>
      </c>
      <c r="C301" t="b">
        <v>1</v>
      </c>
      <c r="D301">
        <v>8077</v>
      </c>
      <c r="E301">
        <v>8170</v>
      </c>
      <c r="F301">
        <v>235.8</v>
      </c>
      <c r="G301">
        <v>218.73334</v>
      </c>
      <c r="H301">
        <v>1.078025</v>
      </c>
      <c r="I301">
        <v>-7.8024979999999994E-2</v>
      </c>
      <c r="J301">
        <v>0.48122618</v>
      </c>
    </row>
    <row r="302" spans="1:10" x14ac:dyDescent="0.3">
      <c r="A302">
        <v>300</v>
      </c>
      <c r="B302">
        <v>5612</v>
      </c>
      <c r="C302" t="b">
        <v>1</v>
      </c>
      <c r="D302">
        <v>8083</v>
      </c>
      <c r="E302">
        <v>8129</v>
      </c>
      <c r="F302">
        <v>235.8</v>
      </c>
      <c r="G302">
        <v>219.86667</v>
      </c>
      <c r="H302">
        <v>1.0724682000000001</v>
      </c>
      <c r="I302">
        <v>-7.2468169999999998E-2</v>
      </c>
      <c r="J302">
        <v>0.48251643999999999</v>
      </c>
    </row>
    <row r="303" spans="1:10" x14ac:dyDescent="0.3">
      <c r="A303">
        <v>301</v>
      </c>
      <c r="B303">
        <v>5628</v>
      </c>
      <c r="C303" t="b">
        <v>1</v>
      </c>
      <c r="D303">
        <v>8077</v>
      </c>
      <c r="E303">
        <v>8152</v>
      </c>
      <c r="F303">
        <v>235.8</v>
      </c>
      <c r="G303">
        <v>221</v>
      </c>
      <c r="H303">
        <v>1.0669683000000001</v>
      </c>
      <c r="I303">
        <v>-6.6968340000000001E-2</v>
      </c>
      <c r="J303">
        <v>0.48380034999999999</v>
      </c>
    </row>
    <row r="304" spans="1:10" x14ac:dyDescent="0.3">
      <c r="A304">
        <v>302</v>
      </c>
      <c r="B304">
        <v>5644</v>
      </c>
      <c r="C304" t="b">
        <v>1</v>
      </c>
      <c r="D304">
        <v>8071</v>
      </c>
      <c r="E304">
        <v>8152</v>
      </c>
      <c r="F304">
        <v>235.4</v>
      </c>
      <c r="G304">
        <v>221.4</v>
      </c>
      <c r="H304">
        <v>1.063234</v>
      </c>
      <c r="I304">
        <v>-6.3233964000000004E-2</v>
      </c>
      <c r="J304">
        <v>0.484676</v>
      </c>
    </row>
    <row r="305" spans="1:10" x14ac:dyDescent="0.3">
      <c r="A305">
        <v>303</v>
      </c>
      <c r="B305">
        <v>5660</v>
      </c>
      <c r="C305" t="b">
        <v>1</v>
      </c>
      <c r="D305">
        <v>8083</v>
      </c>
      <c r="E305">
        <v>8146</v>
      </c>
      <c r="F305">
        <v>235</v>
      </c>
      <c r="G305">
        <v>222.93333000000001</v>
      </c>
      <c r="H305">
        <v>1.0541267000000001</v>
      </c>
      <c r="I305">
        <v>-5.4126788000000002E-2</v>
      </c>
      <c r="J305">
        <v>0.48682483999999998</v>
      </c>
    </row>
    <row r="306" spans="1:10" x14ac:dyDescent="0.3">
      <c r="A306">
        <v>304</v>
      </c>
      <c r="B306">
        <v>5676</v>
      </c>
      <c r="C306" t="b">
        <v>1</v>
      </c>
      <c r="D306">
        <v>8083</v>
      </c>
      <c r="E306">
        <v>8140</v>
      </c>
      <c r="F306">
        <v>235</v>
      </c>
      <c r="G306">
        <v>224.06666999999999</v>
      </c>
      <c r="H306">
        <v>1.0487949999999999</v>
      </c>
      <c r="I306">
        <v>-4.8795007000000001E-2</v>
      </c>
      <c r="J306">
        <v>0.48809180000000002</v>
      </c>
    </row>
    <row r="307" spans="1:10" x14ac:dyDescent="0.3">
      <c r="A307">
        <v>305</v>
      </c>
      <c r="B307">
        <v>5692</v>
      </c>
      <c r="C307" t="b">
        <v>1</v>
      </c>
      <c r="D307">
        <v>8071</v>
      </c>
      <c r="E307">
        <v>8152</v>
      </c>
      <c r="F307">
        <v>235</v>
      </c>
      <c r="G307">
        <v>225.6</v>
      </c>
      <c r="H307">
        <v>1.0416666000000001</v>
      </c>
      <c r="I307">
        <v>-4.1666637999999999E-2</v>
      </c>
      <c r="J307">
        <v>0.48979592</v>
      </c>
    </row>
    <row r="308" spans="1:10" x14ac:dyDescent="0.3">
      <c r="A308">
        <v>306</v>
      </c>
      <c r="B308">
        <v>5707</v>
      </c>
      <c r="C308" t="b">
        <v>1</v>
      </c>
      <c r="D308">
        <v>8083</v>
      </c>
      <c r="E308">
        <v>8164</v>
      </c>
      <c r="F308">
        <v>235.8</v>
      </c>
      <c r="G308">
        <v>227.13333</v>
      </c>
      <c r="H308">
        <v>1.0381567</v>
      </c>
      <c r="I308">
        <v>-3.8156759999999998E-2</v>
      </c>
      <c r="J308">
        <v>0.4906394</v>
      </c>
    </row>
    <row r="309" spans="1:10" x14ac:dyDescent="0.3">
      <c r="A309">
        <v>307</v>
      </c>
      <c r="B309">
        <v>5724</v>
      </c>
      <c r="C309" t="b">
        <v>1</v>
      </c>
      <c r="D309">
        <v>8088</v>
      </c>
      <c r="E309">
        <v>8164</v>
      </c>
      <c r="F309">
        <v>237</v>
      </c>
      <c r="G309">
        <v>228.66667000000001</v>
      </c>
      <c r="H309">
        <v>1.0364431000000001</v>
      </c>
      <c r="I309">
        <v>-3.6443125E-2</v>
      </c>
      <c r="J309">
        <v>0.49105223999999997</v>
      </c>
    </row>
    <row r="310" spans="1:10" x14ac:dyDescent="0.3">
      <c r="A310">
        <v>308</v>
      </c>
      <c r="B310">
        <v>5740</v>
      </c>
      <c r="C310" t="b">
        <v>1</v>
      </c>
      <c r="D310">
        <v>8094</v>
      </c>
      <c r="E310">
        <v>8140</v>
      </c>
      <c r="F310">
        <v>238.2</v>
      </c>
      <c r="G310">
        <v>230.2</v>
      </c>
      <c r="H310">
        <v>1.0347523999999999</v>
      </c>
      <c r="I310">
        <v>-3.4752390000000001E-2</v>
      </c>
      <c r="J310">
        <v>0.49146030000000002</v>
      </c>
    </row>
    <row r="311" spans="1:10" x14ac:dyDescent="0.3">
      <c r="A311">
        <v>309</v>
      </c>
      <c r="B311">
        <v>5755</v>
      </c>
      <c r="C311" t="b">
        <v>1</v>
      </c>
      <c r="D311">
        <v>8077</v>
      </c>
      <c r="E311">
        <v>8146</v>
      </c>
      <c r="F311">
        <v>239.4</v>
      </c>
      <c r="G311">
        <v>231.4</v>
      </c>
      <c r="H311">
        <v>1.0345721000000001</v>
      </c>
      <c r="I311">
        <v>-3.4572169999999999E-2</v>
      </c>
      <c r="J311">
        <v>0.49150382999999997</v>
      </c>
    </row>
    <row r="312" spans="1:10" x14ac:dyDescent="0.3">
      <c r="A312">
        <v>310</v>
      </c>
      <c r="B312">
        <v>5771</v>
      </c>
      <c r="C312" t="b">
        <v>1</v>
      </c>
      <c r="D312">
        <v>8094</v>
      </c>
      <c r="E312">
        <v>8134</v>
      </c>
      <c r="F312">
        <v>240.93333000000001</v>
      </c>
      <c r="G312">
        <v>232.2</v>
      </c>
      <c r="H312">
        <v>1.0376112</v>
      </c>
      <c r="I312">
        <v>-3.7611272000000001E-2</v>
      </c>
      <c r="J312">
        <v>0.49077075999999997</v>
      </c>
    </row>
    <row r="313" spans="1:10" x14ac:dyDescent="0.3">
      <c r="A313">
        <v>311</v>
      </c>
      <c r="B313">
        <v>5787</v>
      </c>
      <c r="C313" t="b">
        <v>1</v>
      </c>
      <c r="D313">
        <v>8065</v>
      </c>
      <c r="E313">
        <v>8134</v>
      </c>
      <c r="F313">
        <v>241.26666</v>
      </c>
      <c r="G313">
        <v>232.6</v>
      </c>
      <c r="H313">
        <v>1.0372599</v>
      </c>
      <c r="I313">
        <v>-3.7259913999999998E-2</v>
      </c>
      <c r="J313">
        <v>0.4908554</v>
      </c>
    </row>
    <row r="314" spans="1:10" x14ac:dyDescent="0.3">
      <c r="A314">
        <v>312</v>
      </c>
      <c r="B314">
        <v>5819</v>
      </c>
      <c r="C314" t="b">
        <v>1</v>
      </c>
      <c r="D314">
        <v>8077</v>
      </c>
      <c r="E314">
        <v>8140</v>
      </c>
      <c r="F314">
        <v>240.86667</v>
      </c>
      <c r="G314">
        <v>232.6</v>
      </c>
      <c r="H314">
        <v>1.0355402</v>
      </c>
      <c r="I314">
        <v>-3.5540250000000002E-2</v>
      </c>
      <c r="J314">
        <v>0.49127007</v>
      </c>
    </row>
    <row r="315" spans="1:10" x14ac:dyDescent="0.3">
      <c r="A315">
        <v>313</v>
      </c>
      <c r="B315">
        <v>5851</v>
      </c>
      <c r="C315" t="b">
        <v>1</v>
      </c>
      <c r="D315">
        <v>8083</v>
      </c>
      <c r="E315">
        <v>8146</v>
      </c>
      <c r="F315">
        <v>240.46665999999999</v>
      </c>
      <c r="G315">
        <v>232.6</v>
      </c>
      <c r="H315">
        <v>1.0338205</v>
      </c>
      <c r="I315">
        <v>-3.382052E-2</v>
      </c>
      <c r="J315">
        <v>0.49168548000000001</v>
      </c>
    </row>
    <row r="316" spans="1:10" x14ac:dyDescent="0.3">
      <c r="A316">
        <v>314</v>
      </c>
      <c r="B316">
        <v>5867</v>
      </c>
      <c r="C316" t="b">
        <v>1</v>
      </c>
      <c r="D316">
        <v>8071</v>
      </c>
      <c r="E316">
        <v>8129</v>
      </c>
      <c r="F316">
        <v>240.46665999999999</v>
      </c>
      <c r="G316">
        <v>231.8</v>
      </c>
      <c r="H316">
        <v>1.0373886000000001</v>
      </c>
      <c r="I316">
        <v>-3.7388507000000001E-2</v>
      </c>
      <c r="J316">
        <v>0.49082439999999999</v>
      </c>
    </row>
    <row r="317" spans="1:10" x14ac:dyDescent="0.3">
      <c r="A317">
        <v>315</v>
      </c>
      <c r="B317">
        <v>5883</v>
      </c>
      <c r="C317" t="b">
        <v>1</v>
      </c>
      <c r="D317">
        <v>8100</v>
      </c>
      <c r="E317">
        <v>8129</v>
      </c>
      <c r="F317">
        <v>240.46665999999999</v>
      </c>
      <c r="G317">
        <v>231</v>
      </c>
      <c r="H317">
        <v>1.0409812000000001</v>
      </c>
      <c r="I317">
        <v>-4.0981209999999997E-2</v>
      </c>
      <c r="J317">
        <v>0.48996040000000002</v>
      </c>
    </row>
    <row r="318" spans="1:10" x14ac:dyDescent="0.3">
      <c r="A318">
        <v>316</v>
      </c>
      <c r="B318">
        <v>5899</v>
      </c>
      <c r="C318" t="b">
        <v>1</v>
      </c>
      <c r="D318">
        <v>8094</v>
      </c>
      <c r="E318">
        <v>8164</v>
      </c>
      <c r="F318">
        <v>240.86667</v>
      </c>
      <c r="G318">
        <v>230.6</v>
      </c>
      <c r="H318">
        <v>1.0445215999999999</v>
      </c>
      <c r="I318">
        <v>-4.4521518000000003E-2</v>
      </c>
      <c r="J318">
        <v>0.48911199999999999</v>
      </c>
    </row>
    <row r="319" spans="1:10" x14ac:dyDescent="0.3">
      <c r="A319">
        <v>317</v>
      </c>
      <c r="B319">
        <v>5915</v>
      </c>
      <c r="C319" t="b">
        <v>1</v>
      </c>
      <c r="D319">
        <v>8060</v>
      </c>
      <c r="E319">
        <v>8129</v>
      </c>
      <c r="F319">
        <v>241.26666</v>
      </c>
      <c r="G319">
        <v>229.06666999999999</v>
      </c>
      <c r="H319">
        <v>1.0532596000000001</v>
      </c>
      <c r="I319">
        <v>-5.3259593000000001E-2</v>
      </c>
      <c r="J319">
        <v>0.48703049999999998</v>
      </c>
    </row>
    <row r="320" spans="1:10" x14ac:dyDescent="0.3">
      <c r="A320">
        <v>318</v>
      </c>
      <c r="B320">
        <v>5931</v>
      </c>
      <c r="C320" t="b">
        <v>1</v>
      </c>
      <c r="D320">
        <v>8060</v>
      </c>
      <c r="E320">
        <v>8152</v>
      </c>
      <c r="F320">
        <v>240.86667</v>
      </c>
      <c r="G320">
        <v>227.53334000000001</v>
      </c>
      <c r="H320">
        <v>1.0585994999999999</v>
      </c>
      <c r="I320">
        <v>-5.8599449999999997E-2</v>
      </c>
      <c r="J320">
        <v>0.48576712999999999</v>
      </c>
    </row>
    <row r="321" spans="1:10" x14ac:dyDescent="0.3">
      <c r="A321">
        <v>319</v>
      </c>
      <c r="B321">
        <v>5947</v>
      </c>
      <c r="C321" t="b">
        <v>1</v>
      </c>
      <c r="D321">
        <v>8083</v>
      </c>
      <c r="E321">
        <v>8123</v>
      </c>
      <c r="F321">
        <v>240.86667</v>
      </c>
      <c r="G321">
        <v>226.4</v>
      </c>
      <c r="H321">
        <v>1.0638987</v>
      </c>
      <c r="I321">
        <v>-6.3898739999999996E-2</v>
      </c>
      <c r="J321">
        <v>0.4845199</v>
      </c>
    </row>
    <row r="322" spans="1:10" x14ac:dyDescent="0.3">
      <c r="A322">
        <v>320</v>
      </c>
      <c r="B322">
        <v>5963</v>
      </c>
      <c r="C322" t="b">
        <v>1</v>
      </c>
      <c r="D322">
        <v>8077</v>
      </c>
      <c r="E322">
        <v>8140</v>
      </c>
      <c r="F322">
        <v>240.86667</v>
      </c>
      <c r="G322">
        <v>225.6</v>
      </c>
      <c r="H322">
        <v>1.0676714</v>
      </c>
      <c r="I322">
        <v>-6.7671369999999995E-2</v>
      </c>
      <c r="J322">
        <v>0.48363583999999998</v>
      </c>
    </row>
    <row r="323" spans="1:10" x14ac:dyDescent="0.3">
      <c r="A323">
        <v>321</v>
      </c>
      <c r="B323">
        <v>5995</v>
      </c>
      <c r="C323" t="b">
        <v>1</v>
      </c>
      <c r="D323">
        <v>8048</v>
      </c>
      <c r="E323">
        <v>8146</v>
      </c>
      <c r="F323">
        <v>239.33332999999999</v>
      </c>
      <c r="G323">
        <v>224.8</v>
      </c>
      <c r="H323">
        <v>1.0646500000000001</v>
      </c>
      <c r="I323">
        <v>-6.4650020000000002E-2</v>
      </c>
      <c r="J323">
        <v>0.48434359999999999</v>
      </c>
    </row>
    <row r="324" spans="1:10" x14ac:dyDescent="0.3">
      <c r="A324">
        <v>322</v>
      </c>
      <c r="B324">
        <v>6010</v>
      </c>
      <c r="C324" t="b">
        <v>1</v>
      </c>
      <c r="D324">
        <v>8106</v>
      </c>
      <c r="E324">
        <v>8134</v>
      </c>
      <c r="F324">
        <v>238.93333000000001</v>
      </c>
      <c r="G324">
        <v>224</v>
      </c>
      <c r="H324">
        <v>1.0666667000000001</v>
      </c>
      <c r="I324">
        <v>-6.6666669999999997E-2</v>
      </c>
      <c r="J324">
        <v>0.48387095000000002</v>
      </c>
    </row>
    <row r="325" spans="1:10" x14ac:dyDescent="0.3">
      <c r="A325">
        <v>323</v>
      </c>
      <c r="B325">
        <v>6026</v>
      </c>
      <c r="C325" t="b">
        <v>1</v>
      </c>
      <c r="D325">
        <v>8100</v>
      </c>
      <c r="E325">
        <v>8140</v>
      </c>
      <c r="F325">
        <v>238.93333000000001</v>
      </c>
      <c r="G325">
        <v>223.2</v>
      </c>
      <c r="H325">
        <v>1.0704899000000001</v>
      </c>
      <c r="I325">
        <v>-7.0489860000000001E-2</v>
      </c>
      <c r="J325">
        <v>0.48297748000000001</v>
      </c>
    </row>
    <row r="326" spans="1:10" x14ac:dyDescent="0.3">
      <c r="A326">
        <v>324</v>
      </c>
      <c r="B326">
        <v>6042</v>
      </c>
      <c r="C326" t="b">
        <v>1</v>
      </c>
      <c r="D326">
        <v>8060</v>
      </c>
      <c r="E326">
        <v>8146</v>
      </c>
      <c r="F326">
        <v>238.53334000000001</v>
      </c>
      <c r="G326">
        <v>222.4</v>
      </c>
      <c r="H326">
        <v>1.0725420999999999</v>
      </c>
      <c r="I326">
        <v>-7.2542029999999993E-2</v>
      </c>
      <c r="J326">
        <v>0.48249924</v>
      </c>
    </row>
    <row r="327" spans="1:10" x14ac:dyDescent="0.3">
      <c r="A327">
        <v>325</v>
      </c>
      <c r="B327">
        <v>6073</v>
      </c>
      <c r="C327" t="b">
        <v>1</v>
      </c>
      <c r="D327">
        <v>8083</v>
      </c>
      <c r="E327">
        <v>8152</v>
      </c>
      <c r="F327">
        <v>238.2</v>
      </c>
      <c r="G327">
        <v>222.4</v>
      </c>
      <c r="H327">
        <v>1.0710431</v>
      </c>
      <c r="I327">
        <v>-7.1043179999999997E-2</v>
      </c>
      <c r="J327">
        <v>0.48284846999999997</v>
      </c>
    </row>
    <row r="328" spans="1:10" x14ac:dyDescent="0.3">
      <c r="A328">
        <v>326</v>
      </c>
      <c r="B328">
        <v>6089</v>
      </c>
      <c r="C328" t="b">
        <v>1</v>
      </c>
      <c r="D328">
        <v>8077</v>
      </c>
      <c r="E328">
        <v>8140</v>
      </c>
      <c r="F328">
        <v>237.86667</v>
      </c>
      <c r="G328">
        <v>222.4</v>
      </c>
      <c r="H328">
        <v>1.0695444000000001</v>
      </c>
      <c r="I328">
        <v>-6.9544405000000004E-2</v>
      </c>
      <c r="J328">
        <v>0.48319814</v>
      </c>
    </row>
    <row r="329" spans="1:10" x14ac:dyDescent="0.3">
      <c r="A329">
        <v>327</v>
      </c>
      <c r="B329">
        <v>6105</v>
      </c>
      <c r="C329" t="b">
        <v>1</v>
      </c>
      <c r="D329">
        <v>8054</v>
      </c>
      <c r="E329">
        <v>8164</v>
      </c>
      <c r="F329">
        <v>237.86667</v>
      </c>
      <c r="G329">
        <v>222.8</v>
      </c>
      <c r="H329">
        <v>1.0676242</v>
      </c>
      <c r="I329">
        <v>-6.7624173999999995E-2</v>
      </c>
      <c r="J329">
        <v>0.48364687000000001</v>
      </c>
    </row>
    <row r="330" spans="1:10" x14ac:dyDescent="0.3">
      <c r="A330">
        <v>328</v>
      </c>
      <c r="B330">
        <v>6121</v>
      </c>
      <c r="C330" t="b">
        <v>1</v>
      </c>
      <c r="D330">
        <v>8054</v>
      </c>
      <c r="E330">
        <v>8117</v>
      </c>
      <c r="F330">
        <v>236.73334</v>
      </c>
      <c r="G330">
        <v>223.2</v>
      </c>
      <c r="H330">
        <v>1.0606332999999999</v>
      </c>
      <c r="I330">
        <v>-6.0633246000000002E-2</v>
      </c>
      <c r="J330">
        <v>0.48528769999999999</v>
      </c>
    </row>
    <row r="331" spans="1:10" x14ac:dyDescent="0.3">
      <c r="A331">
        <v>329</v>
      </c>
      <c r="B331">
        <v>6137</v>
      </c>
      <c r="C331" t="b">
        <v>1</v>
      </c>
      <c r="D331">
        <v>8060</v>
      </c>
      <c r="E331">
        <v>8164</v>
      </c>
      <c r="F331">
        <v>235.6</v>
      </c>
      <c r="G331">
        <v>224.4</v>
      </c>
      <c r="H331">
        <v>1.0499109</v>
      </c>
      <c r="I331">
        <v>-4.9910929999999999E-2</v>
      </c>
      <c r="J331">
        <v>0.48782608</v>
      </c>
    </row>
    <row r="332" spans="1:10" x14ac:dyDescent="0.3">
      <c r="A332">
        <v>330</v>
      </c>
      <c r="B332">
        <v>6169</v>
      </c>
      <c r="C332" t="b">
        <v>1</v>
      </c>
      <c r="D332">
        <v>8071</v>
      </c>
      <c r="E332">
        <v>8129</v>
      </c>
      <c r="F332">
        <v>234.46665999999999</v>
      </c>
      <c r="G332">
        <v>224.8</v>
      </c>
      <c r="H332">
        <v>1.0430012</v>
      </c>
      <c r="I332">
        <v>-4.300114E-2</v>
      </c>
      <c r="J332">
        <v>0.48947600000000002</v>
      </c>
    </row>
    <row r="333" spans="1:10" x14ac:dyDescent="0.3">
      <c r="A333">
        <v>331</v>
      </c>
      <c r="B333">
        <v>6201</v>
      </c>
      <c r="C333" t="b">
        <v>1</v>
      </c>
      <c r="D333">
        <v>8083</v>
      </c>
      <c r="E333">
        <v>8129</v>
      </c>
      <c r="F333">
        <v>232.93333000000001</v>
      </c>
      <c r="G333">
        <v>224.06666999999999</v>
      </c>
      <c r="H333">
        <v>1.0395715000000001</v>
      </c>
      <c r="I333">
        <v>-3.9571565000000003E-2</v>
      </c>
      <c r="J333">
        <v>0.49029905000000001</v>
      </c>
    </row>
    <row r="334" spans="1:10" x14ac:dyDescent="0.3">
      <c r="A334">
        <v>332</v>
      </c>
      <c r="B334">
        <v>6233</v>
      </c>
      <c r="C334" t="b">
        <v>1</v>
      </c>
      <c r="D334">
        <v>8077</v>
      </c>
      <c r="E334">
        <v>8152</v>
      </c>
      <c r="F334">
        <v>232.13333</v>
      </c>
      <c r="G334">
        <v>224.06666999999999</v>
      </c>
      <c r="H334">
        <v>1.0360012000000001</v>
      </c>
      <c r="I334">
        <v>-3.6001186999999997E-2</v>
      </c>
      <c r="J334">
        <v>0.49115883999999999</v>
      </c>
    </row>
    <row r="335" spans="1:10" x14ac:dyDescent="0.3">
      <c r="A335">
        <v>333</v>
      </c>
      <c r="B335">
        <v>6248</v>
      </c>
      <c r="C335" t="b">
        <v>1</v>
      </c>
      <c r="D335">
        <v>8071</v>
      </c>
      <c r="E335">
        <v>8164</v>
      </c>
      <c r="F335">
        <v>232.13333</v>
      </c>
      <c r="G335">
        <v>225.6</v>
      </c>
      <c r="H335">
        <v>1.0289598</v>
      </c>
      <c r="I335">
        <v>-2.8959773000000001E-2</v>
      </c>
      <c r="J335">
        <v>0.49286340000000001</v>
      </c>
    </row>
    <row r="336" spans="1:10" x14ac:dyDescent="0.3">
      <c r="A336">
        <v>334</v>
      </c>
      <c r="B336">
        <v>6264</v>
      </c>
      <c r="C336" t="b">
        <v>1</v>
      </c>
      <c r="D336">
        <v>8065</v>
      </c>
      <c r="E336">
        <v>8146</v>
      </c>
      <c r="F336">
        <v>231.33332999999999</v>
      </c>
      <c r="G336">
        <v>226.73334</v>
      </c>
      <c r="H336">
        <v>1.0202880999999999</v>
      </c>
      <c r="I336">
        <v>-2.0288110000000002E-2</v>
      </c>
      <c r="J336">
        <v>0.49497892999999998</v>
      </c>
    </row>
    <row r="337" spans="1:10" x14ac:dyDescent="0.3">
      <c r="A337">
        <v>335</v>
      </c>
      <c r="B337">
        <v>6280</v>
      </c>
      <c r="C337" t="b">
        <v>1</v>
      </c>
      <c r="D337">
        <v>8083</v>
      </c>
      <c r="E337">
        <v>8134</v>
      </c>
      <c r="F337">
        <v>231.33332999999999</v>
      </c>
      <c r="G337">
        <v>227.13333</v>
      </c>
      <c r="H337">
        <v>1.0184914</v>
      </c>
      <c r="I337">
        <v>-1.8491328000000001E-2</v>
      </c>
      <c r="J337">
        <v>0.49541950000000001</v>
      </c>
    </row>
    <row r="338" spans="1:10" x14ac:dyDescent="0.3">
      <c r="A338">
        <v>336</v>
      </c>
      <c r="B338">
        <v>6296</v>
      </c>
      <c r="C338" t="b">
        <v>1</v>
      </c>
      <c r="D338">
        <v>8071</v>
      </c>
      <c r="E338">
        <v>8152</v>
      </c>
      <c r="F338">
        <v>232.06666999999999</v>
      </c>
      <c r="G338">
        <v>227.93333000000001</v>
      </c>
      <c r="H338">
        <v>1.0181340000000001</v>
      </c>
      <c r="I338">
        <v>-1.8133948E-2</v>
      </c>
      <c r="J338">
        <v>0.49550724000000002</v>
      </c>
    </row>
    <row r="339" spans="1:10" x14ac:dyDescent="0.3">
      <c r="A339">
        <v>337</v>
      </c>
      <c r="B339">
        <v>6328</v>
      </c>
      <c r="C339" t="b">
        <v>1</v>
      </c>
      <c r="D339">
        <v>8111</v>
      </c>
      <c r="E339">
        <v>8105</v>
      </c>
      <c r="F339">
        <v>231.66667000000001</v>
      </c>
      <c r="G339">
        <v>228.33332999999999</v>
      </c>
      <c r="H339">
        <v>1.0145986</v>
      </c>
      <c r="I339">
        <v>-1.4598585000000001E-2</v>
      </c>
      <c r="J339">
        <v>0.49637680000000001</v>
      </c>
    </row>
    <row r="340" spans="1:10" x14ac:dyDescent="0.3">
      <c r="A340">
        <v>338</v>
      </c>
      <c r="B340">
        <v>6359</v>
      </c>
      <c r="C340" t="b">
        <v>1</v>
      </c>
      <c r="D340">
        <v>8077</v>
      </c>
      <c r="E340">
        <v>8129</v>
      </c>
      <c r="F340">
        <v>231.26666</v>
      </c>
      <c r="G340">
        <v>227.93333000000001</v>
      </c>
      <c r="H340">
        <v>1.0146241</v>
      </c>
      <c r="I340">
        <v>-1.4624136500000001E-2</v>
      </c>
      <c r="J340">
        <v>0.49637049999999999</v>
      </c>
    </row>
    <row r="341" spans="1:10" x14ac:dyDescent="0.3">
      <c r="A341">
        <v>339</v>
      </c>
      <c r="B341">
        <v>6375</v>
      </c>
      <c r="C341" t="b">
        <v>1</v>
      </c>
      <c r="D341">
        <v>8077</v>
      </c>
      <c r="E341">
        <v>8140</v>
      </c>
      <c r="F341">
        <v>231.26666</v>
      </c>
      <c r="G341">
        <v>227.53334000000001</v>
      </c>
      <c r="H341">
        <v>1.0164078000000001</v>
      </c>
      <c r="I341">
        <v>-1.6407802999999999E-2</v>
      </c>
      <c r="J341">
        <v>0.49593145</v>
      </c>
    </row>
    <row r="342" spans="1:10" x14ac:dyDescent="0.3">
      <c r="A342">
        <v>340</v>
      </c>
      <c r="B342">
        <v>6391</v>
      </c>
      <c r="C342" t="b">
        <v>1</v>
      </c>
      <c r="D342">
        <v>8065</v>
      </c>
      <c r="E342">
        <v>8123</v>
      </c>
      <c r="F342">
        <v>230.86667</v>
      </c>
      <c r="G342">
        <v>226.4</v>
      </c>
      <c r="H342">
        <v>1.0197290999999999</v>
      </c>
      <c r="I342">
        <v>-1.9729130000000001E-2</v>
      </c>
      <c r="J342">
        <v>0.4951159</v>
      </c>
    </row>
    <row r="343" spans="1:10" x14ac:dyDescent="0.3">
      <c r="A343">
        <v>341</v>
      </c>
      <c r="B343">
        <v>6407</v>
      </c>
      <c r="C343" t="b">
        <v>1</v>
      </c>
      <c r="D343">
        <v>8042</v>
      </c>
      <c r="E343">
        <v>8111</v>
      </c>
      <c r="F343">
        <v>230.46665999999999</v>
      </c>
      <c r="G343">
        <v>225.26666</v>
      </c>
      <c r="H343">
        <v>1.0230836999999999</v>
      </c>
      <c r="I343">
        <v>-2.3083738999999999E-2</v>
      </c>
      <c r="J343">
        <v>0.49429487999999999</v>
      </c>
    </row>
    <row r="344" spans="1:10" x14ac:dyDescent="0.3">
      <c r="A344">
        <v>342</v>
      </c>
      <c r="B344">
        <v>6423</v>
      </c>
      <c r="C344" t="b">
        <v>1</v>
      </c>
      <c r="D344">
        <v>8065</v>
      </c>
      <c r="E344">
        <v>8164</v>
      </c>
      <c r="F344">
        <v>229.66667000000001</v>
      </c>
      <c r="G344">
        <v>224.13333</v>
      </c>
      <c r="H344">
        <v>1.0246877999999999</v>
      </c>
      <c r="I344">
        <v>-2.4687719E-2</v>
      </c>
      <c r="J344">
        <v>0.49390334000000002</v>
      </c>
    </row>
    <row r="345" spans="1:10" x14ac:dyDescent="0.3">
      <c r="A345">
        <v>343</v>
      </c>
      <c r="B345">
        <v>6439</v>
      </c>
      <c r="C345" t="b">
        <v>1</v>
      </c>
      <c r="D345">
        <v>8083</v>
      </c>
      <c r="E345">
        <v>8134</v>
      </c>
      <c r="F345">
        <v>230</v>
      </c>
      <c r="G345">
        <v>223.33332999999999</v>
      </c>
      <c r="H345">
        <v>1.0298506999999999</v>
      </c>
      <c r="I345">
        <v>-2.9850769999999999E-2</v>
      </c>
      <c r="J345">
        <v>0.49264708000000001</v>
      </c>
    </row>
    <row r="346" spans="1:10" x14ac:dyDescent="0.3">
      <c r="A346">
        <v>344</v>
      </c>
      <c r="B346">
        <v>6455</v>
      </c>
      <c r="C346" t="b">
        <v>1</v>
      </c>
      <c r="D346">
        <v>8060</v>
      </c>
      <c r="E346">
        <v>8176</v>
      </c>
      <c r="F346">
        <v>230.33332999999999</v>
      </c>
      <c r="G346">
        <v>222.13333</v>
      </c>
      <c r="H346">
        <v>1.0369147000000001</v>
      </c>
      <c r="I346">
        <v>-3.6914750000000003E-2</v>
      </c>
      <c r="J346">
        <v>0.49093853999999998</v>
      </c>
    </row>
    <row r="347" spans="1:10" x14ac:dyDescent="0.3">
      <c r="A347">
        <v>345</v>
      </c>
      <c r="B347">
        <v>6471</v>
      </c>
      <c r="C347" t="b">
        <v>1</v>
      </c>
      <c r="D347">
        <v>8048</v>
      </c>
      <c r="E347">
        <v>8081</v>
      </c>
      <c r="F347">
        <v>230.33332999999999</v>
      </c>
      <c r="G347">
        <v>221.73334</v>
      </c>
      <c r="H347">
        <v>1.0387853</v>
      </c>
      <c r="I347">
        <v>-3.8785286000000002E-2</v>
      </c>
      <c r="J347">
        <v>0.49048814000000002</v>
      </c>
    </row>
    <row r="348" spans="1:10" x14ac:dyDescent="0.3">
      <c r="A348">
        <v>346</v>
      </c>
      <c r="B348">
        <v>6487</v>
      </c>
      <c r="C348" t="b">
        <v>1</v>
      </c>
      <c r="D348">
        <v>8065</v>
      </c>
      <c r="E348">
        <v>8158</v>
      </c>
      <c r="F348">
        <v>230.66667000000001</v>
      </c>
      <c r="G348">
        <v>223.66667000000001</v>
      </c>
      <c r="H348">
        <v>1.0312965999999999</v>
      </c>
      <c r="I348">
        <v>-3.1296570000000003E-2</v>
      </c>
      <c r="J348">
        <v>0.49229640000000002</v>
      </c>
    </row>
    <row r="349" spans="1:10" x14ac:dyDescent="0.3">
      <c r="A349">
        <v>347</v>
      </c>
      <c r="B349">
        <v>6518</v>
      </c>
      <c r="C349" t="b">
        <v>1</v>
      </c>
      <c r="D349">
        <v>8077</v>
      </c>
      <c r="E349">
        <v>8140</v>
      </c>
      <c r="F349">
        <v>230.26666</v>
      </c>
      <c r="G349">
        <v>224.4</v>
      </c>
      <c r="H349">
        <v>1.0261438000000001</v>
      </c>
      <c r="I349">
        <v>-2.6143799999999998E-2</v>
      </c>
      <c r="J349">
        <v>0.4935484</v>
      </c>
    </row>
    <row r="350" spans="1:10" x14ac:dyDescent="0.3">
      <c r="A350">
        <v>348</v>
      </c>
      <c r="B350">
        <v>6534</v>
      </c>
      <c r="C350" t="b">
        <v>1</v>
      </c>
      <c r="D350">
        <v>8060</v>
      </c>
      <c r="E350">
        <v>8105</v>
      </c>
      <c r="F350">
        <v>229.53334000000001</v>
      </c>
      <c r="G350">
        <v>223.6</v>
      </c>
      <c r="H350">
        <v>1.0265355</v>
      </c>
      <c r="I350">
        <v>-2.6535482999999999E-2</v>
      </c>
      <c r="J350">
        <v>0.49345296999999999</v>
      </c>
    </row>
    <row r="351" spans="1:10" x14ac:dyDescent="0.3">
      <c r="A351">
        <v>349</v>
      </c>
      <c r="B351">
        <v>6550</v>
      </c>
      <c r="C351" t="b">
        <v>1</v>
      </c>
      <c r="D351">
        <v>8054</v>
      </c>
      <c r="E351">
        <v>8093</v>
      </c>
      <c r="F351">
        <v>228.8</v>
      </c>
      <c r="G351">
        <v>220.86667</v>
      </c>
      <c r="H351">
        <v>1.0359191000000001</v>
      </c>
      <c r="I351">
        <v>-3.5919109999999997E-2</v>
      </c>
      <c r="J351">
        <v>0.49117863</v>
      </c>
    </row>
    <row r="352" spans="1:10" x14ac:dyDescent="0.3">
      <c r="A352">
        <v>350</v>
      </c>
      <c r="B352">
        <v>6566</v>
      </c>
      <c r="C352" t="b">
        <v>1</v>
      </c>
      <c r="D352">
        <v>8048</v>
      </c>
      <c r="E352">
        <v>8134</v>
      </c>
      <c r="F352">
        <v>227.66667000000001</v>
      </c>
      <c r="G352">
        <v>220.06666999999999</v>
      </c>
      <c r="H352">
        <v>1.034535</v>
      </c>
      <c r="I352">
        <v>-3.4535017000000001E-2</v>
      </c>
      <c r="J352">
        <v>0.49151280000000003</v>
      </c>
    </row>
    <row r="353" spans="1:10" x14ac:dyDescent="0.3">
      <c r="A353">
        <v>351</v>
      </c>
      <c r="B353">
        <v>6582</v>
      </c>
      <c r="C353" t="b">
        <v>1</v>
      </c>
      <c r="D353">
        <v>8048</v>
      </c>
      <c r="E353">
        <v>8140</v>
      </c>
      <c r="F353">
        <v>226.53334000000001</v>
      </c>
      <c r="G353">
        <v>218.86667</v>
      </c>
      <c r="H353">
        <v>1.0350288999999999</v>
      </c>
      <c r="I353">
        <v>-3.5028959999999998E-2</v>
      </c>
      <c r="J353">
        <v>0.49139347999999999</v>
      </c>
    </row>
    <row r="354" spans="1:10" x14ac:dyDescent="0.3">
      <c r="A354">
        <v>352</v>
      </c>
      <c r="B354">
        <v>6598</v>
      </c>
      <c r="C354" t="b">
        <v>1</v>
      </c>
      <c r="D354">
        <v>8042</v>
      </c>
      <c r="E354">
        <v>8134</v>
      </c>
      <c r="F354">
        <v>225</v>
      </c>
      <c r="G354">
        <v>218.06666999999999</v>
      </c>
      <c r="H354">
        <v>1.0317944999999999</v>
      </c>
      <c r="I354">
        <v>-3.1794562999999998E-2</v>
      </c>
      <c r="J354">
        <v>0.49217576000000002</v>
      </c>
    </row>
    <row r="355" spans="1:10" x14ac:dyDescent="0.3">
      <c r="A355">
        <v>353</v>
      </c>
      <c r="B355">
        <v>6614</v>
      </c>
      <c r="C355" t="b">
        <v>1</v>
      </c>
      <c r="D355">
        <v>8030</v>
      </c>
      <c r="E355">
        <v>8140</v>
      </c>
      <c r="F355">
        <v>223.06666999999999</v>
      </c>
      <c r="G355">
        <v>218.06666999999999</v>
      </c>
      <c r="H355">
        <v>1.0229287</v>
      </c>
      <c r="I355">
        <v>-2.2928769000000002E-2</v>
      </c>
      <c r="J355">
        <v>0.49433280000000002</v>
      </c>
    </row>
    <row r="356" spans="1:10" x14ac:dyDescent="0.3">
      <c r="A356">
        <v>354</v>
      </c>
      <c r="B356">
        <v>6630</v>
      </c>
      <c r="C356" t="b">
        <v>1</v>
      </c>
      <c r="D356">
        <v>8106</v>
      </c>
      <c r="E356">
        <v>8140</v>
      </c>
      <c r="F356">
        <v>221.13333</v>
      </c>
      <c r="G356">
        <v>218.46665999999999</v>
      </c>
      <c r="H356">
        <v>1.0122062999999999</v>
      </c>
      <c r="I356">
        <v>-1.22063095E-2</v>
      </c>
      <c r="J356">
        <v>0.49696696000000001</v>
      </c>
    </row>
    <row r="357" spans="1:10" x14ac:dyDescent="0.3">
      <c r="A357">
        <v>355</v>
      </c>
      <c r="B357">
        <v>6662</v>
      </c>
      <c r="C357" t="b">
        <v>1</v>
      </c>
      <c r="D357">
        <v>8071</v>
      </c>
      <c r="E357">
        <v>8140</v>
      </c>
      <c r="F357">
        <v>219.2</v>
      </c>
      <c r="G357">
        <v>219.2</v>
      </c>
      <c r="H357">
        <v>1</v>
      </c>
      <c r="I357">
        <v>0</v>
      </c>
      <c r="J357">
        <v>0.5</v>
      </c>
    </row>
    <row r="358" spans="1:10" x14ac:dyDescent="0.3">
      <c r="A358">
        <v>356</v>
      </c>
      <c r="B358">
        <v>6678</v>
      </c>
      <c r="C358" t="b">
        <v>1</v>
      </c>
      <c r="D358">
        <v>8065</v>
      </c>
      <c r="E358">
        <v>8152</v>
      </c>
      <c r="F358">
        <v>218.4</v>
      </c>
      <c r="G358">
        <v>220.33332999999999</v>
      </c>
      <c r="H358">
        <v>0.99122540000000003</v>
      </c>
      <c r="I358">
        <v>8.7745889999999993E-3</v>
      </c>
      <c r="J358">
        <v>0.50220330000000002</v>
      </c>
    </row>
    <row r="359" spans="1:10" x14ac:dyDescent="0.3">
      <c r="A359">
        <v>357</v>
      </c>
      <c r="B359">
        <v>6693</v>
      </c>
      <c r="C359" t="b">
        <v>1</v>
      </c>
      <c r="D359">
        <v>8065</v>
      </c>
      <c r="E359">
        <v>8134</v>
      </c>
      <c r="F359">
        <v>218.4</v>
      </c>
      <c r="G359">
        <v>221.06666999999999</v>
      </c>
      <c r="H359">
        <v>0.98793730000000002</v>
      </c>
      <c r="I359">
        <v>1.2062748999999999E-2</v>
      </c>
      <c r="J359">
        <v>0.50303399999999998</v>
      </c>
    </row>
    <row r="360" spans="1:10" x14ac:dyDescent="0.3">
      <c r="A360">
        <v>358</v>
      </c>
      <c r="B360">
        <v>6709</v>
      </c>
      <c r="C360" t="b">
        <v>1</v>
      </c>
      <c r="D360">
        <v>8048</v>
      </c>
      <c r="E360">
        <v>8146</v>
      </c>
      <c r="F360">
        <v>218.4</v>
      </c>
      <c r="G360">
        <v>221.46665999999999</v>
      </c>
      <c r="H360">
        <v>0.98615295000000003</v>
      </c>
      <c r="I360">
        <v>1.3847076E-2</v>
      </c>
      <c r="J360">
        <v>0.50348590000000004</v>
      </c>
    </row>
    <row r="361" spans="1:10" x14ac:dyDescent="0.3">
      <c r="A361">
        <v>359</v>
      </c>
      <c r="B361">
        <v>6725</v>
      </c>
      <c r="C361" t="b">
        <v>1</v>
      </c>
      <c r="D361">
        <v>8037</v>
      </c>
      <c r="E361">
        <v>8129</v>
      </c>
      <c r="F361">
        <v>218.4</v>
      </c>
      <c r="G361">
        <v>221.86667</v>
      </c>
      <c r="H361">
        <v>0.98437494000000003</v>
      </c>
      <c r="I361">
        <v>1.5625037000000001E-2</v>
      </c>
      <c r="J361">
        <v>0.50393699999999997</v>
      </c>
    </row>
    <row r="362" spans="1:10" x14ac:dyDescent="0.3">
      <c r="A362">
        <v>360</v>
      </c>
      <c r="B362">
        <v>6741</v>
      </c>
      <c r="C362" t="b">
        <v>1</v>
      </c>
      <c r="D362">
        <v>8100</v>
      </c>
      <c r="E362">
        <v>8152</v>
      </c>
      <c r="F362">
        <v>218.73334</v>
      </c>
      <c r="G362">
        <v>222.66667000000001</v>
      </c>
      <c r="H362">
        <v>0.98233530000000002</v>
      </c>
      <c r="I362">
        <v>1.7664675000000001E-2</v>
      </c>
      <c r="J362">
        <v>0.50445549999999995</v>
      </c>
    </row>
    <row r="363" spans="1:10" x14ac:dyDescent="0.3">
      <c r="A363">
        <v>361</v>
      </c>
      <c r="B363">
        <v>6772</v>
      </c>
      <c r="C363" t="b">
        <v>1</v>
      </c>
      <c r="D363">
        <v>8077</v>
      </c>
      <c r="E363">
        <v>8158</v>
      </c>
      <c r="F363">
        <v>218.73334</v>
      </c>
      <c r="G363">
        <v>221.86667</v>
      </c>
      <c r="H363">
        <v>0.98587740000000001</v>
      </c>
      <c r="I363">
        <v>1.4122587000000001E-2</v>
      </c>
      <c r="J363">
        <v>0.5035558</v>
      </c>
    </row>
    <row r="364" spans="1:10" x14ac:dyDescent="0.3">
      <c r="A364">
        <v>362</v>
      </c>
      <c r="B364">
        <v>6788</v>
      </c>
      <c r="C364" t="b">
        <v>1</v>
      </c>
      <c r="D364">
        <v>8048</v>
      </c>
      <c r="E364">
        <v>8105</v>
      </c>
      <c r="F364">
        <v>217.6</v>
      </c>
      <c r="G364">
        <v>222.26666</v>
      </c>
      <c r="H364">
        <v>0.97900425999999996</v>
      </c>
      <c r="I364">
        <v>2.0995755000000001E-2</v>
      </c>
      <c r="J364">
        <v>0.50530463000000003</v>
      </c>
    </row>
    <row r="365" spans="1:10" x14ac:dyDescent="0.3">
      <c r="A365">
        <v>363</v>
      </c>
      <c r="B365">
        <v>6804</v>
      </c>
      <c r="C365" t="b">
        <v>1</v>
      </c>
      <c r="D365">
        <v>8065</v>
      </c>
      <c r="E365">
        <v>8129</v>
      </c>
      <c r="F365">
        <v>217.93333000000001</v>
      </c>
      <c r="G365">
        <v>221.53334000000001</v>
      </c>
      <c r="H365">
        <v>0.98374956999999996</v>
      </c>
      <c r="I365">
        <v>1.6250404E-2</v>
      </c>
      <c r="J365">
        <v>0.50409585000000001</v>
      </c>
    </row>
    <row r="366" spans="1:10" x14ac:dyDescent="0.3">
      <c r="A366">
        <v>364</v>
      </c>
      <c r="B366">
        <v>6836</v>
      </c>
      <c r="C366" t="b">
        <v>1</v>
      </c>
      <c r="D366">
        <v>8077</v>
      </c>
      <c r="E366">
        <v>8140</v>
      </c>
      <c r="F366">
        <v>219.06666999999999</v>
      </c>
      <c r="G366">
        <v>223.86667</v>
      </c>
      <c r="H366">
        <v>0.97855866000000002</v>
      </c>
      <c r="I366">
        <v>2.1441347999999999E-2</v>
      </c>
      <c r="J366">
        <v>0.50541840000000005</v>
      </c>
    </row>
    <row r="367" spans="1:10" x14ac:dyDescent="0.3">
      <c r="A367">
        <v>365</v>
      </c>
      <c r="B367">
        <v>6868</v>
      </c>
      <c r="C367" t="b">
        <v>1</v>
      </c>
      <c r="D367">
        <v>8100</v>
      </c>
      <c r="E367">
        <v>8123</v>
      </c>
      <c r="F367">
        <v>220.2</v>
      </c>
      <c r="G367">
        <v>223.53334000000001</v>
      </c>
      <c r="H367">
        <v>0.98508792999999994</v>
      </c>
      <c r="I367">
        <v>1.4912063999999999E-2</v>
      </c>
      <c r="J367">
        <v>0.50375605000000001</v>
      </c>
    </row>
    <row r="368" spans="1:10" x14ac:dyDescent="0.3">
      <c r="A368">
        <v>366</v>
      </c>
      <c r="B368">
        <v>6884</v>
      </c>
      <c r="C368" t="b">
        <v>1</v>
      </c>
      <c r="D368">
        <v>8060</v>
      </c>
      <c r="E368">
        <v>8123</v>
      </c>
      <c r="F368">
        <v>220.93333000000001</v>
      </c>
      <c r="G368">
        <v>222.8</v>
      </c>
      <c r="H368">
        <v>0.9916218</v>
      </c>
      <c r="I368">
        <v>8.3782249999999996E-3</v>
      </c>
      <c r="J368">
        <v>0.50210339999999998</v>
      </c>
    </row>
    <row r="369" spans="1:10" x14ac:dyDescent="0.3">
      <c r="A369">
        <v>367</v>
      </c>
      <c r="B369">
        <v>6900</v>
      </c>
      <c r="C369" t="b">
        <v>1</v>
      </c>
      <c r="D369">
        <v>8077</v>
      </c>
      <c r="E369">
        <v>8140</v>
      </c>
      <c r="F369">
        <v>222.86667</v>
      </c>
      <c r="G369">
        <v>222.46665999999999</v>
      </c>
      <c r="H369">
        <v>1.001798</v>
      </c>
      <c r="I369">
        <v>-1.7980634000000001E-3</v>
      </c>
      <c r="J369">
        <v>0.49955090000000002</v>
      </c>
    </row>
    <row r="370" spans="1:10" x14ac:dyDescent="0.3">
      <c r="A370">
        <v>368</v>
      </c>
      <c r="B370">
        <v>6916</v>
      </c>
      <c r="C370" t="b">
        <v>1</v>
      </c>
      <c r="D370">
        <v>8071</v>
      </c>
      <c r="E370">
        <v>8164</v>
      </c>
      <c r="F370">
        <v>224.8</v>
      </c>
      <c r="G370">
        <v>222.86667</v>
      </c>
      <c r="H370">
        <v>1.0086748999999999</v>
      </c>
      <c r="I370">
        <v>-8.6748480000000006E-3</v>
      </c>
      <c r="J370">
        <v>0.49784064</v>
      </c>
    </row>
    <row r="371" spans="1:10" x14ac:dyDescent="0.3">
      <c r="A371">
        <v>369</v>
      </c>
      <c r="B371">
        <v>6932</v>
      </c>
      <c r="C371" t="b">
        <v>1</v>
      </c>
      <c r="D371">
        <v>8077</v>
      </c>
      <c r="E371">
        <v>8117</v>
      </c>
      <c r="F371">
        <v>226.73334</v>
      </c>
      <c r="G371">
        <v>221.73334</v>
      </c>
      <c r="H371">
        <v>1.0225496000000001</v>
      </c>
      <c r="I371">
        <v>-2.2549609000000002E-2</v>
      </c>
      <c r="J371">
        <v>0.49442544999999999</v>
      </c>
    </row>
    <row r="372" spans="1:10" x14ac:dyDescent="0.3">
      <c r="A372">
        <v>370</v>
      </c>
      <c r="B372">
        <v>6948</v>
      </c>
      <c r="C372" t="b">
        <v>1</v>
      </c>
      <c r="D372">
        <v>8065</v>
      </c>
      <c r="E372">
        <v>8129</v>
      </c>
      <c r="F372">
        <v>228.26666</v>
      </c>
      <c r="G372">
        <v>221</v>
      </c>
      <c r="H372">
        <v>1.0328808</v>
      </c>
      <c r="I372">
        <v>-3.2880828000000001E-2</v>
      </c>
      <c r="J372">
        <v>0.49191275000000001</v>
      </c>
    </row>
    <row r="373" spans="1:10" x14ac:dyDescent="0.3">
      <c r="A373">
        <v>371</v>
      </c>
      <c r="B373">
        <v>6964</v>
      </c>
      <c r="C373" t="b">
        <v>1</v>
      </c>
      <c r="D373">
        <v>8071</v>
      </c>
      <c r="E373">
        <v>8140</v>
      </c>
      <c r="F373">
        <v>228.66667000000001</v>
      </c>
      <c r="G373">
        <v>221</v>
      </c>
      <c r="H373">
        <v>1.0346909</v>
      </c>
      <c r="I373">
        <v>-3.4690823000000003E-2</v>
      </c>
      <c r="J373">
        <v>0.49147513999999998</v>
      </c>
    </row>
    <row r="374" spans="1:10" x14ac:dyDescent="0.3">
      <c r="A374">
        <v>372</v>
      </c>
      <c r="B374">
        <v>6980</v>
      </c>
      <c r="C374" t="b">
        <v>1</v>
      </c>
      <c r="D374">
        <v>8071</v>
      </c>
      <c r="E374">
        <v>8099</v>
      </c>
      <c r="F374">
        <v>229.06666999999999</v>
      </c>
      <c r="G374">
        <v>220.26666</v>
      </c>
      <c r="H374">
        <v>1.0399516</v>
      </c>
      <c r="I374">
        <v>-3.9951590000000002E-2</v>
      </c>
      <c r="J374">
        <v>0.49020773000000001</v>
      </c>
    </row>
    <row r="375" spans="1:10" x14ac:dyDescent="0.3">
      <c r="A375">
        <v>373</v>
      </c>
      <c r="B375">
        <v>7011</v>
      </c>
      <c r="C375" t="b">
        <v>1</v>
      </c>
      <c r="D375">
        <v>8100</v>
      </c>
      <c r="E375">
        <v>8140</v>
      </c>
      <c r="F375">
        <v>229.46665999999999</v>
      </c>
      <c r="G375">
        <v>219.53334000000001</v>
      </c>
      <c r="H375">
        <v>1.0452474</v>
      </c>
      <c r="I375">
        <v>-4.5247427999999999E-2</v>
      </c>
      <c r="J375">
        <v>0.4889384</v>
      </c>
    </row>
    <row r="376" spans="1:10" x14ac:dyDescent="0.3">
      <c r="A376">
        <v>374</v>
      </c>
      <c r="B376">
        <v>7027</v>
      </c>
      <c r="C376" t="b">
        <v>1</v>
      </c>
      <c r="D376">
        <v>8083</v>
      </c>
      <c r="E376">
        <v>8194</v>
      </c>
      <c r="F376">
        <v>229.86667</v>
      </c>
      <c r="G376">
        <v>219.53334000000001</v>
      </c>
      <c r="H376">
        <v>1.0470695000000001</v>
      </c>
      <c r="I376">
        <v>-4.7069515999999999E-2</v>
      </c>
      <c r="J376">
        <v>0.48850320000000003</v>
      </c>
    </row>
    <row r="377" spans="1:10" x14ac:dyDescent="0.3">
      <c r="A377">
        <v>375</v>
      </c>
      <c r="B377">
        <v>7043</v>
      </c>
      <c r="C377" t="b">
        <v>1</v>
      </c>
      <c r="D377">
        <v>8077</v>
      </c>
      <c r="E377">
        <v>8146</v>
      </c>
      <c r="F377">
        <v>230.66667000000001</v>
      </c>
      <c r="G377">
        <v>219.13333</v>
      </c>
      <c r="H377">
        <v>1.0526316</v>
      </c>
      <c r="I377">
        <v>-5.2631613000000001E-2</v>
      </c>
      <c r="J377">
        <v>0.48717949999999999</v>
      </c>
    </row>
    <row r="378" spans="1:10" x14ac:dyDescent="0.3">
      <c r="A378">
        <v>376</v>
      </c>
      <c r="B378">
        <v>7058</v>
      </c>
      <c r="C378" t="b">
        <v>1</v>
      </c>
      <c r="D378">
        <v>8083</v>
      </c>
      <c r="E378">
        <v>8146</v>
      </c>
      <c r="F378">
        <v>231.86667</v>
      </c>
      <c r="G378">
        <v>219.13333</v>
      </c>
      <c r="H378">
        <v>1.0581077000000001</v>
      </c>
      <c r="I378">
        <v>-5.8107714999999997E-2</v>
      </c>
      <c r="J378">
        <v>0.48588320000000002</v>
      </c>
    </row>
    <row r="379" spans="1:10" x14ac:dyDescent="0.3">
      <c r="A379">
        <v>377</v>
      </c>
      <c r="B379">
        <v>7074</v>
      </c>
      <c r="C379" t="b">
        <v>1</v>
      </c>
      <c r="D379">
        <v>8088</v>
      </c>
      <c r="E379">
        <v>8158</v>
      </c>
      <c r="F379">
        <v>234.2</v>
      </c>
      <c r="G379">
        <v>219.13333</v>
      </c>
      <c r="H379">
        <v>1.0687557000000001</v>
      </c>
      <c r="I379">
        <v>-6.8755700000000003E-2</v>
      </c>
      <c r="J379">
        <v>0.48338237000000001</v>
      </c>
    </row>
    <row r="380" spans="1:10" x14ac:dyDescent="0.3">
      <c r="A380">
        <v>378</v>
      </c>
      <c r="B380">
        <v>7089</v>
      </c>
      <c r="C380" t="b">
        <v>1</v>
      </c>
      <c r="D380">
        <v>8048</v>
      </c>
      <c r="E380">
        <v>8146</v>
      </c>
      <c r="F380">
        <v>235.4</v>
      </c>
      <c r="G380">
        <v>220.26666</v>
      </c>
      <c r="H380">
        <v>1.0687046</v>
      </c>
      <c r="I380">
        <v>-6.8704589999999996E-2</v>
      </c>
      <c r="J380">
        <v>0.4833943</v>
      </c>
    </row>
    <row r="381" spans="1:10" x14ac:dyDescent="0.3">
      <c r="A381">
        <v>379</v>
      </c>
      <c r="B381">
        <v>7122</v>
      </c>
      <c r="C381" t="b">
        <v>1</v>
      </c>
      <c r="D381">
        <v>8065</v>
      </c>
      <c r="E381">
        <v>8140</v>
      </c>
      <c r="F381">
        <v>235.4</v>
      </c>
      <c r="G381">
        <v>220.66667000000001</v>
      </c>
      <c r="H381">
        <v>1.0667673</v>
      </c>
      <c r="I381">
        <v>-6.6767320000000005E-2</v>
      </c>
      <c r="J381">
        <v>0.48384739999999998</v>
      </c>
    </row>
    <row r="382" spans="1:10" x14ac:dyDescent="0.3">
      <c r="A382">
        <v>380</v>
      </c>
      <c r="B382">
        <v>7153</v>
      </c>
      <c r="C382" t="b">
        <v>1</v>
      </c>
      <c r="D382">
        <v>8077</v>
      </c>
      <c r="E382">
        <v>8129</v>
      </c>
      <c r="F382">
        <v>235.4</v>
      </c>
      <c r="G382">
        <v>221.8</v>
      </c>
      <c r="H382">
        <v>1.0613165</v>
      </c>
      <c r="I382">
        <v>-6.1316460000000003E-2</v>
      </c>
      <c r="J382">
        <v>0.48512685</v>
      </c>
    </row>
    <row r="383" spans="1:10" x14ac:dyDescent="0.3">
      <c r="A383">
        <v>381</v>
      </c>
      <c r="B383">
        <v>7185</v>
      </c>
      <c r="C383" t="b">
        <v>1</v>
      </c>
      <c r="D383">
        <v>8065</v>
      </c>
      <c r="E383">
        <v>8170</v>
      </c>
      <c r="F383">
        <v>235.4</v>
      </c>
      <c r="G383">
        <v>223.33332999999999</v>
      </c>
      <c r="H383">
        <v>1.0540297999999999</v>
      </c>
      <c r="I383">
        <v>-5.4029849999999997E-2</v>
      </c>
      <c r="J383">
        <v>0.48684781999999999</v>
      </c>
    </row>
    <row r="384" spans="1:10" x14ac:dyDescent="0.3">
      <c r="A384">
        <v>382</v>
      </c>
      <c r="B384">
        <v>7217</v>
      </c>
      <c r="C384" t="b">
        <v>1</v>
      </c>
      <c r="D384">
        <v>8054</v>
      </c>
      <c r="E384">
        <v>8129</v>
      </c>
      <c r="F384">
        <v>234.6</v>
      </c>
      <c r="G384">
        <v>224.06666999999999</v>
      </c>
      <c r="H384">
        <v>1.0470098000000001</v>
      </c>
      <c r="I384">
        <v>-4.7009849999999999E-2</v>
      </c>
      <c r="J384">
        <v>0.48851739999999999</v>
      </c>
    </row>
    <row r="385" spans="1:10" x14ac:dyDescent="0.3">
      <c r="A385">
        <v>383</v>
      </c>
      <c r="B385">
        <v>7249</v>
      </c>
      <c r="C385" t="b">
        <v>1</v>
      </c>
      <c r="D385">
        <v>8094</v>
      </c>
      <c r="E385">
        <v>8140</v>
      </c>
      <c r="F385">
        <v>233.8</v>
      </c>
      <c r="G385">
        <v>224.06666999999999</v>
      </c>
      <c r="H385">
        <v>1.0434395000000001</v>
      </c>
      <c r="I385">
        <v>-4.3439470000000001E-2</v>
      </c>
      <c r="J385">
        <v>0.489371</v>
      </c>
    </row>
    <row r="386" spans="1:10" x14ac:dyDescent="0.3">
      <c r="A386">
        <v>384</v>
      </c>
      <c r="B386">
        <v>7265</v>
      </c>
      <c r="C386" t="b">
        <v>1</v>
      </c>
      <c r="D386">
        <v>8065</v>
      </c>
      <c r="E386">
        <v>8170</v>
      </c>
      <c r="F386">
        <v>233</v>
      </c>
      <c r="G386">
        <v>225.2</v>
      </c>
      <c r="H386">
        <v>1.0346359000000001</v>
      </c>
      <c r="I386">
        <v>-3.4635894E-2</v>
      </c>
      <c r="J386">
        <v>0.49148842999999998</v>
      </c>
    </row>
    <row r="387" spans="1:10" x14ac:dyDescent="0.3">
      <c r="A387">
        <v>385</v>
      </c>
      <c r="B387">
        <v>7281</v>
      </c>
      <c r="C387" t="b">
        <v>1</v>
      </c>
      <c r="D387">
        <v>8060</v>
      </c>
      <c r="E387">
        <v>8140</v>
      </c>
      <c r="F387">
        <v>232.6</v>
      </c>
      <c r="G387">
        <v>225.93333000000001</v>
      </c>
      <c r="H387">
        <v>1.0295072999999999</v>
      </c>
      <c r="I387">
        <v>-2.9507251000000002E-2</v>
      </c>
      <c r="J387">
        <v>0.49273046999999998</v>
      </c>
    </row>
    <row r="388" spans="1:10" x14ac:dyDescent="0.3">
      <c r="A388">
        <v>386</v>
      </c>
      <c r="B388">
        <v>7296</v>
      </c>
      <c r="C388" t="b">
        <v>1</v>
      </c>
      <c r="D388">
        <v>8054</v>
      </c>
      <c r="E388">
        <v>8093</v>
      </c>
      <c r="F388">
        <v>231.86667</v>
      </c>
      <c r="G388">
        <v>225.93333000000001</v>
      </c>
      <c r="H388">
        <v>1.0262614000000001</v>
      </c>
      <c r="I388">
        <v>-2.6261438000000002E-2</v>
      </c>
      <c r="J388">
        <v>0.49351974999999998</v>
      </c>
    </row>
    <row r="389" spans="1:10" x14ac:dyDescent="0.3">
      <c r="A389">
        <v>387</v>
      </c>
      <c r="B389">
        <v>7312</v>
      </c>
      <c r="C389" t="b">
        <v>1</v>
      </c>
      <c r="D389">
        <v>8083</v>
      </c>
      <c r="E389">
        <v>8111</v>
      </c>
      <c r="F389">
        <v>231.46665999999999</v>
      </c>
      <c r="G389">
        <v>226.66667000000001</v>
      </c>
      <c r="H389">
        <v>1.0211764999999999</v>
      </c>
      <c r="I389">
        <v>-2.1176416E-2</v>
      </c>
      <c r="J389">
        <v>0.49476137999999997</v>
      </c>
    </row>
    <row r="390" spans="1:10" x14ac:dyDescent="0.3">
      <c r="A390">
        <v>388</v>
      </c>
      <c r="B390">
        <v>7328</v>
      </c>
      <c r="C390" t="b">
        <v>1</v>
      </c>
      <c r="D390">
        <v>8065</v>
      </c>
      <c r="E390">
        <v>8140</v>
      </c>
      <c r="F390">
        <v>231.06666999999999</v>
      </c>
      <c r="G390">
        <v>227.4</v>
      </c>
      <c r="H390">
        <v>1.0161244</v>
      </c>
      <c r="I390">
        <v>-1.6124327000000001E-2</v>
      </c>
      <c r="J390">
        <v>0.49600115</v>
      </c>
    </row>
    <row r="391" spans="1:10" x14ac:dyDescent="0.3">
      <c r="A391">
        <v>389</v>
      </c>
      <c r="B391">
        <v>7344</v>
      </c>
      <c r="C391" t="b">
        <v>1</v>
      </c>
      <c r="D391">
        <v>8065</v>
      </c>
      <c r="E391">
        <v>8134</v>
      </c>
      <c r="F391">
        <v>230.66667000000001</v>
      </c>
      <c r="G391">
        <v>227</v>
      </c>
      <c r="H391">
        <v>1.0161526999999999</v>
      </c>
      <c r="I391">
        <v>-1.6152739999999999E-2</v>
      </c>
      <c r="J391">
        <v>0.49599415000000002</v>
      </c>
    </row>
    <row r="392" spans="1:10" x14ac:dyDescent="0.3">
      <c r="A392">
        <v>390</v>
      </c>
      <c r="B392">
        <v>7360</v>
      </c>
      <c r="C392" t="b">
        <v>1</v>
      </c>
      <c r="D392">
        <v>8071</v>
      </c>
      <c r="E392">
        <v>8140</v>
      </c>
      <c r="F392">
        <v>229.86667</v>
      </c>
      <c r="G392">
        <v>226.6</v>
      </c>
      <c r="H392">
        <v>1.014416</v>
      </c>
      <c r="I392">
        <v>-1.4415986E-2</v>
      </c>
      <c r="J392">
        <v>0.49642177999999998</v>
      </c>
    </row>
    <row r="393" spans="1:10" x14ac:dyDescent="0.3">
      <c r="A393">
        <v>391</v>
      </c>
      <c r="B393">
        <v>7376</v>
      </c>
      <c r="C393" t="b">
        <v>1</v>
      </c>
      <c r="D393">
        <v>8071</v>
      </c>
      <c r="E393">
        <v>8182</v>
      </c>
      <c r="F393">
        <v>229.06666999999999</v>
      </c>
      <c r="G393">
        <v>226.2</v>
      </c>
      <c r="H393">
        <v>1.0126731</v>
      </c>
      <c r="I393">
        <v>-1.2673159999999999E-2</v>
      </c>
      <c r="J393">
        <v>0.49685164999999998</v>
      </c>
    </row>
    <row r="394" spans="1:10" x14ac:dyDescent="0.3">
      <c r="A394">
        <v>392</v>
      </c>
      <c r="B394">
        <v>7407</v>
      </c>
      <c r="C394" t="b">
        <v>1</v>
      </c>
      <c r="D394">
        <v>8065</v>
      </c>
      <c r="E394">
        <v>8117</v>
      </c>
      <c r="F394">
        <v>227.86667</v>
      </c>
      <c r="G394">
        <v>225.8</v>
      </c>
      <c r="H394">
        <v>1.0091527</v>
      </c>
      <c r="I394">
        <v>-9.1526379999999994E-3</v>
      </c>
      <c r="J394">
        <v>0.49772223999999998</v>
      </c>
    </row>
    <row r="395" spans="1:10" x14ac:dyDescent="0.3">
      <c r="A395">
        <v>393</v>
      </c>
      <c r="B395">
        <v>7423</v>
      </c>
      <c r="C395" t="b">
        <v>1</v>
      </c>
      <c r="D395">
        <v>8071</v>
      </c>
      <c r="E395">
        <v>8099</v>
      </c>
      <c r="F395">
        <v>227.06666999999999</v>
      </c>
      <c r="G395">
        <v>225</v>
      </c>
      <c r="H395">
        <v>1.0091851999999999</v>
      </c>
      <c r="I395">
        <v>-9.1851810000000006E-3</v>
      </c>
      <c r="J395">
        <v>0.49771421999999998</v>
      </c>
    </row>
    <row r="396" spans="1:10" x14ac:dyDescent="0.3">
      <c r="A396">
        <v>394</v>
      </c>
      <c r="B396">
        <v>7439</v>
      </c>
      <c r="C396" t="b">
        <v>1</v>
      </c>
      <c r="D396">
        <v>8065</v>
      </c>
      <c r="E396">
        <v>8117</v>
      </c>
      <c r="F396">
        <v>226.66667000000001</v>
      </c>
      <c r="G396">
        <v>223.06666999999999</v>
      </c>
      <c r="H396">
        <v>1.0161387</v>
      </c>
      <c r="I396">
        <v>-1.6138699999999999E-2</v>
      </c>
      <c r="J396">
        <v>0.49599759999999998</v>
      </c>
    </row>
    <row r="397" spans="1:10" x14ac:dyDescent="0.3">
      <c r="A397">
        <v>395</v>
      </c>
      <c r="B397">
        <v>7455</v>
      </c>
      <c r="C397" t="b">
        <v>1</v>
      </c>
      <c r="D397">
        <v>8088</v>
      </c>
      <c r="E397">
        <v>8123</v>
      </c>
      <c r="F397">
        <v>226.26666</v>
      </c>
      <c r="G397">
        <v>221.13333</v>
      </c>
      <c r="H397">
        <v>1.0232136999999999</v>
      </c>
      <c r="I397">
        <v>-2.3213739000000001E-2</v>
      </c>
      <c r="J397">
        <v>0.49426313999999999</v>
      </c>
    </row>
    <row r="398" spans="1:10" x14ac:dyDescent="0.3">
      <c r="A398">
        <v>396</v>
      </c>
      <c r="B398">
        <v>7472</v>
      </c>
      <c r="C398" t="b">
        <v>1</v>
      </c>
      <c r="D398">
        <v>8077</v>
      </c>
      <c r="E398">
        <v>8152</v>
      </c>
      <c r="F398">
        <v>226.66667000000001</v>
      </c>
      <c r="G398">
        <v>219.2</v>
      </c>
      <c r="H398">
        <v>1.0340632999999999</v>
      </c>
      <c r="I398">
        <v>-3.4063299999999998E-2</v>
      </c>
      <c r="J398">
        <v>0.49162679999999997</v>
      </c>
    </row>
    <row r="399" spans="1:10" x14ac:dyDescent="0.3">
      <c r="A399">
        <v>397</v>
      </c>
      <c r="B399">
        <v>7505</v>
      </c>
      <c r="C399" t="b">
        <v>1</v>
      </c>
      <c r="D399">
        <v>8060</v>
      </c>
      <c r="E399">
        <v>8129</v>
      </c>
      <c r="F399">
        <v>227.06666999999999</v>
      </c>
      <c r="G399">
        <v>218.06666999999999</v>
      </c>
      <c r="H399">
        <v>1.0412718000000001</v>
      </c>
      <c r="I399">
        <v>-4.1271782999999999E-2</v>
      </c>
      <c r="J399">
        <v>0.48989065999999998</v>
      </c>
    </row>
    <row r="400" spans="1:10" x14ac:dyDescent="0.3">
      <c r="A400">
        <v>398</v>
      </c>
      <c r="B400">
        <v>7534</v>
      </c>
      <c r="C400" t="b">
        <v>1</v>
      </c>
      <c r="D400">
        <v>8088</v>
      </c>
      <c r="E400">
        <v>8140</v>
      </c>
      <c r="F400">
        <v>227.86667</v>
      </c>
      <c r="G400">
        <v>217.33332999999999</v>
      </c>
      <c r="H400">
        <v>1.0484663000000001</v>
      </c>
      <c r="I400">
        <v>-4.8466290000000002E-2</v>
      </c>
      <c r="J400">
        <v>0.4881701</v>
      </c>
    </row>
    <row r="401" spans="1:10" x14ac:dyDescent="0.3">
      <c r="A401">
        <v>399</v>
      </c>
      <c r="B401">
        <v>7566</v>
      </c>
      <c r="C401" t="b">
        <v>1</v>
      </c>
      <c r="D401">
        <v>8054</v>
      </c>
      <c r="E401">
        <v>8158</v>
      </c>
      <c r="F401">
        <v>228.66667000000001</v>
      </c>
      <c r="G401">
        <v>217.33332999999999</v>
      </c>
      <c r="H401">
        <v>1.0521472999999999</v>
      </c>
      <c r="I401">
        <v>-5.2147288E-2</v>
      </c>
      <c r="J401">
        <v>0.48729446999999998</v>
      </c>
    </row>
    <row r="402" spans="1:10" x14ac:dyDescent="0.3">
      <c r="A402">
        <v>400</v>
      </c>
      <c r="B402">
        <v>7582</v>
      </c>
      <c r="C402" t="b">
        <v>1</v>
      </c>
      <c r="D402">
        <v>8054</v>
      </c>
      <c r="E402">
        <v>8146</v>
      </c>
      <c r="F402">
        <v>228.33332999999999</v>
      </c>
      <c r="G402">
        <v>217.73334</v>
      </c>
      <c r="H402">
        <v>1.0486834</v>
      </c>
      <c r="I402">
        <v>-4.8683360000000002E-2</v>
      </c>
      <c r="J402">
        <v>0.48811838000000002</v>
      </c>
    </row>
    <row r="403" spans="1:10" x14ac:dyDescent="0.3">
      <c r="A403">
        <v>401</v>
      </c>
      <c r="B403">
        <v>7598</v>
      </c>
      <c r="C403" t="b">
        <v>1</v>
      </c>
      <c r="D403">
        <v>8071</v>
      </c>
      <c r="E403">
        <v>8134</v>
      </c>
      <c r="F403">
        <v>228.33332999999999</v>
      </c>
      <c r="G403">
        <v>217.73334</v>
      </c>
      <c r="H403">
        <v>1.0486834</v>
      </c>
      <c r="I403">
        <v>-4.8683360000000002E-2</v>
      </c>
      <c r="J403">
        <v>0.48811838000000002</v>
      </c>
    </row>
    <row r="404" spans="1:10" x14ac:dyDescent="0.3">
      <c r="A404">
        <v>402</v>
      </c>
      <c r="B404">
        <v>7613</v>
      </c>
      <c r="C404" t="b">
        <v>1</v>
      </c>
      <c r="D404">
        <v>8065</v>
      </c>
      <c r="E404">
        <v>8129</v>
      </c>
      <c r="F404">
        <v>228.33332999999999</v>
      </c>
      <c r="G404">
        <v>217.73334</v>
      </c>
      <c r="H404">
        <v>1.0486834</v>
      </c>
      <c r="I404">
        <v>-4.8683360000000002E-2</v>
      </c>
      <c r="J404">
        <v>0.48811838000000002</v>
      </c>
    </row>
    <row r="405" spans="1:10" x14ac:dyDescent="0.3">
      <c r="A405">
        <v>403</v>
      </c>
      <c r="B405">
        <v>7629</v>
      </c>
      <c r="C405" t="b">
        <v>1</v>
      </c>
      <c r="D405">
        <v>8077</v>
      </c>
      <c r="E405">
        <v>8140</v>
      </c>
      <c r="F405">
        <v>228.33332999999999</v>
      </c>
      <c r="G405">
        <v>217.73334</v>
      </c>
      <c r="H405">
        <v>1.0486834</v>
      </c>
      <c r="I405">
        <v>-4.8683360000000002E-2</v>
      </c>
      <c r="J405">
        <v>0.48811838000000002</v>
      </c>
    </row>
    <row r="406" spans="1:10" x14ac:dyDescent="0.3">
      <c r="A406">
        <v>404</v>
      </c>
      <c r="B406">
        <v>7645</v>
      </c>
      <c r="C406" t="b">
        <v>1</v>
      </c>
      <c r="D406">
        <v>8094</v>
      </c>
      <c r="E406">
        <v>8158</v>
      </c>
      <c r="F406">
        <v>228.73334</v>
      </c>
      <c r="G406">
        <v>218.13333</v>
      </c>
      <c r="H406">
        <v>1.0485941000000001</v>
      </c>
      <c r="I406">
        <v>-4.8594162000000003E-2</v>
      </c>
      <c r="J406">
        <v>0.48813962999999999</v>
      </c>
    </row>
    <row r="407" spans="1:10" x14ac:dyDescent="0.3">
      <c r="A407">
        <v>405</v>
      </c>
      <c r="B407">
        <v>7676</v>
      </c>
      <c r="C407" t="b">
        <v>1</v>
      </c>
      <c r="D407">
        <v>8048</v>
      </c>
      <c r="E407">
        <v>8129</v>
      </c>
      <c r="F407">
        <v>229.13333</v>
      </c>
      <c r="G407">
        <v>218.13333</v>
      </c>
      <c r="H407">
        <v>1.0504279000000001</v>
      </c>
      <c r="I407">
        <v>-5.0427872999999998E-2</v>
      </c>
      <c r="J407">
        <v>0.48770308000000001</v>
      </c>
    </row>
    <row r="408" spans="1:10" x14ac:dyDescent="0.3">
      <c r="A408">
        <v>406</v>
      </c>
      <c r="B408">
        <v>7708</v>
      </c>
      <c r="C408" t="b">
        <v>1</v>
      </c>
      <c r="D408">
        <v>8048</v>
      </c>
      <c r="E408">
        <v>8123</v>
      </c>
      <c r="F408">
        <v>228.73334</v>
      </c>
      <c r="G408">
        <v>217.4</v>
      </c>
      <c r="H408">
        <v>1.0521313000000001</v>
      </c>
      <c r="I408">
        <v>-5.2131295000000001E-2</v>
      </c>
      <c r="J408">
        <v>0.48729824999999999</v>
      </c>
    </row>
    <row r="409" spans="1:10" x14ac:dyDescent="0.3">
      <c r="A409">
        <v>407</v>
      </c>
      <c r="B409">
        <v>7739</v>
      </c>
      <c r="C409" t="b">
        <v>1</v>
      </c>
      <c r="D409">
        <v>8077</v>
      </c>
      <c r="E409">
        <v>8140</v>
      </c>
      <c r="F409">
        <v>229.53334000000001</v>
      </c>
      <c r="G409">
        <v>217.4</v>
      </c>
      <c r="H409">
        <v>1.0558111999999999</v>
      </c>
      <c r="I409">
        <v>-5.5811162999999997E-2</v>
      </c>
      <c r="J409">
        <v>0.48642600000000003</v>
      </c>
    </row>
    <row r="410" spans="1:10" x14ac:dyDescent="0.3">
      <c r="A410">
        <v>408</v>
      </c>
      <c r="B410">
        <v>7776</v>
      </c>
      <c r="C410" t="b">
        <v>1</v>
      </c>
      <c r="D410">
        <v>8071</v>
      </c>
      <c r="E410">
        <v>8117</v>
      </c>
      <c r="F410">
        <v>229.53334000000001</v>
      </c>
      <c r="G410">
        <v>217.06666999999999</v>
      </c>
      <c r="H410">
        <v>1.0574323999999999</v>
      </c>
      <c r="I410">
        <v>-5.7432469999999999E-2</v>
      </c>
      <c r="J410">
        <v>0.48604268</v>
      </c>
    </row>
    <row r="411" spans="1:10" x14ac:dyDescent="0.3">
      <c r="A411">
        <v>409</v>
      </c>
      <c r="B411">
        <v>7806</v>
      </c>
      <c r="C411" t="b">
        <v>1</v>
      </c>
      <c r="D411">
        <v>8071</v>
      </c>
      <c r="E411">
        <v>8146</v>
      </c>
      <c r="F411">
        <v>229.53334000000001</v>
      </c>
      <c r="G411">
        <v>217.86667</v>
      </c>
      <c r="H411">
        <v>1.0535496</v>
      </c>
      <c r="I411">
        <v>-5.3549594999999998E-2</v>
      </c>
      <c r="J411">
        <v>0.4869617</v>
      </c>
    </row>
    <row r="412" spans="1:10" x14ac:dyDescent="0.3">
      <c r="A412">
        <v>410</v>
      </c>
      <c r="B412">
        <v>7839</v>
      </c>
      <c r="C412" t="b">
        <v>1</v>
      </c>
      <c r="D412">
        <v>8065</v>
      </c>
      <c r="E412">
        <v>8152</v>
      </c>
      <c r="F412">
        <v>229.53334000000001</v>
      </c>
      <c r="G412">
        <v>219.4</v>
      </c>
      <c r="H412">
        <v>1.0461867</v>
      </c>
      <c r="I412">
        <v>-4.6186629999999999E-2</v>
      </c>
      <c r="J412">
        <v>0.48871395000000001</v>
      </c>
    </row>
    <row r="413" spans="1:10" x14ac:dyDescent="0.3">
      <c r="A413">
        <v>411</v>
      </c>
      <c r="B413">
        <v>7854</v>
      </c>
      <c r="C413" t="b">
        <v>1</v>
      </c>
      <c r="D413">
        <v>8071</v>
      </c>
      <c r="E413">
        <v>8129</v>
      </c>
      <c r="F413">
        <v>229.53334000000001</v>
      </c>
      <c r="G413">
        <v>220.93333000000001</v>
      </c>
      <c r="H413">
        <v>1.0389257999999999</v>
      </c>
      <c r="I413">
        <v>-3.8925796999999998E-2</v>
      </c>
      <c r="J413">
        <v>0.49045434999999998</v>
      </c>
    </row>
    <row r="414" spans="1:10" x14ac:dyDescent="0.3">
      <c r="A414">
        <v>412</v>
      </c>
      <c r="B414">
        <v>7886</v>
      </c>
      <c r="C414" t="b">
        <v>1</v>
      </c>
      <c r="D414">
        <v>8065</v>
      </c>
      <c r="E414">
        <v>8146</v>
      </c>
      <c r="F414">
        <v>229.53334000000001</v>
      </c>
      <c r="G414">
        <v>222.46665999999999</v>
      </c>
      <c r="H414">
        <v>1.0317651000000001</v>
      </c>
      <c r="I414">
        <v>-3.1765122E-2</v>
      </c>
      <c r="J414">
        <v>0.49218287999999999</v>
      </c>
    </row>
    <row r="415" spans="1:10" x14ac:dyDescent="0.3">
      <c r="A415">
        <v>413</v>
      </c>
      <c r="B415">
        <v>7918</v>
      </c>
      <c r="C415" t="b">
        <v>1</v>
      </c>
      <c r="D415">
        <v>8037</v>
      </c>
      <c r="E415">
        <v>8140</v>
      </c>
      <c r="F415">
        <v>228.73334</v>
      </c>
      <c r="G415">
        <v>223.6</v>
      </c>
      <c r="H415">
        <v>1.0229577000000001</v>
      </c>
      <c r="I415">
        <v>-2.2957653000000001E-2</v>
      </c>
      <c r="J415">
        <v>0.49432573000000002</v>
      </c>
    </row>
    <row r="416" spans="1:10" x14ac:dyDescent="0.3">
      <c r="A416">
        <v>414</v>
      </c>
      <c r="B416">
        <v>7950</v>
      </c>
      <c r="C416" t="b">
        <v>1</v>
      </c>
      <c r="D416">
        <v>8106</v>
      </c>
      <c r="E416">
        <v>8182</v>
      </c>
      <c r="F416">
        <v>227.93333000000001</v>
      </c>
      <c r="G416">
        <v>224</v>
      </c>
      <c r="H416">
        <v>1.0175595</v>
      </c>
      <c r="I416">
        <v>-1.7559528000000001E-2</v>
      </c>
      <c r="J416">
        <v>0.49564829999999999</v>
      </c>
    </row>
    <row r="417" spans="1:10" x14ac:dyDescent="0.3">
      <c r="A417">
        <v>415</v>
      </c>
      <c r="B417">
        <v>7982</v>
      </c>
      <c r="C417" t="b">
        <v>1</v>
      </c>
      <c r="D417">
        <v>8083</v>
      </c>
      <c r="E417">
        <v>8129</v>
      </c>
      <c r="F417">
        <v>228.66667000000001</v>
      </c>
      <c r="G417">
        <v>223.6</v>
      </c>
      <c r="H417">
        <v>1.0226595000000001</v>
      </c>
      <c r="I417">
        <v>-2.2659506999999999E-2</v>
      </c>
      <c r="J417">
        <v>0.49439860000000002</v>
      </c>
    </row>
    <row r="418" spans="1:10" x14ac:dyDescent="0.3">
      <c r="A418">
        <v>416</v>
      </c>
      <c r="B418">
        <v>8013</v>
      </c>
      <c r="C418" t="b">
        <v>1</v>
      </c>
      <c r="D418">
        <v>8100</v>
      </c>
      <c r="E418">
        <v>8140</v>
      </c>
      <c r="F418">
        <v>230.2</v>
      </c>
      <c r="G418">
        <v>223.6</v>
      </c>
      <c r="H418">
        <v>1.0295169</v>
      </c>
      <c r="I418">
        <v>-2.9516951999999999E-2</v>
      </c>
      <c r="J418">
        <v>0.4927281</v>
      </c>
    </row>
    <row r="419" spans="1:10" x14ac:dyDescent="0.3">
      <c r="A419">
        <v>417</v>
      </c>
      <c r="B419">
        <v>8043</v>
      </c>
      <c r="C419" t="b">
        <v>1</v>
      </c>
      <c r="D419">
        <v>8077</v>
      </c>
      <c r="E419">
        <v>8105</v>
      </c>
      <c r="F419">
        <v>231.4</v>
      </c>
      <c r="G419">
        <v>223.6</v>
      </c>
      <c r="H419">
        <v>1.0348835999999999</v>
      </c>
      <c r="I419">
        <v>-3.4883667E-2</v>
      </c>
      <c r="J419">
        <v>0.49142858</v>
      </c>
    </row>
    <row r="420" spans="1:10" x14ac:dyDescent="0.3">
      <c r="A420">
        <v>418</v>
      </c>
      <c r="B420">
        <v>8059</v>
      </c>
      <c r="C420" t="b">
        <v>1</v>
      </c>
      <c r="D420">
        <v>8042</v>
      </c>
      <c r="E420">
        <v>8134</v>
      </c>
      <c r="F420">
        <v>232.6</v>
      </c>
      <c r="G420">
        <v>223.2</v>
      </c>
      <c r="H420">
        <v>1.0421146999999999</v>
      </c>
      <c r="I420">
        <v>-4.2114739999999998E-2</v>
      </c>
      <c r="J420">
        <v>0.48968845999999999</v>
      </c>
    </row>
    <row r="421" spans="1:10" x14ac:dyDescent="0.3">
      <c r="A421">
        <v>419</v>
      </c>
      <c r="B421">
        <v>8075</v>
      </c>
      <c r="C421" t="b">
        <v>1</v>
      </c>
      <c r="D421">
        <v>8071</v>
      </c>
      <c r="E421">
        <v>8140</v>
      </c>
      <c r="F421">
        <v>233</v>
      </c>
      <c r="G421">
        <v>222.8</v>
      </c>
      <c r="H421">
        <v>1.0457809</v>
      </c>
      <c r="I421">
        <v>-4.5780956999999997E-2</v>
      </c>
      <c r="J421">
        <v>0.48881089999999999</v>
      </c>
    </row>
    <row r="422" spans="1:10" x14ac:dyDescent="0.3">
      <c r="A422">
        <v>420</v>
      </c>
      <c r="B422">
        <v>8090</v>
      </c>
      <c r="C422" t="b">
        <v>1</v>
      </c>
      <c r="D422">
        <v>8054</v>
      </c>
      <c r="E422">
        <v>8152</v>
      </c>
      <c r="F422">
        <v>233</v>
      </c>
      <c r="G422">
        <v>223.2</v>
      </c>
      <c r="H422">
        <v>1.0439068</v>
      </c>
      <c r="I422">
        <v>-4.3906822999999998E-2</v>
      </c>
      <c r="J422">
        <v>0.48925906000000002</v>
      </c>
    </row>
    <row r="423" spans="1:10" x14ac:dyDescent="0.3">
      <c r="A423">
        <v>421</v>
      </c>
      <c r="B423">
        <v>8106</v>
      </c>
      <c r="C423" t="b">
        <v>1</v>
      </c>
      <c r="D423">
        <v>8100</v>
      </c>
      <c r="E423">
        <v>8170</v>
      </c>
      <c r="F423">
        <v>233.4</v>
      </c>
      <c r="G423">
        <v>223.93333000000001</v>
      </c>
      <c r="H423">
        <v>1.0422745</v>
      </c>
      <c r="I423">
        <v>-4.2274452999999997E-2</v>
      </c>
      <c r="J423">
        <v>0.48965016</v>
      </c>
    </row>
    <row r="424" spans="1:10" x14ac:dyDescent="0.3">
      <c r="A424">
        <v>422</v>
      </c>
      <c r="B424">
        <v>8138</v>
      </c>
      <c r="C424" t="b">
        <v>1</v>
      </c>
      <c r="D424">
        <v>8083</v>
      </c>
      <c r="E424">
        <v>8111</v>
      </c>
      <c r="F424">
        <v>233</v>
      </c>
      <c r="G424">
        <v>223.93333000000001</v>
      </c>
      <c r="H424">
        <v>1.0404882</v>
      </c>
      <c r="I424">
        <v>-4.0488235999999997E-2</v>
      </c>
      <c r="J424">
        <v>0.49007877999999999</v>
      </c>
    </row>
    <row r="425" spans="1:10" x14ac:dyDescent="0.3">
      <c r="A425">
        <v>423</v>
      </c>
      <c r="B425">
        <v>8171</v>
      </c>
      <c r="C425" t="b">
        <v>1</v>
      </c>
      <c r="D425">
        <v>8071</v>
      </c>
      <c r="E425">
        <v>8087</v>
      </c>
      <c r="F425">
        <v>233</v>
      </c>
      <c r="G425">
        <v>224.66667000000001</v>
      </c>
      <c r="H425">
        <v>1.0370919999999999</v>
      </c>
      <c r="I425">
        <v>-3.7091962999999999E-2</v>
      </c>
      <c r="J425">
        <v>0.49089584000000003</v>
      </c>
    </row>
    <row r="426" spans="1:10" x14ac:dyDescent="0.3">
      <c r="A426">
        <v>424</v>
      </c>
      <c r="B426">
        <v>8201</v>
      </c>
      <c r="C426" t="b">
        <v>1</v>
      </c>
      <c r="D426">
        <v>8088</v>
      </c>
      <c r="E426">
        <v>8134</v>
      </c>
      <c r="F426">
        <v>233.8</v>
      </c>
      <c r="G426">
        <v>225</v>
      </c>
      <c r="H426">
        <v>1.0391111</v>
      </c>
      <c r="I426">
        <v>-3.9111126000000003E-2</v>
      </c>
      <c r="J426">
        <v>0.49040980000000001</v>
      </c>
    </row>
    <row r="427" spans="1:10" x14ac:dyDescent="0.3">
      <c r="A427">
        <v>425</v>
      </c>
      <c r="B427">
        <v>8232</v>
      </c>
      <c r="C427" t="b">
        <v>1</v>
      </c>
      <c r="D427">
        <v>8106</v>
      </c>
      <c r="E427">
        <v>8134</v>
      </c>
      <c r="F427">
        <v>234.93333000000001</v>
      </c>
      <c r="G427">
        <v>224.6</v>
      </c>
      <c r="H427">
        <v>1.0460077999999999</v>
      </c>
      <c r="I427">
        <v>-4.6007693000000002E-2</v>
      </c>
      <c r="J427">
        <v>0.48875675000000002</v>
      </c>
    </row>
    <row r="428" spans="1:10" x14ac:dyDescent="0.3">
      <c r="A428">
        <v>426</v>
      </c>
      <c r="B428">
        <v>8264</v>
      </c>
      <c r="C428" t="b">
        <v>1</v>
      </c>
      <c r="D428">
        <v>8094</v>
      </c>
      <c r="E428">
        <v>8158</v>
      </c>
      <c r="F428">
        <v>236.06666999999999</v>
      </c>
      <c r="G428">
        <v>224.2</v>
      </c>
      <c r="H428">
        <v>1.0529288999999999</v>
      </c>
      <c r="I428">
        <v>-5.2928942999999999E-2</v>
      </c>
      <c r="J428">
        <v>0.48710892</v>
      </c>
    </row>
    <row r="429" spans="1:10" x14ac:dyDescent="0.3">
      <c r="A429">
        <v>427</v>
      </c>
      <c r="B429">
        <v>8296</v>
      </c>
      <c r="C429" t="b">
        <v>1</v>
      </c>
      <c r="D429">
        <v>8071</v>
      </c>
      <c r="E429">
        <v>8140</v>
      </c>
      <c r="F429">
        <v>237.2</v>
      </c>
      <c r="G429">
        <v>223.4</v>
      </c>
      <c r="H429">
        <v>1.0617726000000001</v>
      </c>
      <c r="I429">
        <v>-6.1772621999999999E-2</v>
      </c>
      <c r="J429">
        <v>0.48501956000000002</v>
      </c>
    </row>
    <row r="430" spans="1:10" x14ac:dyDescent="0.3">
      <c r="A430">
        <v>428</v>
      </c>
      <c r="B430">
        <v>8328</v>
      </c>
      <c r="C430" t="b">
        <v>1</v>
      </c>
      <c r="D430">
        <v>8054</v>
      </c>
      <c r="E430">
        <v>8146</v>
      </c>
      <c r="F430">
        <v>238.73334</v>
      </c>
      <c r="G430">
        <v>223</v>
      </c>
      <c r="H430">
        <v>1.0705530999999999</v>
      </c>
      <c r="I430">
        <v>-7.0553080000000004E-2</v>
      </c>
      <c r="J430">
        <v>0.48296275999999999</v>
      </c>
    </row>
    <row r="431" spans="1:10" x14ac:dyDescent="0.3">
      <c r="A431">
        <v>429</v>
      </c>
      <c r="B431">
        <v>8358</v>
      </c>
      <c r="C431" t="b">
        <v>1</v>
      </c>
      <c r="D431">
        <v>8060</v>
      </c>
      <c r="E431">
        <v>8146</v>
      </c>
      <c r="F431">
        <v>239.13333</v>
      </c>
      <c r="G431">
        <v>223</v>
      </c>
      <c r="H431">
        <v>1.0723468</v>
      </c>
      <c r="I431">
        <v>-7.2346779999999999E-2</v>
      </c>
      <c r="J431">
        <v>0.48254471999999998</v>
      </c>
    </row>
    <row r="432" spans="1:10" x14ac:dyDescent="0.3">
      <c r="A432">
        <v>430</v>
      </c>
      <c r="B432">
        <v>8374</v>
      </c>
      <c r="C432" t="b">
        <v>1</v>
      </c>
      <c r="D432">
        <v>8054</v>
      </c>
      <c r="E432">
        <v>8140</v>
      </c>
      <c r="F432">
        <v>238.4</v>
      </c>
      <c r="G432">
        <v>223.4</v>
      </c>
      <c r="H432">
        <v>1.0671442</v>
      </c>
      <c r="I432">
        <v>-6.7144140000000005E-2</v>
      </c>
      <c r="J432">
        <v>0.4837592</v>
      </c>
    </row>
    <row r="433" spans="1:10" x14ac:dyDescent="0.3">
      <c r="A433">
        <v>431</v>
      </c>
      <c r="B433">
        <v>8406</v>
      </c>
      <c r="C433" t="b">
        <v>1</v>
      </c>
      <c r="D433">
        <v>8083</v>
      </c>
      <c r="E433">
        <v>8123</v>
      </c>
      <c r="F433">
        <v>236.86667</v>
      </c>
      <c r="G433">
        <v>223.4</v>
      </c>
      <c r="H433">
        <v>1.0602806</v>
      </c>
      <c r="I433">
        <v>-6.0280550000000002E-2</v>
      </c>
      <c r="J433">
        <v>0.48537078</v>
      </c>
    </row>
    <row r="434" spans="1:10" x14ac:dyDescent="0.3">
      <c r="A434">
        <v>432</v>
      </c>
      <c r="B434">
        <v>8438</v>
      </c>
      <c r="C434" t="b">
        <v>1</v>
      </c>
      <c r="D434">
        <v>8071</v>
      </c>
      <c r="E434">
        <v>8146</v>
      </c>
      <c r="F434">
        <v>235.33332999999999</v>
      </c>
      <c r="G434">
        <v>223.8</v>
      </c>
      <c r="H434">
        <v>1.051534</v>
      </c>
      <c r="I434">
        <v>-5.1534070000000001E-2</v>
      </c>
      <c r="J434">
        <v>0.48744009999999999</v>
      </c>
    </row>
    <row r="435" spans="1:10" x14ac:dyDescent="0.3">
      <c r="A435">
        <v>433</v>
      </c>
      <c r="B435">
        <v>8454</v>
      </c>
      <c r="C435" t="b">
        <v>1</v>
      </c>
      <c r="D435">
        <v>8100</v>
      </c>
      <c r="E435">
        <v>8134</v>
      </c>
      <c r="F435">
        <v>234.53334000000001</v>
      </c>
      <c r="G435">
        <v>224.2</v>
      </c>
      <c r="H435">
        <v>1.0460898999999999</v>
      </c>
      <c r="I435">
        <v>-4.6089847000000003E-2</v>
      </c>
      <c r="J435">
        <v>0.48873707999999999</v>
      </c>
    </row>
    <row r="436" spans="1:10" x14ac:dyDescent="0.3">
      <c r="A436">
        <v>434</v>
      </c>
      <c r="B436">
        <v>8470</v>
      </c>
      <c r="C436" t="b">
        <v>1</v>
      </c>
      <c r="D436">
        <v>8083</v>
      </c>
      <c r="E436">
        <v>8134</v>
      </c>
      <c r="F436">
        <v>234.93333000000001</v>
      </c>
      <c r="G436">
        <v>224.2</v>
      </c>
      <c r="H436">
        <v>1.047874</v>
      </c>
      <c r="I436">
        <v>-4.7873939999999997E-2</v>
      </c>
      <c r="J436">
        <v>0.48831131999999999</v>
      </c>
    </row>
    <row r="437" spans="1:10" x14ac:dyDescent="0.3">
      <c r="A437">
        <v>435</v>
      </c>
      <c r="B437">
        <v>8485</v>
      </c>
      <c r="C437" t="b">
        <v>1</v>
      </c>
      <c r="D437">
        <v>8065</v>
      </c>
      <c r="E437">
        <v>8123</v>
      </c>
      <c r="F437">
        <v>235.73334</v>
      </c>
      <c r="G437">
        <v>223.8</v>
      </c>
      <c r="H437">
        <v>1.0533215</v>
      </c>
      <c r="I437">
        <v>-5.3321420000000001E-2</v>
      </c>
      <c r="J437">
        <v>0.4870158</v>
      </c>
    </row>
    <row r="438" spans="1:10" x14ac:dyDescent="0.3">
      <c r="A438">
        <v>436</v>
      </c>
      <c r="B438">
        <v>8518</v>
      </c>
      <c r="C438" t="b">
        <v>1</v>
      </c>
      <c r="D438">
        <v>8077</v>
      </c>
      <c r="E438">
        <v>8129</v>
      </c>
      <c r="F438">
        <v>236.13333</v>
      </c>
      <c r="G438">
        <v>223.4</v>
      </c>
      <c r="H438">
        <v>1.0569979</v>
      </c>
      <c r="I438">
        <v>-5.6997932000000001E-2</v>
      </c>
      <c r="J438">
        <v>0.48614534999999998</v>
      </c>
    </row>
    <row r="439" spans="1:10" x14ac:dyDescent="0.3">
      <c r="A439">
        <v>437</v>
      </c>
      <c r="B439">
        <v>8549</v>
      </c>
      <c r="C439" t="b">
        <v>1</v>
      </c>
      <c r="D439">
        <v>8042</v>
      </c>
      <c r="E439">
        <v>8158</v>
      </c>
      <c r="F439">
        <v>236.53334000000001</v>
      </c>
      <c r="G439">
        <v>223</v>
      </c>
      <c r="H439">
        <v>1.0606876999999999</v>
      </c>
      <c r="I439">
        <v>-6.0687624000000003E-2</v>
      </c>
      <c r="J439">
        <v>0.48527490000000001</v>
      </c>
    </row>
    <row r="440" spans="1:10" x14ac:dyDescent="0.3">
      <c r="A440">
        <v>438</v>
      </c>
      <c r="B440">
        <v>8580</v>
      </c>
      <c r="C440" t="b">
        <v>1</v>
      </c>
      <c r="D440">
        <v>8071</v>
      </c>
      <c r="E440">
        <v>8129</v>
      </c>
      <c r="F440">
        <v>236.53334000000001</v>
      </c>
      <c r="G440">
        <v>222.26666</v>
      </c>
      <c r="H440">
        <v>1.0641872000000001</v>
      </c>
      <c r="I440">
        <v>-6.4187214000000006E-2</v>
      </c>
      <c r="J440">
        <v>0.4844522</v>
      </c>
    </row>
    <row r="441" spans="1:10" x14ac:dyDescent="0.3">
      <c r="A441">
        <v>439</v>
      </c>
      <c r="B441">
        <v>8612</v>
      </c>
      <c r="C441" t="b">
        <v>1</v>
      </c>
      <c r="D441">
        <v>8088</v>
      </c>
      <c r="E441">
        <v>8117</v>
      </c>
      <c r="F441">
        <v>235.73334</v>
      </c>
      <c r="G441">
        <v>221.93333000000001</v>
      </c>
      <c r="H441">
        <v>1.0621809</v>
      </c>
      <c r="I441">
        <v>-6.2180846999999997E-2</v>
      </c>
      <c r="J441">
        <v>0.48492350000000001</v>
      </c>
    </row>
    <row r="442" spans="1:10" x14ac:dyDescent="0.3">
      <c r="A442">
        <v>440</v>
      </c>
      <c r="B442">
        <v>8643</v>
      </c>
      <c r="C442" t="b">
        <v>1</v>
      </c>
      <c r="D442">
        <v>8065</v>
      </c>
      <c r="E442">
        <v>8134</v>
      </c>
      <c r="F442">
        <v>234.6</v>
      </c>
      <c r="G442">
        <v>221.6</v>
      </c>
      <c r="H442">
        <v>1.0586641999999999</v>
      </c>
      <c r="I442">
        <v>-5.8664260000000003E-2</v>
      </c>
      <c r="J442">
        <v>0.48575186999999997</v>
      </c>
    </row>
    <row r="443" spans="1:10" x14ac:dyDescent="0.3">
      <c r="A443">
        <v>441</v>
      </c>
      <c r="B443">
        <v>8675</v>
      </c>
      <c r="C443" t="b">
        <v>1</v>
      </c>
      <c r="D443">
        <v>8054</v>
      </c>
      <c r="E443">
        <v>8152</v>
      </c>
      <c r="F443">
        <v>233.06666999999999</v>
      </c>
      <c r="G443">
        <v>221.6</v>
      </c>
      <c r="H443">
        <v>1.0517448</v>
      </c>
      <c r="I443">
        <v>-5.1744852000000001E-2</v>
      </c>
      <c r="J443">
        <v>0.48738999999999999</v>
      </c>
    </row>
    <row r="444" spans="1:10" x14ac:dyDescent="0.3">
      <c r="A444">
        <v>442</v>
      </c>
      <c r="B444">
        <v>8707</v>
      </c>
      <c r="C444" t="b">
        <v>1</v>
      </c>
      <c r="D444">
        <v>8111</v>
      </c>
      <c r="E444">
        <v>8140</v>
      </c>
      <c r="F444">
        <v>231.93333000000001</v>
      </c>
      <c r="G444">
        <v>221.6</v>
      </c>
      <c r="H444">
        <v>1.0466305</v>
      </c>
      <c r="I444">
        <v>-4.6630543000000003E-2</v>
      </c>
      <c r="J444">
        <v>0.48860799999999999</v>
      </c>
    </row>
    <row r="445" spans="1:10" x14ac:dyDescent="0.3">
      <c r="A445">
        <v>443</v>
      </c>
      <c r="B445">
        <v>8737</v>
      </c>
      <c r="C445" t="b">
        <v>1</v>
      </c>
      <c r="D445">
        <v>8054</v>
      </c>
      <c r="E445">
        <v>8170</v>
      </c>
      <c r="F445">
        <v>230.4</v>
      </c>
      <c r="G445">
        <v>221.6</v>
      </c>
      <c r="H445">
        <v>1.0397111000000001</v>
      </c>
      <c r="I445">
        <v>-3.9711136000000001E-2</v>
      </c>
      <c r="J445">
        <v>0.49026550000000002</v>
      </c>
    </row>
    <row r="446" spans="1:10" x14ac:dyDescent="0.3">
      <c r="A446">
        <v>444</v>
      </c>
      <c r="B446">
        <v>8753</v>
      </c>
      <c r="C446" t="b">
        <v>1</v>
      </c>
      <c r="D446">
        <v>8083</v>
      </c>
      <c r="E446">
        <v>8158</v>
      </c>
      <c r="F446">
        <v>230</v>
      </c>
      <c r="G446">
        <v>222</v>
      </c>
      <c r="H446">
        <v>1.036036</v>
      </c>
      <c r="I446">
        <v>-3.6036037E-2</v>
      </c>
      <c r="J446">
        <v>0.49115044000000002</v>
      </c>
    </row>
    <row r="447" spans="1:10" x14ac:dyDescent="0.3">
      <c r="A447">
        <v>445</v>
      </c>
      <c r="B447">
        <v>8785</v>
      </c>
      <c r="C447" t="b">
        <v>1</v>
      </c>
      <c r="D447">
        <v>8065</v>
      </c>
      <c r="E447">
        <v>8134</v>
      </c>
      <c r="F447">
        <v>230.33332999999999</v>
      </c>
      <c r="G447">
        <v>222.4</v>
      </c>
      <c r="H447">
        <v>1.0356715000000001</v>
      </c>
      <c r="I447">
        <v>-3.5671469999999997E-2</v>
      </c>
      <c r="J447">
        <v>0.49123840000000002</v>
      </c>
    </row>
    <row r="448" spans="1:10" x14ac:dyDescent="0.3">
      <c r="A448">
        <v>446</v>
      </c>
      <c r="B448">
        <v>8817</v>
      </c>
      <c r="C448" t="b">
        <v>1</v>
      </c>
      <c r="D448">
        <v>8065</v>
      </c>
      <c r="E448">
        <v>8111</v>
      </c>
      <c r="F448">
        <v>230.66667000000001</v>
      </c>
      <c r="G448">
        <v>222.4</v>
      </c>
      <c r="H448">
        <v>1.0371703000000001</v>
      </c>
      <c r="I448">
        <v>-3.7170313000000003E-2</v>
      </c>
      <c r="J448">
        <v>0.49087700000000001</v>
      </c>
    </row>
    <row r="449" spans="1:10" x14ac:dyDescent="0.3">
      <c r="A449">
        <v>447</v>
      </c>
      <c r="B449">
        <v>8848</v>
      </c>
      <c r="C449" t="b">
        <v>1</v>
      </c>
      <c r="D449">
        <v>8065</v>
      </c>
      <c r="E449">
        <v>8146</v>
      </c>
      <c r="F449">
        <v>231</v>
      </c>
      <c r="G449">
        <v>222.4</v>
      </c>
      <c r="H449">
        <v>1.0386690999999999</v>
      </c>
      <c r="I449">
        <v>-3.8669094000000001E-2</v>
      </c>
      <c r="J449">
        <v>0.49051610000000001</v>
      </c>
    </row>
    <row r="450" spans="1:10" x14ac:dyDescent="0.3">
      <c r="A450">
        <v>448</v>
      </c>
      <c r="B450">
        <v>8864</v>
      </c>
      <c r="C450" t="b">
        <v>1</v>
      </c>
      <c r="D450">
        <v>8065</v>
      </c>
      <c r="E450">
        <v>8146</v>
      </c>
      <c r="F450">
        <v>230.6</v>
      </c>
      <c r="G450">
        <v>222.8</v>
      </c>
      <c r="H450">
        <v>1.0350090000000001</v>
      </c>
      <c r="I450">
        <v>-3.5008989999999997E-2</v>
      </c>
      <c r="J450">
        <v>0.49139830000000001</v>
      </c>
    </row>
    <row r="451" spans="1:10" x14ac:dyDescent="0.3">
      <c r="A451">
        <v>449</v>
      </c>
      <c r="B451">
        <v>8895</v>
      </c>
      <c r="C451" t="b">
        <v>1</v>
      </c>
      <c r="D451">
        <v>8023</v>
      </c>
      <c r="E451">
        <v>8129</v>
      </c>
      <c r="F451">
        <v>229.4</v>
      </c>
      <c r="G451">
        <v>222.8</v>
      </c>
      <c r="H451">
        <v>1.0296228999999999</v>
      </c>
      <c r="I451">
        <v>-2.9622938000000001E-2</v>
      </c>
      <c r="J451">
        <v>0.49270234000000002</v>
      </c>
    </row>
    <row r="452" spans="1:10" x14ac:dyDescent="0.3">
      <c r="A452">
        <v>450</v>
      </c>
      <c r="B452">
        <v>8927</v>
      </c>
      <c r="C452" t="b">
        <v>1</v>
      </c>
      <c r="D452">
        <v>8083</v>
      </c>
      <c r="E452">
        <v>8129</v>
      </c>
      <c r="F452">
        <v>228.2</v>
      </c>
      <c r="G452">
        <v>222.46665999999999</v>
      </c>
      <c r="H452">
        <v>1.0257715999999999</v>
      </c>
      <c r="I452">
        <v>-2.577167E-2</v>
      </c>
      <c r="J452">
        <v>0.49363905000000002</v>
      </c>
    </row>
    <row r="453" spans="1:10" x14ac:dyDescent="0.3">
      <c r="A453">
        <v>451</v>
      </c>
      <c r="B453">
        <v>8959</v>
      </c>
      <c r="C453" t="b">
        <v>1</v>
      </c>
      <c r="D453">
        <v>8060</v>
      </c>
      <c r="E453">
        <v>8129</v>
      </c>
      <c r="F453">
        <v>227.4</v>
      </c>
      <c r="G453">
        <v>222.13333</v>
      </c>
      <c r="H453">
        <v>1.0237094</v>
      </c>
      <c r="I453">
        <v>-2.3709464999999999E-2</v>
      </c>
      <c r="J453">
        <v>0.49414209999999997</v>
      </c>
    </row>
    <row r="454" spans="1:10" x14ac:dyDescent="0.3">
      <c r="A454">
        <v>452</v>
      </c>
      <c r="B454">
        <v>8975</v>
      </c>
      <c r="C454" t="b">
        <v>1</v>
      </c>
      <c r="D454">
        <v>8071</v>
      </c>
      <c r="E454">
        <v>8117</v>
      </c>
      <c r="F454">
        <v>226.6</v>
      </c>
      <c r="G454">
        <v>221.8</v>
      </c>
      <c r="H454">
        <v>1.0216411000000001</v>
      </c>
      <c r="I454">
        <v>-2.1641131000000001E-2</v>
      </c>
      <c r="J454">
        <v>0.49464762000000001</v>
      </c>
    </row>
    <row r="455" spans="1:10" x14ac:dyDescent="0.3">
      <c r="A455">
        <v>453</v>
      </c>
      <c r="B455">
        <v>9006</v>
      </c>
      <c r="C455" t="b">
        <v>1</v>
      </c>
      <c r="D455">
        <v>8094</v>
      </c>
      <c r="E455">
        <v>8176</v>
      </c>
      <c r="F455">
        <v>226.6</v>
      </c>
      <c r="G455">
        <v>221.8</v>
      </c>
      <c r="H455">
        <v>1.0216411000000001</v>
      </c>
      <c r="I455">
        <v>-2.1641131000000001E-2</v>
      </c>
      <c r="J455">
        <v>0.49464762000000001</v>
      </c>
    </row>
    <row r="456" spans="1:10" x14ac:dyDescent="0.3">
      <c r="A456">
        <v>454</v>
      </c>
      <c r="B456">
        <v>9038</v>
      </c>
      <c r="C456" t="b">
        <v>1</v>
      </c>
      <c r="D456">
        <v>8065</v>
      </c>
      <c r="E456">
        <v>8152</v>
      </c>
      <c r="F456">
        <v>226.6</v>
      </c>
      <c r="G456">
        <v>221.8</v>
      </c>
      <c r="H456">
        <v>1.0216411000000001</v>
      </c>
      <c r="I456">
        <v>-2.1641131000000001E-2</v>
      </c>
      <c r="J456">
        <v>0.49464762000000001</v>
      </c>
    </row>
    <row r="457" spans="1:10" x14ac:dyDescent="0.3">
      <c r="A457">
        <v>455</v>
      </c>
      <c r="B457">
        <v>9068</v>
      </c>
      <c r="C457" t="b">
        <v>1</v>
      </c>
      <c r="D457">
        <v>8077</v>
      </c>
      <c r="E457">
        <v>8140</v>
      </c>
      <c r="F457">
        <v>226.6</v>
      </c>
      <c r="G457">
        <v>222.53334000000001</v>
      </c>
      <c r="H457">
        <v>1.0182743999999999</v>
      </c>
      <c r="I457">
        <v>-1.8274412E-2</v>
      </c>
      <c r="J457">
        <v>0.49547276000000001</v>
      </c>
    </row>
    <row r="458" spans="1:10" x14ac:dyDescent="0.3">
      <c r="A458">
        <v>456</v>
      </c>
      <c r="B458">
        <v>9084</v>
      </c>
      <c r="C458" t="b">
        <v>1</v>
      </c>
      <c r="D458">
        <v>8083</v>
      </c>
      <c r="E458">
        <v>8176</v>
      </c>
      <c r="F458">
        <v>227.4</v>
      </c>
      <c r="G458">
        <v>223.73334</v>
      </c>
      <c r="H458">
        <v>1.0163884999999999</v>
      </c>
      <c r="I458">
        <v>-1.6388511000000001E-2</v>
      </c>
      <c r="J458">
        <v>0.49593619999999999</v>
      </c>
    </row>
    <row r="459" spans="1:10" x14ac:dyDescent="0.3">
      <c r="A459">
        <v>457</v>
      </c>
      <c r="B459">
        <v>9117</v>
      </c>
      <c r="C459" t="b">
        <v>1</v>
      </c>
      <c r="D459">
        <v>8060</v>
      </c>
      <c r="E459">
        <v>8129</v>
      </c>
      <c r="F459">
        <v>227.8</v>
      </c>
      <c r="G459">
        <v>224.93333000000001</v>
      </c>
      <c r="H459">
        <v>1.0127444999999999</v>
      </c>
      <c r="I459">
        <v>-1.2744525E-2</v>
      </c>
      <c r="J459">
        <v>0.49683403999999998</v>
      </c>
    </row>
    <row r="460" spans="1:10" x14ac:dyDescent="0.3">
      <c r="A460">
        <v>458</v>
      </c>
      <c r="B460">
        <v>9148</v>
      </c>
      <c r="C460" t="b">
        <v>1</v>
      </c>
      <c r="D460">
        <v>8083</v>
      </c>
      <c r="E460">
        <v>8140</v>
      </c>
      <c r="F460">
        <v>228.6</v>
      </c>
      <c r="G460">
        <v>224.93333000000001</v>
      </c>
      <c r="H460">
        <v>1.0163012</v>
      </c>
      <c r="I460">
        <v>-1.630115E-2</v>
      </c>
      <c r="J460">
        <v>0.49595767000000002</v>
      </c>
    </row>
    <row r="461" spans="1:10" x14ac:dyDescent="0.3">
      <c r="A461">
        <v>459</v>
      </c>
      <c r="B461">
        <v>9164</v>
      </c>
      <c r="C461" t="b">
        <v>1</v>
      </c>
      <c r="D461">
        <v>8111</v>
      </c>
      <c r="E461">
        <v>8129</v>
      </c>
      <c r="F461">
        <v>229.8</v>
      </c>
      <c r="G461">
        <v>224.13333</v>
      </c>
      <c r="H461">
        <v>1.0252825999999999</v>
      </c>
      <c r="I461">
        <v>-2.5282592999999999E-2</v>
      </c>
      <c r="J461">
        <v>0.49375823000000002</v>
      </c>
    </row>
    <row r="462" spans="1:10" x14ac:dyDescent="0.3">
      <c r="A462">
        <v>460</v>
      </c>
      <c r="B462">
        <v>9180</v>
      </c>
      <c r="C462" t="b">
        <v>1</v>
      </c>
      <c r="D462">
        <v>8060</v>
      </c>
      <c r="E462">
        <v>8117</v>
      </c>
      <c r="F462">
        <v>231</v>
      </c>
      <c r="G462">
        <v>222.6</v>
      </c>
      <c r="H462">
        <v>1.0377358000000001</v>
      </c>
      <c r="I462">
        <v>-3.7735820000000003E-2</v>
      </c>
      <c r="J462">
        <v>0.49074075</v>
      </c>
    </row>
    <row r="463" spans="1:10" x14ac:dyDescent="0.3">
      <c r="A463">
        <v>461</v>
      </c>
      <c r="B463">
        <v>9196</v>
      </c>
      <c r="C463" t="b">
        <v>1</v>
      </c>
      <c r="D463">
        <v>8060</v>
      </c>
      <c r="E463">
        <v>8093</v>
      </c>
      <c r="F463">
        <v>230.66667000000001</v>
      </c>
      <c r="G463">
        <v>221.86667</v>
      </c>
      <c r="H463">
        <v>1.0396634</v>
      </c>
      <c r="I463">
        <v>-3.9663474999999997E-2</v>
      </c>
      <c r="J463">
        <v>0.49027695999999998</v>
      </c>
    </row>
    <row r="464" spans="1:10" x14ac:dyDescent="0.3">
      <c r="A464">
        <v>462</v>
      </c>
      <c r="B464">
        <v>9211</v>
      </c>
      <c r="C464" t="b">
        <v>1</v>
      </c>
      <c r="D464">
        <v>8060</v>
      </c>
      <c r="E464">
        <v>8117</v>
      </c>
      <c r="F464">
        <v>230.33332999999999</v>
      </c>
      <c r="G464">
        <v>219.93333000000001</v>
      </c>
      <c r="H464">
        <v>1.0472870000000001</v>
      </c>
      <c r="I464">
        <v>-4.7287030000000001E-2</v>
      </c>
      <c r="J464">
        <v>0.48845129999999998</v>
      </c>
    </row>
    <row r="465" spans="1:10" x14ac:dyDescent="0.3">
      <c r="A465">
        <v>463</v>
      </c>
      <c r="B465">
        <v>9227</v>
      </c>
      <c r="C465" t="b">
        <v>1</v>
      </c>
      <c r="D465">
        <v>8083</v>
      </c>
      <c r="E465">
        <v>8117</v>
      </c>
      <c r="F465">
        <v>230</v>
      </c>
      <c r="G465">
        <v>218</v>
      </c>
      <c r="H465">
        <v>1.0550458</v>
      </c>
      <c r="I465">
        <v>-5.5045873000000002E-2</v>
      </c>
      <c r="J465">
        <v>0.48660713</v>
      </c>
    </row>
    <row r="466" spans="1:10" x14ac:dyDescent="0.3">
      <c r="A466">
        <v>464</v>
      </c>
      <c r="B466">
        <v>9243</v>
      </c>
      <c r="C466" t="b">
        <v>1</v>
      </c>
      <c r="D466">
        <v>8088</v>
      </c>
      <c r="E466">
        <v>8140</v>
      </c>
      <c r="F466">
        <v>229.66667000000001</v>
      </c>
      <c r="G466">
        <v>216.86667</v>
      </c>
      <c r="H466">
        <v>1.0590223999999999</v>
      </c>
      <c r="I466">
        <v>-5.9022453000000002E-2</v>
      </c>
      <c r="J466">
        <v>0.48566737999999998</v>
      </c>
    </row>
    <row r="467" spans="1:10" x14ac:dyDescent="0.3">
      <c r="A467">
        <v>465</v>
      </c>
      <c r="B467">
        <v>9259</v>
      </c>
      <c r="C467" t="b">
        <v>1</v>
      </c>
      <c r="D467">
        <v>8088</v>
      </c>
      <c r="E467">
        <v>8152</v>
      </c>
      <c r="F467">
        <v>230.86667</v>
      </c>
      <c r="G467">
        <v>216.06666999999999</v>
      </c>
      <c r="H467">
        <v>1.0684974</v>
      </c>
      <c r="I467">
        <v>-6.8497390000000005E-2</v>
      </c>
      <c r="J467">
        <v>0.4834427</v>
      </c>
    </row>
    <row r="468" spans="1:10" x14ac:dyDescent="0.3">
      <c r="A468">
        <v>466</v>
      </c>
      <c r="B468">
        <v>9276</v>
      </c>
      <c r="C468" t="b">
        <v>1</v>
      </c>
      <c r="D468">
        <v>8071</v>
      </c>
      <c r="E468">
        <v>8146</v>
      </c>
      <c r="F468">
        <v>232.06666999999999</v>
      </c>
      <c r="G468">
        <v>216.8</v>
      </c>
      <c r="H468">
        <v>1.0704182</v>
      </c>
      <c r="I468">
        <v>-7.0418190000000006E-2</v>
      </c>
      <c r="J468">
        <v>0.48299419999999998</v>
      </c>
    </row>
    <row r="469" spans="1:10" x14ac:dyDescent="0.3">
      <c r="A469">
        <v>467</v>
      </c>
      <c r="B469">
        <v>9291</v>
      </c>
      <c r="C469" t="b">
        <v>1</v>
      </c>
      <c r="D469">
        <v>8088</v>
      </c>
      <c r="E469">
        <v>8152</v>
      </c>
      <c r="F469">
        <v>233.6</v>
      </c>
      <c r="G469">
        <v>217.93333000000001</v>
      </c>
      <c r="H469">
        <v>1.0718875000000001</v>
      </c>
      <c r="I469">
        <v>-7.1887450000000006E-2</v>
      </c>
      <c r="J469">
        <v>0.48265170000000002</v>
      </c>
    </row>
    <row r="470" spans="1:10" x14ac:dyDescent="0.3">
      <c r="A470">
        <v>468</v>
      </c>
      <c r="B470">
        <v>9307</v>
      </c>
      <c r="C470" t="b">
        <v>1</v>
      </c>
      <c r="D470">
        <v>8060</v>
      </c>
      <c r="E470">
        <v>8117</v>
      </c>
      <c r="F470">
        <v>234.73334</v>
      </c>
      <c r="G470">
        <v>219.06666999999999</v>
      </c>
      <c r="H470">
        <v>1.0715155999999999</v>
      </c>
      <c r="I470">
        <v>-7.1515545E-2</v>
      </c>
      <c r="J470">
        <v>0.48273838000000002</v>
      </c>
    </row>
    <row r="471" spans="1:10" x14ac:dyDescent="0.3">
      <c r="A471">
        <v>469</v>
      </c>
      <c r="B471">
        <v>9323</v>
      </c>
      <c r="C471" t="b">
        <v>1</v>
      </c>
      <c r="D471">
        <v>8065</v>
      </c>
      <c r="E471">
        <v>8134</v>
      </c>
      <c r="F471">
        <v>234.73334</v>
      </c>
      <c r="G471">
        <v>220.2</v>
      </c>
      <c r="H471">
        <v>1.0660006</v>
      </c>
      <c r="I471">
        <v>-6.6000639999999999E-2</v>
      </c>
      <c r="J471">
        <v>0.48402694000000002</v>
      </c>
    </row>
    <row r="472" spans="1:10" x14ac:dyDescent="0.3">
      <c r="A472">
        <v>470</v>
      </c>
      <c r="B472">
        <v>9339</v>
      </c>
      <c r="C472" t="b">
        <v>1</v>
      </c>
      <c r="D472">
        <v>8060</v>
      </c>
      <c r="E472">
        <v>8146</v>
      </c>
      <c r="F472">
        <v>234.33332999999999</v>
      </c>
      <c r="G472">
        <v>220.6</v>
      </c>
      <c r="H472">
        <v>1.0622544</v>
      </c>
      <c r="I472">
        <v>-6.2254406999999998E-2</v>
      </c>
      <c r="J472">
        <v>0.48490620000000001</v>
      </c>
    </row>
    <row r="473" spans="1:10" x14ac:dyDescent="0.3">
      <c r="A473">
        <v>471</v>
      </c>
      <c r="B473">
        <v>9355</v>
      </c>
      <c r="C473" t="b">
        <v>1</v>
      </c>
      <c r="D473">
        <v>8048</v>
      </c>
      <c r="E473">
        <v>8146</v>
      </c>
      <c r="F473">
        <v>233.2</v>
      </c>
      <c r="G473">
        <v>220.2</v>
      </c>
      <c r="H473">
        <v>1.0590371999999999</v>
      </c>
      <c r="I473">
        <v>-5.9037239999999998E-2</v>
      </c>
      <c r="J473">
        <v>0.48566386</v>
      </c>
    </row>
    <row r="474" spans="1:10" x14ac:dyDescent="0.3">
      <c r="A474">
        <v>472</v>
      </c>
      <c r="B474">
        <v>9386</v>
      </c>
      <c r="C474" t="b">
        <v>1</v>
      </c>
      <c r="D474">
        <v>8048</v>
      </c>
      <c r="E474">
        <v>8129</v>
      </c>
      <c r="F474">
        <v>232.06666999999999</v>
      </c>
      <c r="G474">
        <v>219</v>
      </c>
      <c r="H474">
        <v>1.0596650999999999</v>
      </c>
      <c r="I474">
        <v>-5.9665139999999998E-2</v>
      </c>
      <c r="J474">
        <v>0.48551582999999998</v>
      </c>
    </row>
    <row r="475" spans="1:10" x14ac:dyDescent="0.3">
      <c r="A475">
        <v>473</v>
      </c>
      <c r="B475">
        <v>9402</v>
      </c>
      <c r="C475" t="b">
        <v>1</v>
      </c>
      <c r="D475">
        <v>8065</v>
      </c>
      <c r="E475">
        <v>8146</v>
      </c>
      <c r="F475">
        <v>230.93333000000001</v>
      </c>
      <c r="G475">
        <v>219.4</v>
      </c>
      <c r="H475">
        <v>1.0525675999999999</v>
      </c>
      <c r="I475">
        <v>-5.2567641999999998E-2</v>
      </c>
      <c r="J475">
        <v>0.48719469999999998</v>
      </c>
    </row>
    <row r="476" spans="1:10" x14ac:dyDescent="0.3">
      <c r="A476">
        <v>474</v>
      </c>
      <c r="B476">
        <v>9434</v>
      </c>
      <c r="C476" t="b">
        <v>1</v>
      </c>
      <c r="D476">
        <v>8030</v>
      </c>
      <c r="E476">
        <v>8140</v>
      </c>
      <c r="F476">
        <v>228.6</v>
      </c>
      <c r="G476">
        <v>219.8</v>
      </c>
      <c r="H476">
        <v>1.0400364</v>
      </c>
      <c r="I476">
        <v>-4.0036410000000001E-2</v>
      </c>
      <c r="J476">
        <v>0.49018731999999998</v>
      </c>
    </row>
    <row r="477" spans="1:10" x14ac:dyDescent="0.3">
      <c r="A477">
        <v>475</v>
      </c>
      <c r="B477">
        <v>9450</v>
      </c>
      <c r="C477" t="b">
        <v>1</v>
      </c>
      <c r="D477">
        <v>8071</v>
      </c>
      <c r="E477">
        <v>8152</v>
      </c>
      <c r="F477">
        <v>226.26666</v>
      </c>
      <c r="G477">
        <v>220.93333000000001</v>
      </c>
      <c r="H477">
        <v>1.0241400000000001</v>
      </c>
      <c r="I477">
        <v>-2.413999E-2</v>
      </c>
      <c r="J477">
        <v>0.49403697000000002</v>
      </c>
    </row>
    <row r="478" spans="1:10" x14ac:dyDescent="0.3">
      <c r="A478">
        <v>476</v>
      </c>
      <c r="B478">
        <v>9466</v>
      </c>
      <c r="C478" t="b">
        <v>1</v>
      </c>
      <c r="D478">
        <v>8088</v>
      </c>
      <c r="E478">
        <v>8129</v>
      </c>
      <c r="F478">
        <v>226.6</v>
      </c>
      <c r="G478">
        <v>221.66667000000001</v>
      </c>
      <c r="H478">
        <v>1.0222557000000001</v>
      </c>
      <c r="I478">
        <v>-2.2255641999999999E-2</v>
      </c>
      <c r="J478">
        <v>0.49449733000000001</v>
      </c>
    </row>
    <row r="479" spans="1:10" x14ac:dyDescent="0.3">
      <c r="A479">
        <v>477</v>
      </c>
      <c r="B479">
        <v>9481</v>
      </c>
      <c r="C479" t="b">
        <v>1</v>
      </c>
      <c r="D479">
        <v>8071</v>
      </c>
      <c r="E479">
        <v>8146</v>
      </c>
      <c r="F479">
        <v>227.33332999999999</v>
      </c>
      <c r="G479">
        <v>223.6</v>
      </c>
      <c r="H479">
        <v>1.0166964999999999</v>
      </c>
      <c r="I479">
        <v>-1.6696430000000002E-2</v>
      </c>
      <c r="J479">
        <v>0.49586043000000002</v>
      </c>
    </row>
    <row r="480" spans="1:10" x14ac:dyDescent="0.3">
      <c r="A480">
        <v>478</v>
      </c>
      <c r="B480">
        <v>9497</v>
      </c>
      <c r="C480" t="b">
        <v>1</v>
      </c>
      <c r="D480">
        <v>8088</v>
      </c>
      <c r="E480">
        <v>8140</v>
      </c>
      <c r="F480">
        <v>228.06666999999999</v>
      </c>
      <c r="G480">
        <v>225.13333</v>
      </c>
      <c r="H480">
        <v>1.0130292999999999</v>
      </c>
      <c r="I480">
        <v>-1.302932E-2</v>
      </c>
      <c r="J480">
        <v>0.49676374000000001</v>
      </c>
    </row>
    <row r="481" spans="1:10" x14ac:dyDescent="0.3">
      <c r="A481">
        <v>479</v>
      </c>
      <c r="B481">
        <v>9513</v>
      </c>
      <c r="C481" t="b">
        <v>1</v>
      </c>
      <c r="D481">
        <v>8088</v>
      </c>
      <c r="E481">
        <v>8117</v>
      </c>
      <c r="F481">
        <v>229.93333000000001</v>
      </c>
      <c r="G481">
        <v>226.66667000000001</v>
      </c>
      <c r="H481">
        <v>1.0144116999999999</v>
      </c>
      <c r="I481">
        <v>-1.4411746499999999E-2</v>
      </c>
      <c r="J481">
        <v>0.49642282999999998</v>
      </c>
    </row>
    <row r="482" spans="1:10" x14ac:dyDescent="0.3">
      <c r="A482">
        <v>480</v>
      </c>
      <c r="B482">
        <v>9529</v>
      </c>
      <c r="C482" t="b">
        <v>1</v>
      </c>
      <c r="D482">
        <v>8077</v>
      </c>
      <c r="E482">
        <v>8140</v>
      </c>
      <c r="F482">
        <v>230.26666</v>
      </c>
      <c r="G482">
        <v>228.2</v>
      </c>
      <c r="H482">
        <v>1.0090562999999999</v>
      </c>
      <c r="I482">
        <v>-9.0563789999999998E-3</v>
      </c>
      <c r="J482">
        <v>0.49774607999999998</v>
      </c>
    </row>
    <row r="483" spans="1:10" x14ac:dyDescent="0.3">
      <c r="A483">
        <v>481</v>
      </c>
      <c r="B483">
        <v>9545</v>
      </c>
      <c r="C483" t="b">
        <v>1</v>
      </c>
      <c r="D483">
        <v>8060</v>
      </c>
      <c r="E483">
        <v>8152</v>
      </c>
      <c r="F483">
        <v>229.86667</v>
      </c>
      <c r="G483">
        <v>228.2</v>
      </c>
      <c r="H483">
        <v>1.0073036</v>
      </c>
      <c r="I483">
        <v>-7.3035573999999997E-3</v>
      </c>
      <c r="J483">
        <v>0.49818077999999999</v>
      </c>
    </row>
    <row r="484" spans="1:10" x14ac:dyDescent="0.3">
      <c r="A484">
        <v>482</v>
      </c>
      <c r="B484">
        <v>9560</v>
      </c>
      <c r="C484" t="b">
        <v>1</v>
      </c>
      <c r="D484">
        <v>8065</v>
      </c>
      <c r="E484">
        <v>8164</v>
      </c>
      <c r="F484">
        <v>229.13333</v>
      </c>
      <c r="G484">
        <v>227.8</v>
      </c>
      <c r="H484">
        <v>1.0058530000000001</v>
      </c>
      <c r="I484">
        <v>-5.8530652999999998E-3</v>
      </c>
      <c r="J484">
        <v>0.49854100000000001</v>
      </c>
    </row>
    <row r="485" spans="1:10" x14ac:dyDescent="0.3">
      <c r="A485">
        <v>483</v>
      </c>
      <c r="B485">
        <v>9576</v>
      </c>
      <c r="C485" t="b">
        <v>1</v>
      </c>
      <c r="D485">
        <v>8077</v>
      </c>
      <c r="E485">
        <v>8134</v>
      </c>
      <c r="F485">
        <v>228.4</v>
      </c>
      <c r="G485">
        <v>227.4</v>
      </c>
      <c r="H485">
        <v>1.0043975000000001</v>
      </c>
      <c r="I485">
        <v>-4.3975376000000002E-3</v>
      </c>
      <c r="J485">
        <v>0.49890304000000002</v>
      </c>
    </row>
    <row r="486" spans="1:10" x14ac:dyDescent="0.3">
      <c r="A486">
        <v>484</v>
      </c>
      <c r="B486">
        <v>9592</v>
      </c>
      <c r="C486" t="b">
        <v>1</v>
      </c>
      <c r="D486">
        <v>8083</v>
      </c>
      <c r="E486">
        <v>8140</v>
      </c>
      <c r="F486">
        <v>228.8</v>
      </c>
      <c r="G486">
        <v>227</v>
      </c>
      <c r="H486">
        <v>1.0079296</v>
      </c>
      <c r="I486">
        <v>-7.9295289999999994E-3</v>
      </c>
      <c r="J486">
        <v>0.49802548000000002</v>
      </c>
    </row>
    <row r="487" spans="1:10" x14ac:dyDescent="0.3">
      <c r="A487">
        <v>485</v>
      </c>
      <c r="B487">
        <v>9607</v>
      </c>
      <c r="C487" t="b">
        <v>1</v>
      </c>
      <c r="D487">
        <v>8048</v>
      </c>
      <c r="E487">
        <v>8152</v>
      </c>
      <c r="F487">
        <v>228.8</v>
      </c>
      <c r="G487">
        <v>227.4</v>
      </c>
      <c r="H487">
        <v>1.0061566</v>
      </c>
      <c r="I487">
        <v>-6.1565926E-3</v>
      </c>
      <c r="J487">
        <v>0.49846557000000002</v>
      </c>
    </row>
    <row r="488" spans="1:10" x14ac:dyDescent="0.3">
      <c r="A488">
        <v>486</v>
      </c>
      <c r="B488">
        <v>9623</v>
      </c>
      <c r="C488" t="b">
        <v>1</v>
      </c>
      <c r="D488">
        <v>8111</v>
      </c>
      <c r="E488">
        <v>8158</v>
      </c>
      <c r="F488">
        <v>229.93333000000001</v>
      </c>
      <c r="G488">
        <v>227.8</v>
      </c>
      <c r="H488">
        <v>1.0093650000000001</v>
      </c>
      <c r="I488">
        <v>-9.3649309999999999E-3</v>
      </c>
      <c r="J488">
        <v>0.49766967000000001</v>
      </c>
    </row>
    <row r="489" spans="1:10" x14ac:dyDescent="0.3">
      <c r="A489">
        <v>487</v>
      </c>
      <c r="B489">
        <v>9639</v>
      </c>
      <c r="C489" t="b">
        <v>1</v>
      </c>
      <c r="D489">
        <v>8065</v>
      </c>
      <c r="E489">
        <v>8146</v>
      </c>
      <c r="F489">
        <v>231.06666999999999</v>
      </c>
      <c r="G489">
        <v>228.6</v>
      </c>
      <c r="H489">
        <v>1.0107902</v>
      </c>
      <c r="I489">
        <v>-1.0790287000000001E-2</v>
      </c>
      <c r="J489">
        <v>0.49731690000000001</v>
      </c>
    </row>
    <row r="490" spans="1:10" x14ac:dyDescent="0.3">
      <c r="A490">
        <v>488</v>
      </c>
      <c r="B490">
        <v>9655</v>
      </c>
      <c r="C490" t="b">
        <v>1</v>
      </c>
      <c r="D490">
        <v>8054</v>
      </c>
      <c r="E490">
        <v>8123</v>
      </c>
      <c r="F490">
        <v>231.4</v>
      </c>
      <c r="G490">
        <v>228.6</v>
      </c>
      <c r="H490">
        <v>1.0122484</v>
      </c>
      <c r="I490">
        <v>-1.22484155E-2</v>
      </c>
      <c r="J490">
        <v>0.49695653000000001</v>
      </c>
    </row>
    <row r="491" spans="1:10" x14ac:dyDescent="0.3">
      <c r="A491">
        <v>489</v>
      </c>
      <c r="B491">
        <v>9671</v>
      </c>
      <c r="C491" t="b">
        <v>1</v>
      </c>
      <c r="D491">
        <v>8077</v>
      </c>
      <c r="E491">
        <v>8140</v>
      </c>
      <c r="F491">
        <v>232.53334000000001</v>
      </c>
      <c r="G491">
        <v>228.6</v>
      </c>
      <c r="H491">
        <v>1.0172061999999999</v>
      </c>
      <c r="I491">
        <v>-1.7206185999999998E-2</v>
      </c>
      <c r="J491">
        <v>0.49573514000000002</v>
      </c>
    </row>
    <row r="492" spans="1:10" x14ac:dyDescent="0.3">
      <c r="A492">
        <v>490</v>
      </c>
      <c r="B492">
        <v>9703</v>
      </c>
      <c r="C492" t="b">
        <v>1</v>
      </c>
      <c r="D492">
        <v>8071</v>
      </c>
      <c r="E492">
        <v>8152</v>
      </c>
      <c r="F492">
        <v>234.06666999999999</v>
      </c>
      <c r="G492">
        <v>228.6</v>
      </c>
      <c r="H492">
        <v>1.0239136</v>
      </c>
      <c r="I492">
        <v>-2.3913646E-2</v>
      </c>
      <c r="J492">
        <v>0.49409219999999998</v>
      </c>
    </row>
    <row r="493" spans="1:10" x14ac:dyDescent="0.3">
      <c r="A493">
        <v>491</v>
      </c>
      <c r="B493">
        <v>9718</v>
      </c>
      <c r="C493" t="b">
        <v>1</v>
      </c>
      <c r="D493">
        <v>8071</v>
      </c>
      <c r="E493">
        <v>8140</v>
      </c>
      <c r="F493">
        <v>234.46665999999999</v>
      </c>
      <c r="G493">
        <v>228.6</v>
      </c>
      <c r="H493">
        <v>1.0256634</v>
      </c>
      <c r="I493">
        <v>-2.5663399999999999E-2</v>
      </c>
      <c r="J493">
        <v>0.49366546</v>
      </c>
    </row>
    <row r="494" spans="1:10" x14ac:dyDescent="0.3">
      <c r="A494">
        <v>492</v>
      </c>
      <c r="B494">
        <v>9750</v>
      </c>
      <c r="C494" t="b">
        <v>1</v>
      </c>
      <c r="D494">
        <v>8083</v>
      </c>
      <c r="E494">
        <v>8140</v>
      </c>
      <c r="F494">
        <v>234.46665999999999</v>
      </c>
      <c r="G494">
        <v>228.2</v>
      </c>
      <c r="H494">
        <v>1.0274612999999999</v>
      </c>
      <c r="I494">
        <v>-2.7461274000000001E-2</v>
      </c>
      <c r="J494">
        <v>0.49322766000000001</v>
      </c>
    </row>
    <row r="495" spans="1:10" x14ac:dyDescent="0.3">
      <c r="A495">
        <v>493</v>
      </c>
      <c r="B495">
        <v>9766</v>
      </c>
      <c r="C495" t="b">
        <v>1</v>
      </c>
      <c r="D495">
        <v>8071</v>
      </c>
      <c r="E495">
        <v>8158</v>
      </c>
      <c r="F495">
        <v>234.46665999999999</v>
      </c>
      <c r="G495">
        <v>228.2</v>
      </c>
      <c r="H495">
        <v>1.0274612999999999</v>
      </c>
      <c r="I495">
        <v>-2.7461274000000001E-2</v>
      </c>
      <c r="J495">
        <v>0.49322766000000001</v>
      </c>
    </row>
    <row r="496" spans="1:10" x14ac:dyDescent="0.3">
      <c r="A496">
        <v>494</v>
      </c>
      <c r="B496">
        <v>9782</v>
      </c>
      <c r="C496" t="b">
        <v>1</v>
      </c>
      <c r="D496">
        <v>8071</v>
      </c>
      <c r="E496">
        <v>8134</v>
      </c>
      <c r="F496">
        <v>233.33332999999999</v>
      </c>
      <c r="G496">
        <v>228.2</v>
      </c>
      <c r="H496">
        <v>1.0224949000000001</v>
      </c>
      <c r="I496">
        <v>-2.2494878999999999E-2</v>
      </c>
      <c r="J496">
        <v>0.49443883</v>
      </c>
    </row>
    <row r="497" spans="1:10" x14ac:dyDescent="0.3">
      <c r="A497">
        <v>495</v>
      </c>
      <c r="B497">
        <v>9798</v>
      </c>
      <c r="C497" t="b">
        <v>1</v>
      </c>
      <c r="D497">
        <v>8065</v>
      </c>
      <c r="E497">
        <v>8117</v>
      </c>
      <c r="F497">
        <v>232.2</v>
      </c>
      <c r="G497">
        <v>228.2</v>
      </c>
      <c r="H497">
        <v>1.0175285000000001</v>
      </c>
      <c r="I497">
        <v>-1.7528484E-2</v>
      </c>
      <c r="J497">
        <v>0.49565595000000001</v>
      </c>
    </row>
    <row r="498" spans="1:10" x14ac:dyDescent="0.3">
      <c r="A498">
        <v>496</v>
      </c>
      <c r="B498">
        <v>9814</v>
      </c>
      <c r="C498" t="b">
        <v>1</v>
      </c>
      <c r="D498">
        <v>8065</v>
      </c>
      <c r="E498">
        <v>8152</v>
      </c>
      <c r="F498">
        <v>231.8</v>
      </c>
      <c r="G498">
        <v>228.2</v>
      </c>
      <c r="H498">
        <v>1.0157757000000001</v>
      </c>
      <c r="I498">
        <v>-1.5775661999999999E-2</v>
      </c>
      <c r="J498">
        <v>0.49608696000000002</v>
      </c>
    </row>
    <row r="499" spans="1:10" x14ac:dyDescent="0.3">
      <c r="A499">
        <v>497</v>
      </c>
      <c r="B499">
        <v>9830</v>
      </c>
      <c r="C499" t="b">
        <v>1</v>
      </c>
      <c r="D499">
        <v>8111</v>
      </c>
      <c r="E499">
        <v>8140</v>
      </c>
      <c r="F499">
        <v>231.4</v>
      </c>
      <c r="G499">
        <v>228.2</v>
      </c>
      <c r="H499">
        <v>1.0140228</v>
      </c>
      <c r="I499">
        <v>-1.4022774E-2</v>
      </c>
      <c r="J499">
        <v>0.49651873000000002</v>
      </c>
    </row>
    <row r="500" spans="1:10" x14ac:dyDescent="0.3">
      <c r="A500">
        <v>498</v>
      </c>
      <c r="B500">
        <v>9846</v>
      </c>
      <c r="C500" t="b">
        <v>1</v>
      </c>
      <c r="D500">
        <v>8100</v>
      </c>
      <c r="E500">
        <v>8129</v>
      </c>
      <c r="F500">
        <v>231</v>
      </c>
      <c r="G500">
        <v>227.8</v>
      </c>
      <c r="H500">
        <v>1.0140473999999999</v>
      </c>
      <c r="I500">
        <v>-1.4047396E-2</v>
      </c>
      <c r="J500">
        <v>0.49651265</v>
      </c>
    </row>
    <row r="501" spans="1:10" x14ac:dyDescent="0.3">
      <c r="A501">
        <v>499</v>
      </c>
      <c r="B501">
        <v>9862</v>
      </c>
      <c r="C501" t="b">
        <v>1</v>
      </c>
      <c r="D501">
        <v>8054</v>
      </c>
      <c r="E501">
        <v>8117</v>
      </c>
      <c r="F501">
        <v>230.2</v>
      </c>
      <c r="G501">
        <v>227.06666999999999</v>
      </c>
      <c r="H501">
        <v>1.0137992</v>
      </c>
      <c r="I501">
        <v>-1.3799169E-2</v>
      </c>
      <c r="J501">
        <v>0.49657383999999999</v>
      </c>
    </row>
    <row r="502" spans="1:10" x14ac:dyDescent="0.3">
      <c r="A502">
        <v>500</v>
      </c>
      <c r="B502">
        <v>9877</v>
      </c>
      <c r="C502" t="b">
        <v>1</v>
      </c>
      <c r="D502">
        <v>8060</v>
      </c>
      <c r="E502">
        <v>8146</v>
      </c>
      <c r="F502">
        <v>230.2</v>
      </c>
      <c r="G502">
        <v>226.26666</v>
      </c>
      <c r="H502">
        <v>1.0173836000000001</v>
      </c>
      <c r="I502">
        <v>-1.7383624E-2</v>
      </c>
      <c r="J502">
        <v>0.49569153999999999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2C1D-A770-4468-9499-FFAD38A53C36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19</v>
      </c>
      <c r="C3" t="b">
        <v>1</v>
      </c>
      <c r="D3">
        <v>8042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35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51</v>
      </c>
      <c r="C5" t="b">
        <v>1</v>
      </c>
      <c r="D5">
        <v>8048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67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83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99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115</v>
      </c>
      <c r="C9" t="b">
        <v>1</v>
      </c>
      <c r="D9">
        <v>8048</v>
      </c>
      <c r="E9">
        <v>8123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130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147</v>
      </c>
      <c r="C11" t="b">
        <v>1</v>
      </c>
      <c r="D11">
        <v>8048</v>
      </c>
      <c r="E11">
        <v>8123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162</v>
      </c>
      <c r="C12" t="b">
        <v>1</v>
      </c>
      <c r="D12">
        <v>8048</v>
      </c>
      <c r="E12">
        <v>8123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178</v>
      </c>
      <c r="C13" t="b">
        <v>1</v>
      </c>
      <c r="D13">
        <v>8048</v>
      </c>
      <c r="E13">
        <v>8123</v>
      </c>
      <c r="F13">
        <v>8</v>
      </c>
      <c r="G13">
        <v>8</v>
      </c>
      <c r="H13">
        <v>1</v>
      </c>
      <c r="I13">
        <v>0</v>
      </c>
      <c r="J13">
        <v>0.5</v>
      </c>
    </row>
    <row r="14" spans="1:10" x14ac:dyDescent="0.3">
      <c r="A14">
        <v>12</v>
      </c>
      <c r="B14">
        <v>194</v>
      </c>
      <c r="C14" t="b">
        <v>1</v>
      </c>
      <c r="D14">
        <v>8048</v>
      </c>
      <c r="E14">
        <v>8123</v>
      </c>
      <c r="F14">
        <v>8</v>
      </c>
      <c r="G14">
        <v>8</v>
      </c>
      <c r="H14">
        <v>1</v>
      </c>
      <c r="I14">
        <v>0</v>
      </c>
      <c r="J14">
        <v>0.5</v>
      </c>
    </row>
    <row r="15" spans="1:10" x14ac:dyDescent="0.3">
      <c r="A15">
        <v>13</v>
      </c>
      <c r="B15">
        <v>210</v>
      </c>
      <c r="C15" t="b">
        <v>1</v>
      </c>
      <c r="D15">
        <v>8048</v>
      </c>
      <c r="E15">
        <v>8123</v>
      </c>
      <c r="F15">
        <v>8</v>
      </c>
      <c r="G15">
        <v>8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226</v>
      </c>
      <c r="C16" t="b">
        <v>1</v>
      </c>
      <c r="D16">
        <v>8048</v>
      </c>
      <c r="E16">
        <v>8123</v>
      </c>
      <c r="F16">
        <v>8</v>
      </c>
      <c r="G16">
        <v>8</v>
      </c>
      <c r="H16">
        <v>1</v>
      </c>
      <c r="I16">
        <v>0</v>
      </c>
      <c r="J16">
        <v>0.5</v>
      </c>
    </row>
    <row r="17" spans="1:10" x14ac:dyDescent="0.3">
      <c r="A17">
        <v>15</v>
      </c>
      <c r="B17">
        <v>242</v>
      </c>
      <c r="C17" t="b">
        <v>1</v>
      </c>
      <c r="D17">
        <v>8048</v>
      </c>
      <c r="E17">
        <v>8123</v>
      </c>
      <c r="F17">
        <v>8</v>
      </c>
      <c r="G17">
        <v>8</v>
      </c>
      <c r="H17">
        <v>1</v>
      </c>
      <c r="I17">
        <v>0</v>
      </c>
      <c r="J17">
        <v>0.5</v>
      </c>
    </row>
    <row r="18" spans="1:10" x14ac:dyDescent="0.3">
      <c r="A18">
        <v>16</v>
      </c>
      <c r="B18">
        <v>258</v>
      </c>
      <c r="C18" t="b">
        <v>1</v>
      </c>
      <c r="D18">
        <v>8048</v>
      </c>
      <c r="E18">
        <v>8117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274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290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306</v>
      </c>
      <c r="C21" t="b">
        <v>1</v>
      </c>
      <c r="D21">
        <v>8048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322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338</v>
      </c>
      <c r="C23" t="b">
        <v>1</v>
      </c>
      <c r="D23">
        <v>8042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353</v>
      </c>
      <c r="C24" t="b">
        <v>1</v>
      </c>
      <c r="D24">
        <v>8048</v>
      </c>
      <c r="E24">
        <v>8117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369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385</v>
      </c>
      <c r="C26" t="b">
        <v>1</v>
      </c>
      <c r="D26">
        <v>8048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401</v>
      </c>
      <c r="C27" t="b">
        <v>1</v>
      </c>
      <c r="D27">
        <v>8054</v>
      </c>
      <c r="E27">
        <v>8123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417</v>
      </c>
      <c r="C28" t="b">
        <v>1</v>
      </c>
      <c r="D28">
        <v>8048</v>
      </c>
      <c r="E28">
        <v>8117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432</v>
      </c>
      <c r="C29" t="b">
        <v>1</v>
      </c>
      <c r="D29">
        <v>8048</v>
      </c>
      <c r="E29">
        <v>8123</v>
      </c>
      <c r="F29">
        <v>8</v>
      </c>
      <c r="G29">
        <v>8</v>
      </c>
      <c r="H29">
        <v>1</v>
      </c>
      <c r="I29">
        <v>0</v>
      </c>
      <c r="J29">
        <v>0.5</v>
      </c>
    </row>
    <row r="30" spans="1:10" x14ac:dyDescent="0.3">
      <c r="A30">
        <v>28</v>
      </c>
      <c r="B30">
        <v>448</v>
      </c>
      <c r="C30" t="b">
        <v>1</v>
      </c>
      <c r="D30">
        <v>8048</v>
      </c>
      <c r="E30">
        <v>8123</v>
      </c>
      <c r="F30">
        <v>8</v>
      </c>
      <c r="G30">
        <v>8</v>
      </c>
      <c r="H30">
        <v>1</v>
      </c>
      <c r="I30">
        <v>0</v>
      </c>
      <c r="J30">
        <v>0.5</v>
      </c>
    </row>
    <row r="31" spans="1:10" x14ac:dyDescent="0.3">
      <c r="A31">
        <v>29</v>
      </c>
      <c r="B31">
        <v>464</v>
      </c>
      <c r="C31" t="b">
        <v>1</v>
      </c>
      <c r="D31">
        <v>8042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480</v>
      </c>
      <c r="C32" t="b">
        <v>1</v>
      </c>
      <c r="D32">
        <v>8048</v>
      </c>
      <c r="E32">
        <v>8117</v>
      </c>
      <c r="F32">
        <v>8</v>
      </c>
      <c r="G32">
        <v>7.6</v>
      </c>
      <c r="H32">
        <v>1.0526316</v>
      </c>
      <c r="I32">
        <v>-5.2631589999999999E-2</v>
      </c>
      <c r="J32">
        <v>0.48717946000000001</v>
      </c>
    </row>
    <row r="33" spans="1:10" x14ac:dyDescent="0.3">
      <c r="A33">
        <v>31</v>
      </c>
      <c r="B33">
        <v>496</v>
      </c>
      <c r="C33" t="b">
        <v>1</v>
      </c>
      <c r="D33">
        <v>8042</v>
      </c>
      <c r="E33">
        <v>8123</v>
      </c>
      <c r="F33">
        <v>8</v>
      </c>
      <c r="G33">
        <v>7.6</v>
      </c>
      <c r="H33">
        <v>1.0526316</v>
      </c>
      <c r="I33">
        <v>-5.2631589999999999E-2</v>
      </c>
      <c r="J33">
        <v>0.48717946000000001</v>
      </c>
    </row>
    <row r="34" spans="1:10" x14ac:dyDescent="0.3">
      <c r="A34">
        <v>32</v>
      </c>
      <c r="B34">
        <v>512</v>
      </c>
      <c r="C34" t="b">
        <v>1</v>
      </c>
      <c r="D34">
        <v>8048</v>
      </c>
      <c r="E34">
        <v>8123</v>
      </c>
      <c r="F34">
        <v>8</v>
      </c>
      <c r="G34">
        <v>7.6</v>
      </c>
      <c r="H34">
        <v>1.0526316</v>
      </c>
      <c r="I34">
        <v>-5.2631589999999999E-2</v>
      </c>
      <c r="J34">
        <v>0.48717946000000001</v>
      </c>
    </row>
    <row r="35" spans="1:10" x14ac:dyDescent="0.3">
      <c r="A35">
        <v>33</v>
      </c>
      <c r="B35">
        <v>528</v>
      </c>
      <c r="C35" t="b">
        <v>1</v>
      </c>
      <c r="D35">
        <v>8048</v>
      </c>
      <c r="E35">
        <v>8123</v>
      </c>
      <c r="F35">
        <v>8</v>
      </c>
      <c r="G35">
        <v>7.6</v>
      </c>
      <c r="H35">
        <v>1.0526316</v>
      </c>
      <c r="I35">
        <v>-5.2631589999999999E-2</v>
      </c>
      <c r="J35">
        <v>0.48717946000000001</v>
      </c>
    </row>
    <row r="36" spans="1:10" x14ac:dyDescent="0.3">
      <c r="A36">
        <v>34</v>
      </c>
      <c r="B36">
        <v>544</v>
      </c>
      <c r="C36" t="b">
        <v>1</v>
      </c>
      <c r="D36">
        <v>8048</v>
      </c>
      <c r="E36">
        <v>8123</v>
      </c>
      <c r="F36">
        <v>8</v>
      </c>
      <c r="G36">
        <v>7.6</v>
      </c>
      <c r="H36">
        <v>1.0526316</v>
      </c>
      <c r="I36">
        <v>-5.2631589999999999E-2</v>
      </c>
      <c r="J36">
        <v>0.48717946000000001</v>
      </c>
    </row>
    <row r="37" spans="1:10" x14ac:dyDescent="0.3">
      <c r="A37">
        <v>35</v>
      </c>
      <c r="B37">
        <v>560</v>
      </c>
      <c r="C37" t="b">
        <v>1</v>
      </c>
      <c r="D37">
        <v>8042</v>
      </c>
      <c r="E37">
        <v>8123</v>
      </c>
      <c r="F37">
        <v>8</v>
      </c>
      <c r="G37">
        <v>7.6</v>
      </c>
      <c r="H37">
        <v>1.0526316</v>
      </c>
      <c r="I37">
        <v>-5.2631589999999999E-2</v>
      </c>
      <c r="J37">
        <v>0.48717946000000001</v>
      </c>
    </row>
    <row r="38" spans="1:10" x14ac:dyDescent="0.3">
      <c r="A38">
        <v>36</v>
      </c>
      <c r="B38">
        <v>576</v>
      </c>
      <c r="C38" t="b">
        <v>1</v>
      </c>
      <c r="D38">
        <v>8048</v>
      </c>
      <c r="E38">
        <v>8117</v>
      </c>
      <c r="F38">
        <v>8</v>
      </c>
      <c r="G38">
        <v>7.6</v>
      </c>
      <c r="H38">
        <v>1.0526316</v>
      </c>
      <c r="I38">
        <v>-5.2631589999999999E-2</v>
      </c>
      <c r="J38">
        <v>0.48717946000000001</v>
      </c>
    </row>
    <row r="39" spans="1:10" x14ac:dyDescent="0.3">
      <c r="A39">
        <v>37</v>
      </c>
      <c r="B39">
        <v>591</v>
      </c>
      <c r="C39" t="b">
        <v>1</v>
      </c>
      <c r="D39">
        <v>8048</v>
      </c>
      <c r="E39">
        <v>8117</v>
      </c>
      <c r="F39">
        <v>8</v>
      </c>
      <c r="G39">
        <v>7.6</v>
      </c>
      <c r="H39">
        <v>1.0526316</v>
      </c>
      <c r="I39">
        <v>-5.2631589999999999E-2</v>
      </c>
      <c r="J39">
        <v>0.48717946000000001</v>
      </c>
    </row>
    <row r="40" spans="1:10" x14ac:dyDescent="0.3">
      <c r="A40">
        <v>38</v>
      </c>
      <c r="B40">
        <v>607</v>
      </c>
      <c r="C40" t="b">
        <v>1</v>
      </c>
      <c r="D40">
        <v>8054</v>
      </c>
      <c r="E40">
        <v>8129</v>
      </c>
      <c r="F40">
        <v>8</v>
      </c>
      <c r="G40">
        <v>7.6</v>
      </c>
      <c r="H40">
        <v>1.0526316</v>
      </c>
      <c r="I40">
        <v>-5.2631589999999999E-2</v>
      </c>
      <c r="J40">
        <v>0.48717946000000001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8129</v>
      </c>
      <c r="F41">
        <v>8</v>
      </c>
      <c r="G41">
        <v>7.6</v>
      </c>
      <c r="H41">
        <v>1.0526316</v>
      </c>
      <c r="I41">
        <v>-5.2631589999999999E-2</v>
      </c>
      <c r="J41">
        <v>0.48717946000000001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8129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656</v>
      </c>
      <c r="C43" t="b">
        <v>1</v>
      </c>
      <c r="D43">
        <v>8054</v>
      </c>
      <c r="E43">
        <v>8123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671</v>
      </c>
      <c r="C44" t="b">
        <v>1</v>
      </c>
      <c r="D44">
        <v>8048</v>
      </c>
      <c r="E44">
        <v>8123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8123</v>
      </c>
      <c r="F45">
        <v>8</v>
      </c>
      <c r="G45">
        <v>8.8000000000000007</v>
      </c>
      <c r="H45">
        <v>0.90909090000000004</v>
      </c>
      <c r="I45">
        <v>9.0909110000000001E-2</v>
      </c>
      <c r="J45">
        <v>0.52380954999999996</v>
      </c>
    </row>
    <row r="46" spans="1:10" x14ac:dyDescent="0.3">
      <c r="A46">
        <v>44</v>
      </c>
      <c r="B46">
        <v>703</v>
      </c>
      <c r="C46" t="b">
        <v>1</v>
      </c>
      <c r="D46">
        <v>8048</v>
      </c>
      <c r="E46">
        <v>8123</v>
      </c>
      <c r="F46">
        <v>8</v>
      </c>
      <c r="G46">
        <v>8.8000000000000007</v>
      </c>
      <c r="H46">
        <v>0.90909090000000004</v>
      </c>
      <c r="I46">
        <v>9.0909110000000001E-2</v>
      </c>
      <c r="J46">
        <v>0.52380954999999996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8</v>
      </c>
      <c r="G47">
        <v>9.1999999999999993</v>
      </c>
      <c r="H47">
        <v>0.86956524999999996</v>
      </c>
      <c r="I47">
        <v>0.13043477000000001</v>
      </c>
      <c r="J47">
        <v>0.53488369999999996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8123</v>
      </c>
      <c r="F48">
        <v>8</v>
      </c>
      <c r="G48">
        <v>9.1999999999999993</v>
      </c>
      <c r="H48">
        <v>0.86956524999999996</v>
      </c>
      <c r="I48">
        <v>0.13043477000000001</v>
      </c>
      <c r="J48">
        <v>0.53488369999999996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8123</v>
      </c>
      <c r="F49">
        <v>8</v>
      </c>
      <c r="G49">
        <v>9.1999999999999993</v>
      </c>
      <c r="H49">
        <v>0.86956524999999996</v>
      </c>
      <c r="I49">
        <v>0.13043477000000001</v>
      </c>
      <c r="J49">
        <v>0.53488369999999996</v>
      </c>
    </row>
    <row r="50" spans="1:10" x14ac:dyDescent="0.3">
      <c r="A50">
        <v>48</v>
      </c>
      <c r="B50">
        <v>767</v>
      </c>
      <c r="C50" t="b">
        <v>1</v>
      </c>
      <c r="D50">
        <v>8042</v>
      </c>
      <c r="E50">
        <v>8117</v>
      </c>
      <c r="F50">
        <v>8</v>
      </c>
      <c r="G50">
        <v>9.1999999999999993</v>
      </c>
      <c r="H50">
        <v>0.86956524999999996</v>
      </c>
      <c r="I50">
        <v>0.13043477000000001</v>
      </c>
      <c r="J50">
        <v>0.53488369999999996</v>
      </c>
    </row>
    <row r="51" spans="1:10" x14ac:dyDescent="0.3">
      <c r="A51">
        <v>49</v>
      </c>
      <c r="B51">
        <v>783</v>
      </c>
      <c r="C51" t="b">
        <v>1</v>
      </c>
      <c r="D51">
        <v>8054</v>
      </c>
      <c r="E51">
        <v>8123</v>
      </c>
      <c r="F51">
        <v>8</v>
      </c>
      <c r="G51">
        <v>9.1999999999999993</v>
      </c>
      <c r="H51">
        <v>0.86956524999999996</v>
      </c>
      <c r="I51">
        <v>0.13043477000000001</v>
      </c>
      <c r="J51">
        <v>0.53488369999999996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8117</v>
      </c>
      <c r="F52">
        <v>8</v>
      </c>
      <c r="G52">
        <v>9.1999999999999993</v>
      </c>
      <c r="H52">
        <v>0.86956524999999996</v>
      </c>
      <c r="I52">
        <v>0.13043477000000001</v>
      </c>
      <c r="J52">
        <v>0.53488369999999996</v>
      </c>
    </row>
    <row r="53" spans="1:10" x14ac:dyDescent="0.3">
      <c r="A53">
        <v>51</v>
      </c>
      <c r="B53">
        <v>815</v>
      </c>
      <c r="C53" t="b">
        <v>1</v>
      </c>
      <c r="D53">
        <v>8048</v>
      </c>
      <c r="E53">
        <v>8123</v>
      </c>
      <c r="F53">
        <v>8</v>
      </c>
      <c r="G53">
        <v>9.1999999999999993</v>
      </c>
      <c r="H53">
        <v>0.86956524999999996</v>
      </c>
      <c r="I53">
        <v>0.13043477000000001</v>
      </c>
      <c r="J53">
        <v>0.53488369999999996</v>
      </c>
    </row>
    <row r="54" spans="1:10" x14ac:dyDescent="0.3">
      <c r="A54">
        <v>52</v>
      </c>
      <c r="B54">
        <v>830</v>
      </c>
      <c r="C54" t="b">
        <v>1</v>
      </c>
      <c r="D54">
        <v>8042</v>
      </c>
      <c r="E54">
        <v>8123</v>
      </c>
      <c r="F54">
        <v>8</v>
      </c>
      <c r="G54">
        <v>9.1999999999999993</v>
      </c>
      <c r="H54">
        <v>0.86956524999999996</v>
      </c>
      <c r="I54">
        <v>0.13043477000000001</v>
      </c>
      <c r="J54">
        <v>0.53488369999999996</v>
      </c>
    </row>
    <row r="55" spans="1:10" x14ac:dyDescent="0.3">
      <c r="A55">
        <v>53</v>
      </c>
      <c r="B55">
        <v>846</v>
      </c>
      <c r="C55" t="b">
        <v>1</v>
      </c>
      <c r="D55">
        <v>8054</v>
      </c>
      <c r="E55">
        <v>8123</v>
      </c>
      <c r="F55">
        <v>8</v>
      </c>
      <c r="G55">
        <v>9.1999999999999993</v>
      </c>
      <c r="H55">
        <v>0.86956524999999996</v>
      </c>
      <c r="I55">
        <v>0.13043477000000001</v>
      </c>
      <c r="J55">
        <v>0.53488369999999996</v>
      </c>
    </row>
    <row r="56" spans="1:10" x14ac:dyDescent="0.3">
      <c r="A56">
        <v>54</v>
      </c>
      <c r="B56">
        <v>862</v>
      </c>
      <c r="C56" t="b">
        <v>1</v>
      </c>
      <c r="D56">
        <v>8048</v>
      </c>
      <c r="E56">
        <v>8123</v>
      </c>
      <c r="F56">
        <v>8</v>
      </c>
      <c r="G56">
        <v>9.1999999999999993</v>
      </c>
      <c r="H56">
        <v>0.86956524999999996</v>
      </c>
      <c r="I56">
        <v>0.13043477000000001</v>
      </c>
      <c r="J56">
        <v>0.53488369999999996</v>
      </c>
    </row>
    <row r="57" spans="1:10" x14ac:dyDescent="0.3">
      <c r="A57">
        <v>55</v>
      </c>
      <c r="B57">
        <v>878</v>
      </c>
      <c r="C57" t="b">
        <v>1</v>
      </c>
      <c r="D57">
        <v>8042</v>
      </c>
      <c r="E57">
        <v>8123</v>
      </c>
      <c r="F57">
        <v>8</v>
      </c>
      <c r="G57">
        <v>8.8000000000000007</v>
      </c>
      <c r="H57">
        <v>0.90909090000000004</v>
      </c>
      <c r="I57">
        <v>9.0909110000000001E-2</v>
      </c>
      <c r="J57">
        <v>0.52380954999999996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8117</v>
      </c>
      <c r="F58">
        <v>8</v>
      </c>
      <c r="G58">
        <v>8.4</v>
      </c>
      <c r="H58">
        <v>0.95238100000000003</v>
      </c>
      <c r="I58">
        <v>4.7619003999999999E-2</v>
      </c>
      <c r="J58">
        <v>0.51219510000000001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8123</v>
      </c>
      <c r="F59">
        <v>8</v>
      </c>
      <c r="G59">
        <v>8</v>
      </c>
      <c r="H59">
        <v>1</v>
      </c>
      <c r="I59">
        <v>0</v>
      </c>
      <c r="J59">
        <v>0.5</v>
      </c>
    </row>
    <row r="60" spans="1:10" x14ac:dyDescent="0.3">
      <c r="A60">
        <v>58</v>
      </c>
      <c r="B60">
        <v>925</v>
      </c>
      <c r="C60" t="b">
        <v>1</v>
      </c>
      <c r="D60">
        <v>8048</v>
      </c>
      <c r="E60">
        <v>8123</v>
      </c>
      <c r="F60">
        <v>8</v>
      </c>
      <c r="G60">
        <v>8</v>
      </c>
      <c r="H60">
        <v>1</v>
      </c>
      <c r="I60">
        <v>0</v>
      </c>
      <c r="J60">
        <v>0.5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8117</v>
      </c>
      <c r="F61">
        <v>8</v>
      </c>
      <c r="G61">
        <v>8</v>
      </c>
      <c r="H61">
        <v>1</v>
      </c>
      <c r="I61">
        <v>0</v>
      </c>
      <c r="J61">
        <v>0.5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8117</v>
      </c>
      <c r="F62">
        <v>8</v>
      </c>
      <c r="G62">
        <v>7.6</v>
      </c>
      <c r="H62">
        <v>1.0526316</v>
      </c>
      <c r="I62">
        <v>-5.2631589999999999E-2</v>
      </c>
      <c r="J62">
        <v>0.48717946000000001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7.6</v>
      </c>
      <c r="H63">
        <v>1.0526316</v>
      </c>
      <c r="I63">
        <v>-5.2631589999999999E-2</v>
      </c>
      <c r="J63">
        <v>0.48717946000000001</v>
      </c>
    </row>
    <row r="64" spans="1:10" x14ac:dyDescent="0.3">
      <c r="A64">
        <v>62</v>
      </c>
      <c r="B64">
        <v>989</v>
      </c>
      <c r="C64" t="b">
        <v>1</v>
      </c>
      <c r="D64">
        <v>8048</v>
      </c>
      <c r="E64">
        <v>8123</v>
      </c>
      <c r="F64">
        <v>8</v>
      </c>
      <c r="G64">
        <v>7.6</v>
      </c>
      <c r="H64">
        <v>1.0526316</v>
      </c>
      <c r="I64">
        <v>-5.2631589999999999E-2</v>
      </c>
      <c r="J64">
        <v>0.48717946000000001</v>
      </c>
    </row>
    <row r="65" spans="1:10" x14ac:dyDescent="0.3">
      <c r="A65">
        <v>63</v>
      </c>
      <c r="B65">
        <v>1006</v>
      </c>
      <c r="C65" t="b">
        <v>1</v>
      </c>
      <c r="D65">
        <v>8048</v>
      </c>
      <c r="E65">
        <v>8117</v>
      </c>
      <c r="F65">
        <v>8</v>
      </c>
      <c r="G65">
        <v>7.2</v>
      </c>
      <c r="H65">
        <v>1.1111112000000001</v>
      </c>
      <c r="I65">
        <v>-0.11111114</v>
      </c>
      <c r="J65">
        <v>0.4736842</v>
      </c>
    </row>
    <row r="66" spans="1:10" x14ac:dyDescent="0.3">
      <c r="A66">
        <v>64</v>
      </c>
      <c r="B66">
        <v>1021</v>
      </c>
      <c r="C66" t="b">
        <v>1</v>
      </c>
      <c r="D66">
        <v>8048</v>
      </c>
      <c r="E66">
        <v>8123</v>
      </c>
      <c r="F66">
        <v>8</v>
      </c>
      <c r="G66">
        <v>7.2</v>
      </c>
      <c r="H66">
        <v>1.1111112000000001</v>
      </c>
      <c r="I66">
        <v>-0.11111114</v>
      </c>
      <c r="J66">
        <v>0.4736842</v>
      </c>
    </row>
    <row r="67" spans="1:10" x14ac:dyDescent="0.3">
      <c r="A67">
        <v>65</v>
      </c>
      <c r="B67">
        <v>1037</v>
      </c>
      <c r="C67" t="b">
        <v>1</v>
      </c>
      <c r="D67">
        <v>8048</v>
      </c>
      <c r="E67">
        <v>8123</v>
      </c>
      <c r="F67">
        <v>8</v>
      </c>
      <c r="G67">
        <v>7.2</v>
      </c>
      <c r="H67">
        <v>1.1111112000000001</v>
      </c>
      <c r="I67">
        <v>-0.11111114</v>
      </c>
      <c r="J67">
        <v>0.4736842</v>
      </c>
    </row>
    <row r="68" spans="1:10" x14ac:dyDescent="0.3">
      <c r="A68">
        <v>66</v>
      </c>
      <c r="B68">
        <v>1053</v>
      </c>
      <c r="C68" t="b">
        <v>1</v>
      </c>
      <c r="D68">
        <v>8048</v>
      </c>
      <c r="E68">
        <v>8117</v>
      </c>
      <c r="F68">
        <v>8</v>
      </c>
      <c r="G68">
        <v>7.2</v>
      </c>
      <c r="H68">
        <v>1.1111112000000001</v>
      </c>
      <c r="I68">
        <v>-0.11111114</v>
      </c>
      <c r="J68">
        <v>0.4736842</v>
      </c>
    </row>
    <row r="69" spans="1:10" x14ac:dyDescent="0.3">
      <c r="A69">
        <v>67</v>
      </c>
      <c r="B69">
        <v>1069</v>
      </c>
      <c r="C69" t="b">
        <v>1</v>
      </c>
      <c r="D69">
        <v>8048</v>
      </c>
      <c r="E69">
        <v>8123</v>
      </c>
      <c r="F69">
        <v>8</v>
      </c>
      <c r="G69">
        <v>7.2</v>
      </c>
      <c r="H69">
        <v>1.1111112000000001</v>
      </c>
      <c r="I69">
        <v>-0.11111114</v>
      </c>
      <c r="J69">
        <v>0.4736842</v>
      </c>
    </row>
    <row r="70" spans="1:10" x14ac:dyDescent="0.3">
      <c r="A70">
        <v>68</v>
      </c>
      <c r="B70">
        <v>1085</v>
      </c>
      <c r="C70" t="b">
        <v>1</v>
      </c>
      <c r="D70">
        <v>8048</v>
      </c>
      <c r="E70">
        <v>8123</v>
      </c>
      <c r="F70">
        <v>8</v>
      </c>
      <c r="G70">
        <v>7.2</v>
      </c>
      <c r="H70">
        <v>1.1111112000000001</v>
      </c>
      <c r="I70">
        <v>-0.11111114</v>
      </c>
      <c r="J70">
        <v>0.4736842</v>
      </c>
    </row>
    <row r="71" spans="1:10" x14ac:dyDescent="0.3">
      <c r="A71">
        <v>69</v>
      </c>
      <c r="B71">
        <v>1100</v>
      </c>
      <c r="C71" t="b">
        <v>1</v>
      </c>
      <c r="D71">
        <v>8048</v>
      </c>
      <c r="E71">
        <v>8129</v>
      </c>
      <c r="F71">
        <v>8</v>
      </c>
      <c r="G71">
        <v>7.2</v>
      </c>
      <c r="H71">
        <v>1.1111112000000001</v>
      </c>
      <c r="I71">
        <v>-0.11111114</v>
      </c>
      <c r="J71">
        <v>0.4736842</v>
      </c>
    </row>
    <row r="72" spans="1:10" x14ac:dyDescent="0.3">
      <c r="A72">
        <v>70</v>
      </c>
      <c r="B72">
        <v>1116</v>
      </c>
      <c r="C72" t="b">
        <v>1</v>
      </c>
      <c r="D72">
        <v>8048</v>
      </c>
      <c r="E72">
        <v>8129</v>
      </c>
      <c r="F72">
        <v>8</v>
      </c>
      <c r="G72">
        <v>7.2</v>
      </c>
      <c r="H72">
        <v>1.1111112000000001</v>
      </c>
      <c r="I72">
        <v>-0.11111114</v>
      </c>
      <c r="J72">
        <v>0.4736842</v>
      </c>
    </row>
    <row r="73" spans="1:10" x14ac:dyDescent="0.3">
      <c r="A73">
        <v>71</v>
      </c>
      <c r="B73">
        <v>1132</v>
      </c>
      <c r="C73" t="b">
        <v>1</v>
      </c>
      <c r="D73">
        <v>8048</v>
      </c>
      <c r="E73">
        <v>8129</v>
      </c>
      <c r="F73">
        <v>8</v>
      </c>
      <c r="G73">
        <v>7.6</v>
      </c>
      <c r="H73">
        <v>1.0526316</v>
      </c>
      <c r="I73">
        <v>-5.2631589999999999E-2</v>
      </c>
      <c r="J73">
        <v>0.48717946000000001</v>
      </c>
    </row>
    <row r="74" spans="1:10" x14ac:dyDescent="0.3">
      <c r="A74">
        <v>72</v>
      </c>
      <c r="B74">
        <v>1148</v>
      </c>
      <c r="C74" t="b">
        <v>1</v>
      </c>
      <c r="D74">
        <v>8048</v>
      </c>
      <c r="E74">
        <v>8129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1164</v>
      </c>
      <c r="C75" t="b">
        <v>1</v>
      </c>
      <c r="D75">
        <v>8048</v>
      </c>
      <c r="E75">
        <v>8129</v>
      </c>
      <c r="F75">
        <v>8</v>
      </c>
      <c r="G75">
        <v>8.4</v>
      </c>
      <c r="H75">
        <v>0.95238100000000003</v>
      </c>
      <c r="I75">
        <v>4.7619003999999999E-2</v>
      </c>
      <c r="J75">
        <v>0.51219510000000001</v>
      </c>
    </row>
    <row r="76" spans="1:10" x14ac:dyDescent="0.3">
      <c r="A76">
        <v>74</v>
      </c>
      <c r="B76">
        <v>1180</v>
      </c>
      <c r="C76" t="b">
        <v>1</v>
      </c>
      <c r="D76">
        <v>8048</v>
      </c>
      <c r="E76">
        <v>8129</v>
      </c>
      <c r="F76">
        <v>8</v>
      </c>
      <c r="G76">
        <v>8.8000000000000007</v>
      </c>
      <c r="H76">
        <v>0.90909090000000004</v>
      </c>
      <c r="I76">
        <v>9.0909110000000001E-2</v>
      </c>
      <c r="J76">
        <v>0.52380954999999996</v>
      </c>
    </row>
    <row r="77" spans="1:10" x14ac:dyDescent="0.3">
      <c r="A77">
        <v>75</v>
      </c>
      <c r="B77">
        <v>1196</v>
      </c>
      <c r="C77" t="b">
        <v>1</v>
      </c>
      <c r="D77">
        <v>8048</v>
      </c>
      <c r="E77">
        <v>8123</v>
      </c>
      <c r="F77">
        <v>8</v>
      </c>
      <c r="G77">
        <v>9.6</v>
      </c>
      <c r="H77">
        <v>0.83333330000000005</v>
      </c>
      <c r="I77">
        <v>0.1666667</v>
      </c>
      <c r="J77">
        <v>0.54545456000000003</v>
      </c>
    </row>
    <row r="78" spans="1:10" x14ac:dyDescent="0.3">
      <c r="A78">
        <v>76</v>
      </c>
      <c r="B78">
        <v>1211</v>
      </c>
      <c r="C78" t="b">
        <v>1</v>
      </c>
      <c r="D78">
        <v>8048</v>
      </c>
      <c r="E78">
        <v>8123</v>
      </c>
      <c r="F78">
        <v>8</v>
      </c>
      <c r="G78">
        <v>10</v>
      </c>
      <c r="H78">
        <v>0.8</v>
      </c>
      <c r="I78">
        <v>0.2</v>
      </c>
      <c r="J78">
        <v>0.55555560000000004</v>
      </c>
    </row>
    <row r="79" spans="1:10" x14ac:dyDescent="0.3">
      <c r="A79">
        <v>77</v>
      </c>
      <c r="B79">
        <v>1227</v>
      </c>
      <c r="C79" t="b">
        <v>1</v>
      </c>
      <c r="D79">
        <v>8048</v>
      </c>
      <c r="E79">
        <v>8123</v>
      </c>
      <c r="F79">
        <v>8</v>
      </c>
      <c r="G79">
        <v>10</v>
      </c>
      <c r="H79">
        <v>0.8</v>
      </c>
      <c r="I79">
        <v>0.2</v>
      </c>
      <c r="J79">
        <v>0.55555560000000004</v>
      </c>
    </row>
    <row r="80" spans="1:10" x14ac:dyDescent="0.3">
      <c r="A80">
        <v>78</v>
      </c>
      <c r="B80">
        <v>1243</v>
      </c>
      <c r="C80" t="b">
        <v>1</v>
      </c>
      <c r="D80">
        <v>8054</v>
      </c>
      <c r="E80">
        <v>8123</v>
      </c>
      <c r="F80">
        <v>8</v>
      </c>
      <c r="G80">
        <v>10.4</v>
      </c>
      <c r="H80">
        <v>0.76923079999999999</v>
      </c>
      <c r="I80">
        <v>0.23076920000000001</v>
      </c>
      <c r="J80">
        <v>0.56521739999999998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10.4</v>
      </c>
      <c r="H81">
        <v>0.76923079999999999</v>
      </c>
      <c r="I81">
        <v>0.23076920000000001</v>
      </c>
      <c r="J81">
        <v>0.56521739999999998</v>
      </c>
    </row>
    <row r="82" spans="1:10" x14ac:dyDescent="0.3">
      <c r="A82">
        <v>80</v>
      </c>
      <c r="B82">
        <v>1277</v>
      </c>
      <c r="C82" t="b">
        <v>1</v>
      </c>
      <c r="D82">
        <v>8048</v>
      </c>
      <c r="E82">
        <v>8117</v>
      </c>
      <c r="F82">
        <v>8</v>
      </c>
      <c r="G82">
        <v>10.4</v>
      </c>
      <c r="H82">
        <v>0.76923079999999999</v>
      </c>
      <c r="I82">
        <v>0.23076920000000001</v>
      </c>
      <c r="J82">
        <v>0.56521739999999998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10.4</v>
      </c>
      <c r="H83">
        <v>0.76923079999999999</v>
      </c>
      <c r="I83">
        <v>0.23076920000000001</v>
      </c>
      <c r="J83">
        <v>0.56521739999999998</v>
      </c>
    </row>
    <row r="84" spans="1:10" x14ac:dyDescent="0.3">
      <c r="A84">
        <v>82</v>
      </c>
      <c r="B84">
        <v>1308</v>
      </c>
      <c r="C84" t="b">
        <v>1</v>
      </c>
      <c r="D84">
        <v>8048</v>
      </c>
      <c r="E84">
        <v>8123</v>
      </c>
      <c r="F84">
        <v>8</v>
      </c>
      <c r="G84">
        <v>10.4</v>
      </c>
      <c r="H84">
        <v>0.76923079999999999</v>
      </c>
      <c r="I84">
        <v>0.23076920000000001</v>
      </c>
      <c r="J84">
        <v>0.56521739999999998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10.4</v>
      </c>
      <c r="H85">
        <v>0.76923079999999999</v>
      </c>
      <c r="I85">
        <v>0.23076920000000001</v>
      </c>
      <c r="J85">
        <v>0.56521739999999998</v>
      </c>
    </row>
    <row r="86" spans="1:10" x14ac:dyDescent="0.3">
      <c r="A86">
        <v>84</v>
      </c>
      <c r="B86">
        <v>1340</v>
      </c>
      <c r="C86" t="b">
        <v>1</v>
      </c>
      <c r="D86">
        <v>8048</v>
      </c>
      <c r="E86">
        <v>8123</v>
      </c>
      <c r="F86">
        <v>8</v>
      </c>
      <c r="G86">
        <v>10.4</v>
      </c>
      <c r="H86">
        <v>0.76923079999999999</v>
      </c>
      <c r="I86">
        <v>0.23076920000000001</v>
      </c>
      <c r="J86">
        <v>0.56521739999999998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8</v>
      </c>
      <c r="G87">
        <v>10.4</v>
      </c>
      <c r="H87">
        <v>0.76923079999999999</v>
      </c>
      <c r="I87">
        <v>0.23076920000000001</v>
      </c>
      <c r="J87">
        <v>0.56521739999999998</v>
      </c>
    </row>
    <row r="88" spans="1:10" x14ac:dyDescent="0.3">
      <c r="A88">
        <v>86</v>
      </c>
      <c r="B88">
        <v>1371</v>
      </c>
      <c r="C88" t="b">
        <v>1</v>
      </c>
      <c r="D88">
        <v>8048</v>
      </c>
      <c r="E88">
        <v>8123</v>
      </c>
      <c r="F88">
        <v>8</v>
      </c>
      <c r="G88">
        <v>10</v>
      </c>
      <c r="H88">
        <v>0.8</v>
      </c>
      <c r="I88">
        <v>0.2</v>
      </c>
      <c r="J88">
        <v>0.55555560000000004</v>
      </c>
    </row>
    <row r="89" spans="1:10" x14ac:dyDescent="0.3">
      <c r="A89">
        <v>87</v>
      </c>
      <c r="B89">
        <v>1387</v>
      </c>
      <c r="C89" t="b">
        <v>1</v>
      </c>
      <c r="D89">
        <v>8048</v>
      </c>
      <c r="E89">
        <v>8123</v>
      </c>
      <c r="F89">
        <v>8</v>
      </c>
      <c r="G89">
        <v>9.6</v>
      </c>
      <c r="H89">
        <v>0.83333330000000005</v>
      </c>
      <c r="I89">
        <v>0.1666667</v>
      </c>
      <c r="J89">
        <v>0.54545456000000003</v>
      </c>
    </row>
    <row r="90" spans="1:10" x14ac:dyDescent="0.3">
      <c r="A90">
        <v>88</v>
      </c>
      <c r="B90">
        <v>1403</v>
      </c>
      <c r="C90" t="b">
        <v>1</v>
      </c>
      <c r="D90">
        <v>8048</v>
      </c>
      <c r="E90">
        <v>8111</v>
      </c>
      <c r="F90">
        <v>8</v>
      </c>
      <c r="G90">
        <v>9.1999999999999993</v>
      </c>
      <c r="H90">
        <v>0.86956524999999996</v>
      </c>
      <c r="I90">
        <v>0.13043477000000001</v>
      </c>
      <c r="J90">
        <v>0.53488369999999996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8117</v>
      </c>
      <c r="F91">
        <v>8</v>
      </c>
      <c r="G91">
        <v>8.8000000000000007</v>
      </c>
      <c r="H91">
        <v>0.90909090000000004</v>
      </c>
      <c r="I91">
        <v>9.0909110000000001E-2</v>
      </c>
      <c r="J91">
        <v>0.52380954999999996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8117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8048</v>
      </c>
      <c r="E93">
        <v>8117</v>
      </c>
      <c r="F93">
        <v>8</v>
      </c>
      <c r="G93">
        <v>7.2</v>
      </c>
      <c r="H93">
        <v>1.1111112000000001</v>
      </c>
      <c r="I93">
        <v>-0.11111114</v>
      </c>
      <c r="J93">
        <v>0.4736842</v>
      </c>
    </row>
    <row r="94" spans="1:10" x14ac:dyDescent="0.3">
      <c r="A94">
        <v>92</v>
      </c>
      <c r="B94">
        <v>1466</v>
      </c>
      <c r="C94" t="b">
        <v>1</v>
      </c>
      <c r="D94">
        <v>8048</v>
      </c>
      <c r="E94">
        <v>8117</v>
      </c>
      <c r="F94">
        <v>8</v>
      </c>
      <c r="G94">
        <v>6.8</v>
      </c>
      <c r="H94">
        <v>1.1764705</v>
      </c>
      <c r="I94">
        <v>-0.17647055</v>
      </c>
      <c r="J94">
        <v>0.45945944999999999</v>
      </c>
    </row>
    <row r="95" spans="1:10" x14ac:dyDescent="0.3">
      <c r="A95">
        <v>93</v>
      </c>
      <c r="B95">
        <v>1482</v>
      </c>
      <c r="C95" t="b">
        <v>1</v>
      </c>
      <c r="D95">
        <v>8042</v>
      </c>
      <c r="E95">
        <v>8117</v>
      </c>
      <c r="F95">
        <v>8</v>
      </c>
      <c r="G95">
        <v>6.4</v>
      </c>
      <c r="H95">
        <v>1.25</v>
      </c>
      <c r="I95">
        <v>-0.24999999000000001</v>
      </c>
      <c r="J95">
        <v>0.44444447999999998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8</v>
      </c>
      <c r="G97">
        <v>5.6</v>
      </c>
      <c r="H97">
        <v>1.4285715000000001</v>
      </c>
      <c r="I97">
        <v>-0.42857146000000002</v>
      </c>
      <c r="J97">
        <v>0.41176467999999999</v>
      </c>
    </row>
    <row r="98" spans="1:10" x14ac:dyDescent="0.3">
      <c r="A98">
        <v>96</v>
      </c>
      <c r="B98">
        <v>1530</v>
      </c>
      <c r="C98" t="b">
        <v>1</v>
      </c>
      <c r="D98">
        <v>8054</v>
      </c>
      <c r="E98">
        <v>8123</v>
      </c>
      <c r="F98">
        <v>8</v>
      </c>
      <c r="G98">
        <v>5.6</v>
      </c>
      <c r="H98">
        <v>1.4285715000000001</v>
      </c>
      <c r="I98">
        <v>-0.42857146000000002</v>
      </c>
      <c r="J98">
        <v>0.41176467999999999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8</v>
      </c>
      <c r="G99">
        <v>5.6</v>
      </c>
      <c r="H99">
        <v>1.4285715000000001</v>
      </c>
      <c r="I99">
        <v>-0.42857146000000002</v>
      </c>
      <c r="J99">
        <v>0.41176467999999999</v>
      </c>
    </row>
    <row r="100" spans="1:10" x14ac:dyDescent="0.3">
      <c r="A100">
        <v>98</v>
      </c>
      <c r="B100">
        <v>1562</v>
      </c>
      <c r="C100" t="b">
        <v>1</v>
      </c>
      <c r="D100">
        <v>8048</v>
      </c>
      <c r="E100">
        <v>8117</v>
      </c>
      <c r="F100">
        <v>8</v>
      </c>
      <c r="G100">
        <v>5.6</v>
      </c>
      <c r="H100">
        <v>1.4285715000000001</v>
      </c>
      <c r="I100">
        <v>-0.42857146000000002</v>
      </c>
      <c r="J100">
        <v>0.41176467999999999</v>
      </c>
    </row>
    <row r="101" spans="1:10" x14ac:dyDescent="0.3">
      <c r="A101">
        <v>99</v>
      </c>
      <c r="B101">
        <v>1577</v>
      </c>
      <c r="C101" t="b">
        <v>1</v>
      </c>
      <c r="D101">
        <v>8048</v>
      </c>
      <c r="E101">
        <v>8123</v>
      </c>
      <c r="F101">
        <v>8</v>
      </c>
      <c r="G101">
        <v>5.6</v>
      </c>
      <c r="H101">
        <v>1.4285715000000001</v>
      </c>
      <c r="I101">
        <v>-0.42857146000000002</v>
      </c>
      <c r="J101">
        <v>0.41176467999999999</v>
      </c>
    </row>
    <row r="102" spans="1:10" x14ac:dyDescent="0.3">
      <c r="A102">
        <v>100</v>
      </c>
      <c r="B102">
        <v>1593</v>
      </c>
      <c r="C102" t="b">
        <v>1</v>
      </c>
      <c r="D102">
        <v>8048</v>
      </c>
      <c r="E102">
        <v>8123</v>
      </c>
      <c r="F102">
        <v>8</v>
      </c>
      <c r="G102">
        <v>5.6</v>
      </c>
      <c r="H102">
        <v>1.4285715000000001</v>
      </c>
      <c r="I102">
        <v>-0.42857146000000002</v>
      </c>
      <c r="J102">
        <v>0.41176467999999999</v>
      </c>
    </row>
    <row r="103" spans="1:10" x14ac:dyDescent="0.3">
      <c r="A103">
        <v>101</v>
      </c>
      <c r="B103">
        <v>1609</v>
      </c>
      <c r="C103" t="b">
        <v>1</v>
      </c>
      <c r="D103">
        <v>8048</v>
      </c>
      <c r="E103">
        <v>8123</v>
      </c>
      <c r="F103">
        <v>8</v>
      </c>
      <c r="G103">
        <v>5.6</v>
      </c>
      <c r="H103">
        <v>1.4285715000000001</v>
      </c>
      <c r="I103">
        <v>-0.42857146000000002</v>
      </c>
      <c r="J103">
        <v>0.41176467999999999</v>
      </c>
    </row>
    <row r="104" spans="1:10" x14ac:dyDescent="0.3">
      <c r="A104">
        <v>102</v>
      </c>
      <c r="B104">
        <v>1625</v>
      </c>
      <c r="C104" t="b">
        <v>1</v>
      </c>
      <c r="D104">
        <v>8048</v>
      </c>
      <c r="E104">
        <v>8123</v>
      </c>
      <c r="F104">
        <v>8</v>
      </c>
      <c r="G104">
        <v>5.6</v>
      </c>
      <c r="H104">
        <v>1.4285715000000001</v>
      </c>
      <c r="I104">
        <v>-0.42857146000000002</v>
      </c>
      <c r="J104">
        <v>0.41176467999999999</v>
      </c>
    </row>
    <row r="105" spans="1:10" x14ac:dyDescent="0.3">
      <c r="A105">
        <v>103</v>
      </c>
      <c r="B105">
        <v>1640</v>
      </c>
      <c r="C105" t="b">
        <v>1</v>
      </c>
      <c r="D105">
        <v>8042</v>
      </c>
      <c r="E105">
        <v>8123</v>
      </c>
      <c r="F105">
        <v>8</v>
      </c>
      <c r="G105">
        <v>5.6</v>
      </c>
      <c r="H105">
        <v>1.4285715000000001</v>
      </c>
      <c r="I105">
        <v>-0.42857146000000002</v>
      </c>
      <c r="J105">
        <v>0.41176467999999999</v>
      </c>
    </row>
    <row r="106" spans="1:10" x14ac:dyDescent="0.3">
      <c r="A106">
        <v>104</v>
      </c>
      <c r="B106">
        <v>1656</v>
      </c>
      <c r="C106" t="b">
        <v>1</v>
      </c>
      <c r="D106">
        <v>8048</v>
      </c>
      <c r="E106">
        <v>8123</v>
      </c>
      <c r="F106">
        <v>8</v>
      </c>
      <c r="G106">
        <v>5.6</v>
      </c>
      <c r="H106">
        <v>1.4285715000000001</v>
      </c>
      <c r="I106">
        <v>-0.42857146000000002</v>
      </c>
      <c r="J106">
        <v>0.41176467999999999</v>
      </c>
    </row>
    <row r="107" spans="1:10" x14ac:dyDescent="0.3">
      <c r="A107">
        <v>105</v>
      </c>
      <c r="B107">
        <v>1672</v>
      </c>
      <c r="C107" t="b">
        <v>1</v>
      </c>
      <c r="D107">
        <v>8048</v>
      </c>
      <c r="E107">
        <v>8123</v>
      </c>
      <c r="F107">
        <v>8</v>
      </c>
      <c r="G107">
        <v>6</v>
      </c>
      <c r="H107">
        <v>1.3333333999999999</v>
      </c>
      <c r="I107">
        <v>-0.33333333999999998</v>
      </c>
      <c r="J107">
        <v>0.42857142999999998</v>
      </c>
    </row>
    <row r="108" spans="1:10" x14ac:dyDescent="0.3">
      <c r="A108">
        <v>106</v>
      </c>
      <c r="B108">
        <v>1688</v>
      </c>
      <c r="C108" t="b">
        <v>1</v>
      </c>
      <c r="D108">
        <v>8054</v>
      </c>
      <c r="E108">
        <v>8117</v>
      </c>
      <c r="F108">
        <v>8</v>
      </c>
      <c r="G108">
        <v>6.4</v>
      </c>
      <c r="H108">
        <v>1.25</v>
      </c>
      <c r="I108">
        <v>-0.24999999000000001</v>
      </c>
      <c r="J108">
        <v>0.44444447999999998</v>
      </c>
    </row>
    <row r="109" spans="1:10" x14ac:dyDescent="0.3">
      <c r="A109">
        <v>107</v>
      </c>
      <c r="B109">
        <v>1704</v>
      </c>
      <c r="C109" t="b">
        <v>1</v>
      </c>
      <c r="D109">
        <v>8054</v>
      </c>
      <c r="E109">
        <v>8123</v>
      </c>
      <c r="F109">
        <v>8</v>
      </c>
      <c r="G109">
        <v>6.8</v>
      </c>
      <c r="H109">
        <v>1.1764705</v>
      </c>
      <c r="I109">
        <v>-0.17647055</v>
      </c>
      <c r="J109">
        <v>0.45945944999999999</v>
      </c>
    </row>
    <row r="110" spans="1:10" x14ac:dyDescent="0.3">
      <c r="A110">
        <v>108</v>
      </c>
      <c r="B110">
        <v>1719</v>
      </c>
      <c r="C110" t="b">
        <v>1</v>
      </c>
      <c r="D110">
        <v>8054</v>
      </c>
      <c r="E110">
        <v>8123</v>
      </c>
      <c r="F110">
        <v>8.4</v>
      </c>
      <c r="G110">
        <v>7.2</v>
      </c>
      <c r="H110">
        <v>1.1666666000000001</v>
      </c>
      <c r="I110">
        <v>-0.16666664</v>
      </c>
      <c r="J110">
        <v>0.46153845999999998</v>
      </c>
    </row>
    <row r="111" spans="1:10" x14ac:dyDescent="0.3">
      <c r="A111">
        <v>109</v>
      </c>
      <c r="B111">
        <v>1735</v>
      </c>
      <c r="C111" t="b">
        <v>1</v>
      </c>
      <c r="D111">
        <v>8054</v>
      </c>
      <c r="E111">
        <v>8123</v>
      </c>
      <c r="F111">
        <v>8.8000000000000007</v>
      </c>
      <c r="G111">
        <v>7.6</v>
      </c>
      <c r="H111">
        <v>1.1578946999999999</v>
      </c>
      <c r="I111">
        <v>-0.15789478000000001</v>
      </c>
      <c r="J111">
        <v>0.46341463999999999</v>
      </c>
    </row>
    <row r="112" spans="1:10" x14ac:dyDescent="0.3">
      <c r="A112">
        <v>110</v>
      </c>
      <c r="B112">
        <v>1751</v>
      </c>
      <c r="C112" t="b">
        <v>1</v>
      </c>
      <c r="D112">
        <v>8054</v>
      </c>
      <c r="E112">
        <v>8123</v>
      </c>
      <c r="F112">
        <v>9.1999999999999993</v>
      </c>
      <c r="G112">
        <v>8</v>
      </c>
      <c r="H112">
        <v>1.1499999999999999</v>
      </c>
      <c r="I112">
        <v>-0.14999998</v>
      </c>
      <c r="J112">
        <v>0.46511626</v>
      </c>
    </row>
    <row r="113" spans="1:10" x14ac:dyDescent="0.3">
      <c r="A113">
        <v>111</v>
      </c>
      <c r="B113">
        <v>1767</v>
      </c>
      <c r="C113" t="b">
        <v>1</v>
      </c>
      <c r="D113">
        <v>8054</v>
      </c>
      <c r="E113">
        <v>8123</v>
      </c>
      <c r="F113">
        <v>9.6</v>
      </c>
      <c r="G113">
        <v>8</v>
      </c>
      <c r="H113">
        <v>1.2</v>
      </c>
      <c r="I113">
        <v>-0.20000005000000001</v>
      </c>
      <c r="J113">
        <v>0.45454544000000002</v>
      </c>
    </row>
    <row r="114" spans="1:10" x14ac:dyDescent="0.3">
      <c r="A114">
        <v>112</v>
      </c>
      <c r="B114">
        <v>1783</v>
      </c>
      <c r="C114" t="b">
        <v>1</v>
      </c>
      <c r="D114">
        <v>8048</v>
      </c>
      <c r="E114">
        <v>8123</v>
      </c>
      <c r="F114">
        <v>10</v>
      </c>
      <c r="G114">
        <v>8</v>
      </c>
      <c r="H114">
        <v>1.25</v>
      </c>
      <c r="I114">
        <v>-0.25</v>
      </c>
      <c r="J114">
        <v>0.44444444999999999</v>
      </c>
    </row>
    <row r="115" spans="1:10" x14ac:dyDescent="0.3">
      <c r="A115">
        <v>113</v>
      </c>
      <c r="B115">
        <v>1799</v>
      </c>
      <c r="C115" t="b">
        <v>1</v>
      </c>
      <c r="D115">
        <v>8048</v>
      </c>
      <c r="E115">
        <v>8123</v>
      </c>
      <c r="F115">
        <v>10.4</v>
      </c>
      <c r="G115">
        <v>8</v>
      </c>
      <c r="H115">
        <v>1.3</v>
      </c>
      <c r="I115">
        <v>-0.29999995000000002</v>
      </c>
      <c r="J115">
        <v>0.43478262000000001</v>
      </c>
    </row>
    <row r="116" spans="1:10" x14ac:dyDescent="0.3">
      <c r="A116">
        <v>114</v>
      </c>
      <c r="B116">
        <v>1815</v>
      </c>
      <c r="C116" t="b">
        <v>1</v>
      </c>
      <c r="D116">
        <v>8048</v>
      </c>
      <c r="E116">
        <v>8123</v>
      </c>
      <c r="F116">
        <v>10.4</v>
      </c>
      <c r="G116">
        <v>8</v>
      </c>
      <c r="H116">
        <v>1.3</v>
      </c>
      <c r="I116">
        <v>-0.29999995000000002</v>
      </c>
      <c r="J116">
        <v>0.43478262000000001</v>
      </c>
    </row>
    <row r="117" spans="1:10" x14ac:dyDescent="0.3">
      <c r="A117">
        <v>115</v>
      </c>
      <c r="B117">
        <v>1831</v>
      </c>
      <c r="C117" t="b">
        <v>1</v>
      </c>
      <c r="D117">
        <v>8048</v>
      </c>
      <c r="E117">
        <v>8123</v>
      </c>
      <c r="F117">
        <v>10.4</v>
      </c>
      <c r="G117">
        <v>8</v>
      </c>
      <c r="H117">
        <v>1.3</v>
      </c>
      <c r="I117">
        <v>-0.29999995000000002</v>
      </c>
      <c r="J117">
        <v>0.43478262000000001</v>
      </c>
    </row>
    <row r="118" spans="1:10" x14ac:dyDescent="0.3">
      <c r="A118">
        <v>116</v>
      </c>
      <c r="B118">
        <v>1846</v>
      </c>
      <c r="C118" t="b">
        <v>1</v>
      </c>
      <c r="D118">
        <v>8048</v>
      </c>
      <c r="E118">
        <v>8123</v>
      </c>
      <c r="F118">
        <v>10.4</v>
      </c>
      <c r="G118">
        <v>8</v>
      </c>
      <c r="H118">
        <v>1.3</v>
      </c>
      <c r="I118">
        <v>-0.29999995000000002</v>
      </c>
      <c r="J118">
        <v>0.43478262000000001</v>
      </c>
    </row>
    <row r="119" spans="1:10" x14ac:dyDescent="0.3">
      <c r="A119">
        <v>117</v>
      </c>
      <c r="B119">
        <v>1862</v>
      </c>
      <c r="C119" t="b">
        <v>1</v>
      </c>
      <c r="D119">
        <v>8048</v>
      </c>
      <c r="E119">
        <v>8123</v>
      </c>
      <c r="F119">
        <v>10.4</v>
      </c>
      <c r="G119">
        <v>8</v>
      </c>
      <c r="H119">
        <v>1.3</v>
      </c>
      <c r="I119">
        <v>-0.29999995000000002</v>
      </c>
      <c r="J119">
        <v>0.43478262000000001</v>
      </c>
    </row>
    <row r="120" spans="1:10" x14ac:dyDescent="0.3">
      <c r="A120">
        <v>118</v>
      </c>
      <c r="B120">
        <v>1878</v>
      </c>
      <c r="C120" t="b">
        <v>1</v>
      </c>
      <c r="D120">
        <v>8048</v>
      </c>
      <c r="E120">
        <v>8123</v>
      </c>
      <c r="F120">
        <v>10.4</v>
      </c>
      <c r="G120">
        <v>8</v>
      </c>
      <c r="H120">
        <v>1.3</v>
      </c>
      <c r="I120">
        <v>-0.29999995000000002</v>
      </c>
      <c r="J120">
        <v>0.43478262000000001</v>
      </c>
    </row>
    <row r="121" spans="1:10" x14ac:dyDescent="0.3">
      <c r="A121">
        <v>119</v>
      </c>
      <c r="B121">
        <v>1894</v>
      </c>
      <c r="C121" t="b">
        <v>1</v>
      </c>
      <c r="D121">
        <v>8048</v>
      </c>
      <c r="E121">
        <v>8123</v>
      </c>
      <c r="F121">
        <v>10.4</v>
      </c>
      <c r="G121">
        <v>8</v>
      </c>
      <c r="H121">
        <v>1.3</v>
      </c>
      <c r="I121">
        <v>-0.29999995000000002</v>
      </c>
      <c r="J121">
        <v>0.43478262000000001</v>
      </c>
    </row>
    <row r="122" spans="1:10" x14ac:dyDescent="0.3">
      <c r="A122">
        <v>120</v>
      </c>
      <c r="B122">
        <v>1910</v>
      </c>
      <c r="C122" t="b">
        <v>1</v>
      </c>
      <c r="D122">
        <v>8048</v>
      </c>
      <c r="E122">
        <v>8123</v>
      </c>
      <c r="F122">
        <v>10.4</v>
      </c>
      <c r="G122">
        <v>8</v>
      </c>
      <c r="H122">
        <v>1.3</v>
      </c>
      <c r="I122">
        <v>-0.29999995000000002</v>
      </c>
      <c r="J122">
        <v>0.43478262000000001</v>
      </c>
    </row>
    <row r="123" spans="1:10" x14ac:dyDescent="0.3">
      <c r="A123">
        <v>121</v>
      </c>
      <c r="B123">
        <v>1926</v>
      </c>
      <c r="C123" t="b">
        <v>1</v>
      </c>
      <c r="D123">
        <v>8048</v>
      </c>
      <c r="E123">
        <v>8123</v>
      </c>
      <c r="F123">
        <v>10.4</v>
      </c>
      <c r="G123">
        <v>8</v>
      </c>
      <c r="H123">
        <v>1.3</v>
      </c>
      <c r="I123">
        <v>-0.29999995000000002</v>
      </c>
      <c r="J123">
        <v>0.43478262000000001</v>
      </c>
    </row>
    <row r="124" spans="1:10" x14ac:dyDescent="0.3">
      <c r="A124">
        <v>122</v>
      </c>
      <c r="B124">
        <v>1942</v>
      </c>
      <c r="C124" t="b">
        <v>1</v>
      </c>
      <c r="D124">
        <v>8048</v>
      </c>
      <c r="E124">
        <v>8123</v>
      </c>
      <c r="F124">
        <v>10.4</v>
      </c>
      <c r="G124">
        <v>8</v>
      </c>
      <c r="H124">
        <v>1.3</v>
      </c>
      <c r="I124">
        <v>-0.29999995000000002</v>
      </c>
      <c r="J124">
        <v>0.43478262000000001</v>
      </c>
    </row>
    <row r="125" spans="1:10" x14ac:dyDescent="0.3">
      <c r="A125">
        <v>123</v>
      </c>
      <c r="B125">
        <v>1958</v>
      </c>
      <c r="C125" t="b">
        <v>1</v>
      </c>
      <c r="D125">
        <v>8042</v>
      </c>
      <c r="E125">
        <v>8123</v>
      </c>
      <c r="F125">
        <v>10</v>
      </c>
      <c r="G125">
        <v>8</v>
      </c>
      <c r="H125">
        <v>1.25</v>
      </c>
      <c r="I125">
        <v>-0.25</v>
      </c>
      <c r="J125">
        <v>0.44444444999999999</v>
      </c>
    </row>
    <row r="126" spans="1:10" x14ac:dyDescent="0.3">
      <c r="A126">
        <v>124</v>
      </c>
      <c r="B126">
        <v>1974</v>
      </c>
      <c r="C126" t="b">
        <v>1</v>
      </c>
      <c r="D126">
        <v>8048</v>
      </c>
      <c r="E126">
        <v>8123</v>
      </c>
      <c r="F126">
        <v>9.6</v>
      </c>
      <c r="G126">
        <v>8</v>
      </c>
      <c r="H126">
        <v>1.2</v>
      </c>
      <c r="I126">
        <v>-0.20000005000000001</v>
      </c>
      <c r="J126">
        <v>0.45454544000000002</v>
      </c>
    </row>
    <row r="127" spans="1:10" x14ac:dyDescent="0.3">
      <c r="A127">
        <v>125</v>
      </c>
      <c r="B127">
        <v>1990</v>
      </c>
      <c r="C127" t="b">
        <v>1</v>
      </c>
      <c r="D127">
        <v>8048</v>
      </c>
      <c r="E127">
        <v>8123</v>
      </c>
      <c r="F127">
        <v>9.1999999999999993</v>
      </c>
      <c r="G127">
        <v>8</v>
      </c>
      <c r="H127">
        <v>1.1499999999999999</v>
      </c>
      <c r="I127">
        <v>-0.14999998</v>
      </c>
      <c r="J127">
        <v>0.46511626</v>
      </c>
    </row>
    <row r="128" spans="1:10" x14ac:dyDescent="0.3">
      <c r="A128">
        <v>126</v>
      </c>
      <c r="B128">
        <v>2006</v>
      </c>
      <c r="C128" t="b">
        <v>1</v>
      </c>
      <c r="D128">
        <v>8048</v>
      </c>
      <c r="E128">
        <v>8123</v>
      </c>
      <c r="F128">
        <v>8.8000000000000007</v>
      </c>
      <c r="G128">
        <v>8</v>
      </c>
      <c r="H128">
        <v>1.1000000000000001</v>
      </c>
      <c r="I128">
        <v>-0.10000002400000001</v>
      </c>
      <c r="J128">
        <v>0.47619050000000002</v>
      </c>
    </row>
    <row r="129" spans="1:10" x14ac:dyDescent="0.3">
      <c r="A129">
        <v>127</v>
      </c>
      <c r="B129">
        <v>2022</v>
      </c>
      <c r="C129" t="b">
        <v>1</v>
      </c>
      <c r="D129">
        <v>8054</v>
      </c>
      <c r="E129">
        <v>8123</v>
      </c>
      <c r="F129">
        <v>8.4</v>
      </c>
      <c r="G129">
        <v>8</v>
      </c>
      <c r="H129">
        <v>1.05</v>
      </c>
      <c r="I129">
        <v>-4.9999952E-2</v>
      </c>
      <c r="J129">
        <v>0.48780489999999999</v>
      </c>
    </row>
    <row r="130" spans="1:10" x14ac:dyDescent="0.3">
      <c r="A130">
        <v>128</v>
      </c>
      <c r="B130">
        <v>2038</v>
      </c>
      <c r="C130" t="b">
        <v>1</v>
      </c>
      <c r="D130">
        <v>8054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2053</v>
      </c>
      <c r="C131" t="b">
        <v>1</v>
      </c>
      <c r="D131">
        <v>8048</v>
      </c>
      <c r="E131">
        <v>8117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2069</v>
      </c>
      <c r="C132" t="b">
        <v>1</v>
      </c>
      <c r="D132">
        <v>8054</v>
      </c>
      <c r="E132">
        <v>8123</v>
      </c>
      <c r="F132">
        <v>8.4</v>
      </c>
      <c r="G132">
        <v>8</v>
      </c>
      <c r="H132">
        <v>1.05</v>
      </c>
      <c r="I132">
        <v>-4.9999952E-2</v>
      </c>
      <c r="J132">
        <v>0.48780489999999999</v>
      </c>
    </row>
    <row r="133" spans="1:10" x14ac:dyDescent="0.3">
      <c r="A133">
        <v>131</v>
      </c>
      <c r="B133">
        <v>2085</v>
      </c>
      <c r="C133" t="b">
        <v>1</v>
      </c>
      <c r="D133">
        <v>8048</v>
      </c>
      <c r="E133">
        <v>8123</v>
      </c>
      <c r="F133">
        <v>8.8000000000000007</v>
      </c>
      <c r="G133">
        <v>8</v>
      </c>
      <c r="H133">
        <v>1.1000000000000001</v>
      </c>
      <c r="I133">
        <v>-0.10000002400000001</v>
      </c>
      <c r="J133">
        <v>0.47619050000000002</v>
      </c>
    </row>
    <row r="134" spans="1:10" x14ac:dyDescent="0.3">
      <c r="A134">
        <v>132</v>
      </c>
      <c r="B134">
        <v>2101</v>
      </c>
      <c r="C134" t="b">
        <v>1</v>
      </c>
      <c r="D134">
        <v>8042</v>
      </c>
      <c r="E134">
        <v>8123</v>
      </c>
      <c r="F134">
        <v>8.8000000000000007</v>
      </c>
      <c r="G134">
        <v>8</v>
      </c>
      <c r="H134">
        <v>1.1000000000000001</v>
      </c>
      <c r="I134">
        <v>-0.10000002400000001</v>
      </c>
      <c r="J134">
        <v>0.47619050000000002</v>
      </c>
    </row>
    <row r="135" spans="1:10" x14ac:dyDescent="0.3">
      <c r="A135">
        <v>133</v>
      </c>
      <c r="B135">
        <v>2117</v>
      </c>
      <c r="C135" t="b">
        <v>1</v>
      </c>
      <c r="D135">
        <v>8042</v>
      </c>
      <c r="E135">
        <v>8123</v>
      </c>
      <c r="F135">
        <v>8.8000000000000007</v>
      </c>
      <c r="G135">
        <v>8</v>
      </c>
      <c r="H135">
        <v>1.1000000000000001</v>
      </c>
      <c r="I135">
        <v>-0.10000002400000001</v>
      </c>
      <c r="J135">
        <v>0.47619050000000002</v>
      </c>
    </row>
    <row r="136" spans="1:10" x14ac:dyDescent="0.3">
      <c r="A136">
        <v>134</v>
      </c>
      <c r="B136">
        <v>2132</v>
      </c>
      <c r="C136" t="b">
        <v>1</v>
      </c>
      <c r="D136">
        <v>8054</v>
      </c>
      <c r="E136">
        <v>8117</v>
      </c>
      <c r="F136">
        <v>8.8000000000000007</v>
      </c>
      <c r="G136">
        <v>8</v>
      </c>
      <c r="H136">
        <v>1.1000000000000001</v>
      </c>
      <c r="I136">
        <v>-0.10000002400000001</v>
      </c>
      <c r="J136">
        <v>0.47619050000000002</v>
      </c>
    </row>
    <row r="137" spans="1:10" x14ac:dyDescent="0.3">
      <c r="A137">
        <v>135</v>
      </c>
      <c r="B137">
        <v>2148</v>
      </c>
      <c r="C137" t="b">
        <v>1</v>
      </c>
      <c r="D137">
        <v>8048</v>
      </c>
      <c r="E137">
        <v>8123</v>
      </c>
      <c r="F137">
        <v>8.8000000000000007</v>
      </c>
      <c r="G137">
        <v>8</v>
      </c>
      <c r="H137">
        <v>1.1000000000000001</v>
      </c>
      <c r="I137">
        <v>-0.10000002400000001</v>
      </c>
      <c r="J137">
        <v>0.47619050000000002</v>
      </c>
    </row>
    <row r="138" spans="1:10" x14ac:dyDescent="0.3">
      <c r="A138">
        <v>136</v>
      </c>
      <c r="B138">
        <v>2165</v>
      </c>
      <c r="C138" t="b">
        <v>1</v>
      </c>
      <c r="D138">
        <v>8048</v>
      </c>
      <c r="E138">
        <v>8117</v>
      </c>
      <c r="F138">
        <v>8.8000000000000007</v>
      </c>
      <c r="G138">
        <v>8</v>
      </c>
      <c r="H138">
        <v>1.1000000000000001</v>
      </c>
      <c r="I138">
        <v>-0.10000002400000001</v>
      </c>
      <c r="J138">
        <v>0.47619050000000002</v>
      </c>
    </row>
    <row r="139" spans="1:10" x14ac:dyDescent="0.3">
      <c r="A139">
        <v>137</v>
      </c>
      <c r="B139">
        <v>2180</v>
      </c>
      <c r="C139" t="b">
        <v>1</v>
      </c>
      <c r="D139">
        <v>8048</v>
      </c>
      <c r="E139">
        <v>8123</v>
      </c>
      <c r="F139">
        <v>8.8000000000000007</v>
      </c>
      <c r="G139">
        <v>8</v>
      </c>
      <c r="H139">
        <v>1.1000000000000001</v>
      </c>
      <c r="I139">
        <v>-0.10000002400000001</v>
      </c>
      <c r="J139">
        <v>0.47619050000000002</v>
      </c>
    </row>
    <row r="140" spans="1:10" x14ac:dyDescent="0.3">
      <c r="A140">
        <v>138</v>
      </c>
      <c r="B140">
        <v>2197</v>
      </c>
      <c r="C140" t="b">
        <v>1</v>
      </c>
      <c r="D140">
        <v>8048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2213</v>
      </c>
      <c r="C141" t="b">
        <v>1</v>
      </c>
      <c r="D141">
        <v>8048</v>
      </c>
      <c r="E141">
        <v>8123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2229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2245</v>
      </c>
      <c r="C143" t="b">
        <v>1</v>
      </c>
      <c r="D143">
        <v>8054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2277</v>
      </c>
      <c r="C145" t="b">
        <v>1</v>
      </c>
      <c r="D145">
        <v>8054</v>
      </c>
      <c r="E145">
        <v>8117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2308</v>
      </c>
      <c r="C147" t="b">
        <v>1</v>
      </c>
      <c r="D147">
        <v>8048</v>
      </c>
      <c r="E147">
        <v>8117</v>
      </c>
      <c r="F147">
        <v>8.4</v>
      </c>
      <c r="G147">
        <v>8</v>
      </c>
      <c r="H147">
        <v>1.05</v>
      </c>
      <c r="I147">
        <v>-4.9999952E-2</v>
      </c>
      <c r="J147">
        <v>0.48780489999999999</v>
      </c>
    </row>
    <row r="148" spans="1:10" x14ac:dyDescent="0.3">
      <c r="A148">
        <v>146</v>
      </c>
      <c r="B148">
        <v>2324</v>
      </c>
      <c r="C148" t="b">
        <v>1</v>
      </c>
      <c r="D148">
        <v>8048</v>
      </c>
      <c r="E148">
        <v>8117</v>
      </c>
      <c r="F148">
        <v>8</v>
      </c>
      <c r="G148">
        <v>7.6</v>
      </c>
      <c r="H148">
        <v>1.0526316</v>
      </c>
      <c r="I148">
        <v>-5.2631589999999999E-2</v>
      </c>
      <c r="J148">
        <v>0.48717946000000001</v>
      </c>
    </row>
    <row r="149" spans="1:10" x14ac:dyDescent="0.3">
      <c r="A149">
        <v>147</v>
      </c>
      <c r="B149">
        <v>2340</v>
      </c>
      <c r="C149" t="b">
        <v>1</v>
      </c>
      <c r="D149">
        <v>8048</v>
      </c>
      <c r="E149">
        <v>8123</v>
      </c>
      <c r="F149">
        <v>8</v>
      </c>
      <c r="G149">
        <v>7.2</v>
      </c>
      <c r="H149">
        <v>1.1111112000000001</v>
      </c>
      <c r="I149">
        <v>-0.11111114</v>
      </c>
      <c r="J149">
        <v>0.4736842</v>
      </c>
    </row>
    <row r="150" spans="1:10" x14ac:dyDescent="0.3">
      <c r="A150">
        <v>148</v>
      </c>
      <c r="B150">
        <v>2356</v>
      </c>
      <c r="C150" t="b">
        <v>1</v>
      </c>
      <c r="D150">
        <v>8048</v>
      </c>
      <c r="E150">
        <v>8123</v>
      </c>
      <c r="F150">
        <v>8</v>
      </c>
      <c r="G150">
        <v>7.2</v>
      </c>
      <c r="H150">
        <v>1.1111112000000001</v>
      </c>
      <c r="I150">
        <v>-0.11111114</v>
      </c>
      <c r="J150">
        <v>0.4736842</v>
      </c>
    </row>
    <row r="151" spans="1:10" x14ac:dyDescent="0.3">
      <c r="A151">
        <v>149</v>
      </c>
      <c r="B151">
        <v>2372</v>
      </c>
      <c r="C151" t="b">
        <v>1</v>
      </c>
      <c r="D151">
        <v>8048</v>
      </c>
      <c r="E151">
        <v>8117</v>
      </c>
      <c r="F151">
        <v>8</v>
      </c>
      <c r="G151">
        <v>6.8</v>
      </c>
      <c r="H151">
        <v>1.1764705</v>
      </c>
      <c r="I151">
        <v>-0.17647055</v>
      </c>
      <c r="J151">
        <v>0.45945944999999999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8</v>
      </c>
      <c r="G152">
        <v>6.8</v>
      </c>
      <c r="H152">
        <v>1.1764705</v>
      </c>
      <c r="I152">
        <v>-0.17647055</v>
      </c>
      <c r="J152">
        <v>0.45945944999999999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8123</v>
      </c>
      <c r="F153">
        <v>8</v>
      </c>
      <c r="G153">
        <v>6.8</v>
      </c>
      <c r="H153">
        <v>1.1764705</v>
      </c>
      <c r="I153">
        <v>-0.17647055</v>
      </c>
      <c r="J153">
        <v>0.45945944999999999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8123</v>
      </c>
      <c r="F154">
        <v>8</v>
      </c>
      <c r="G154">
        <v>6.8</v>
      </c>
      <c r="H154">
        <v>1.1764705</v>
      </c>
      <c r="I154">
        <v>-0.17647055</v>
      </c>
      <c r="J154">
        <v>0.45945944999999999</v>
      </c>
    </row>
    <row r="155" spans="1:10" x14ac:dyDescent="0.3">
      <c r="A155">
        <v>153</v>
      </c>
      <c r="B155">
        <v>2435</v>
      </c>
      <c r="C155" t="b">
        <v>1</v>
      </c>
      <c r="D155">
        <v>8048</v>
      </c>
      <c r="E155">
        <v>8123</v>
      </c>
      <c r="F155">
        <v>8</v>
      </c>
      <c r="G155">
        <v>6.8</v>
      </c>
      <c r="H155">
        <v>1.1764705</v>
      </c>
      <c r="I155">
        <v>-0.17647055</v>
      </c>
      <c r="J155">
        <v>0.45945944999999999</v>
      </c>
    </row>
    <row r="156" spans="1:10" x14ac:dyDescent="0.3">
      <c r="A156">
        <v>154</v>
      </c>
      <c r="B156">
        <v>2451</v>
      </c>
      <c r="C156" t="b">
        <v>1</v>
      </c>
      <c r="D156">
        <v>8048</v>
      </c>
      <c r="E156">
        <v>8123</v>
      </c>
      <c r="F156">
        <v>8</v>
      </c>
      <c r="G156">
        <v>6.8</v>
      </c>
      <c r="H156">
        <v>1.1764705</v>
      </c>
      <c r="I156">
        <v>-0.17647055</v>
      </c>
      <c r="J156">
        <v>0.45945944999999999</v>
      </c>
    </row>
    <row r="157" spans="1:10" x14ac:dyDescent="0.3">
      <c r="A157">
        <v>155</v>
      </c>
      <c r="B157">
        <v>2467</v>
      </c>
      <c r="C157" t="b">
        <v>1</v>
      </c>
      <c r="D157">
        <v>8048</v>
      </c>
      <c r="E157">
        <v>8123</v>
      </c>
      <c r="F157">
        <v>8</v>
      </c>
      <c r="G157">
        <v>6.8</v>
      </c>
      <c r="H157">
        <v>1.1764705</v>
      </c>
      <c r="I157">
        <v>-0.17647055</v>
      </c>
      <c r="J157">
        <v>0.45945944999999999</v>
      </c>
    </row>
    <row r="158" spans="1:10" x14ac:dyDescent="0.3">
      <c r="A158">
        <v>156</v>
      </c>
      <c r="B158">
        <v>2483</v>
      </c>
      <c r="C158" t="b">
        <v>1</v>
      </c>
      <c r="D158">
        <v>8048</v>
      </c>
      <c r="E158">
        <v>8123</v>
      </c>
      <c r="F158">
        <v>8</v>
      </c>
      <c r="G158">
        <v>6.8</v>
      </c>
      <c r="H158">
        <v>1.1764705</v>
      </c>
      <c r="I158">
        <v>-0.17647055</v>
      </c>
      <c r="J158">
        <v>0.45945944999999999</v>
      </c>
    </row>
    <row r="159" spans="1:10" x14ac:dyDescent="0.3">
      <c r="A159">
        <v>157</v>
      </c>
      <c r="B159">
        <v>2498</v>
      </c>
      <c r="C159" t="b">
        <v>1</v>
      </c>
      <c r="D159">
        <v>8042</v>
      </c>
      <c r="E159">
        <v>8129</v>
      </c>
      <c r="F159">
        <v>8</v>
      </c>
      <c r="G159">
        <v>6.8</v>
      </c>
      <c r="H159">
        <v>1.1764705</v>
      </c>
      <c r="I159">
        <v>-0.17647055</v>
      </c>
      <c r="J159">
        <v>0.45945944999999999</v>
      </c>
    </row>
    <row r="160" spans="1:10" x14ac:dyDescent="0.3">
      <c r="A160">
        <v>158</v>
      </c>
      <c r="B160">
        <v>2514</v>
      </c>
      <c r="C160" t="b">
        <v>1</v>
      </c>
      <c r="D160">
        <v>8048</v>
      </c>
      <c r="E160">
        <v>8123</v>
      </c>
      <c r="F160">
        <v>8</v>
      </c>
      <c r="G160">
        <v>6.8</v>
      </c>
      <c r="H160">
        <v>1.1764705</v>
      </c>
      <c r="I160">
        <v>-0.17647055</v>
      </c>
      <c r="J160">
        <v>0.45945944999999999</v>
      </c>
    </row>
    <row r="161" spans="1:10" x14ac:dyDescent="0.3">
      <c r="A161">
        <v>159</v>
      </c>
      <c r="B161">
        <v>2530</v>
      </c>
      <c r="C161" t="b">
        <v>1</v>
      </c>
      <c r="D161">
        <v>8048</v>
      </c>
      <c r="E161">
        <v>8117</v>
      </c>
      <c r="F161">
        <v>8</v>
      </c>
      <c r="G161">
        <v>6.8</v>
      </c>
      <c r="H161">
        <v>1.1764705</v>
      </c>
      <c r="I161">
        <v>-0.17647055</v>
      </c>
      <c r="J161">
        <v>0.45945944999999999</v>
      </c>
    </row>
    <row r="162" spans="1:10" x14ac:dyDescent="0.3">
      <c r="A162">
        <v>160</v>
      </c>
      <c r="B162">
        <v>2546</v>
      </c>
      <c r="C162" t="b">
        <v>1</v>
      </c>
      <c r="D162">
        <v>8048</v>
      </c>
      <c r="E162">
        <v>8117</v>
      </c>
      <c r="F162">
        <v>8</v>
      </c>
      <c r="G162">
        <v>6.8</v>
      </c>
      <c r="H162">
        <v>1.1764705</v>
      </c>
      <c r="I162">
        <v>-0.17647055</v>
      </c>
      <c r="J162">
        <v>0.45945944999999999</v>
      </c>
    </row>
    <row r="163" spans="1:10" x14ac:dyDescent="0.3">
      <c r="A163">
        <v>161</v>
      </c>
      <c r="B163">
        <v>2562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2578</v>
      </c>
      <c r="C164" t="b">
        <v>1</v>
      </c>
      <c r="D164">
        <v>8048</v>
      </c>
      <c r="E164">
        <v>8123</v>
      </c>
      <c r="F164">
        <v>8</v>
      </c>
      <c r="G164">
        <v>6.8</v>
      </c>
      <c r="H164">
        <v>1.1764705</v>
      </c>
      <c r="I164">
        <v>-0.17647055</v>
      </c>
      <c r="J164">
        <v>0.45945944999999999</v>
      </c>
    </row>
    <row r="165" spans="1:10" x14ac:dyDescent="0.3">
      <c r="A165">
        <v>163</v>
      </c>
      <c r="B165">
        <v>2594</v>
      </c>
      <c r="C165" t="b">
        <v>1</v>
      </c>
      <c r="D165">
        <v>8048</v>
      </c>
      <c r="E165">
        <v>8123</v>
      </c>
      <c r="F165">
        <v>8</v>
      </c>
      <c r="G165">
        <v>6.4</v>
      </c>
      <c r="H165">
        <v>1.25</v>
      </c>
      <c r="I165">
        <v>-0.24999999000000001</v>
      </c>
      <c r="J165">
        <v>0.44444447999999998</v>
      </c>
    </row>
    <row r="166" spans="1:10" x14ac:dyDescent="0.3">
      <c r="A166">
        <v>164</v>
      </c>
      <c r="B166">
        <v>2610</v>
      </c>
      <c r="C166" t="b">
        <v>1</v>
      </c>
      <c r="D166">
        <v>8048</v>
      </c>
      <c r="E166">
        <v>8123</v>
      </c>
      <c r="F166">
        <v>8</v>
      </c>
      <c r="G166">
        <v>6.8</v>
      </c>
      <c r="H166">
        <v>1.1764705</v>
      </c>
      <c r="I166">
        <v>-0.17647055</v>
      </c>
      <c r="J166">
        <v>0.45945944999999999</v>
      </c>
    </row>
    <row r="167" spans="1:10" x14ac:dyDescent="0.3">
      <c r="A167">
        <v>165</v>
      </c>
      <c r="B167">
        <v>2626</v>
      </c>
      <c r="C167" t="b">
        <v>1</v>
      </c>
      <c r="D167">
        <v>8048</v>
      </c>
      <c r="E167">
        <v>8123</v>
      </c>
      <c r="F167">
        <v>8</v>
      </c>
      <c r="G167">
        <v>6.8</v>
      </c>
      <c r="H167">
        <v>1.1764705</v>
      </c>
      <c r="I167">
        <v>-0.17647055</v>
      </c>
      <c r="J167">
        <v>0.45945944999999999</v>
      </c>
    </row>
    <row r="168" spans="1:10" x14ac:dyDescent="0.3">
      <c r="A168">
        <v>166</v>
      </c>
      <c r="B168">
        <v>2642</v>
      </c>
      <c r="C168" t="b">
        <v>1</v>
      </c>
      <c r="D168">
        <v>8048</v>
      </c>
      <c r="E168">
        <v>8123</v>
      </c>
      <c r="F168">
        <v>8</v>
      </c>
      <c r="G168">
        <v>6.8</v>
      </c>
      <c r="H168">
        <v>1.1764705</v>
      </c>
      <c r="I168">
        <v>-0.17647055</v>
      </c>
      <c r="J168">
        <v>0.45945944999999999</v>
      </c>
    </row>
    <row r="169" spans="1:10" x14ac:dyDescent="0.3">
      <c r="A169">
        <v>167</v>
      </c>
      <c r="B169">
        <v>2657</v>
      </c>
      <c r="C169" t="b">
        <v>1</v>
      </c>
      <c r="D169">
        <v>8048</v>
      </c>
      <c r="E169">
        <v>8123</v>
      </c>
      <c r="F169">
        <v>8</v>
      </c>
      <c r="G169">
        <v>6.8</v>
      </c>
      <c r="H169">
        <v>1.1764705</v>
      </c>
      <c r="I169">
        <v>-0.17647055</v>
      </c>
      <c r="J169">
        <v>0.45945944999999999</v>
      </c>
    </row>
    <row r="170" spans="1:10" x14ac:dyDescent="0.3">
      <c r="A170">
        <v>168</v>
      </c>
      <c r="B170">
        <v>2673</v>
      </c>
      <c r="C170" t="b">
        <v>1</v>
      </c>
      <c r="D170">
        <v>8048</v>
      </c>
      <c r="E170">
        <v>8123</v>
      </c>
      <c r="F170">
        <v>8</v>
      </c>
      <c r="G170">
        <v>6.8</v>
      </c>
      <c r="H170">
        <v>1.1764705</v>
      </c>
      <c r="I170">
        <v>-0.17647055</v>
      </c>
      <c r="J170">
        <v>0.45945944999999999</v>
      </c>
    </row>
    <row r="171" spans="1:10" x14ac:dyDescent="0.3">
      <c r="A171">
        <v>169</v>
      </c>
      <c r="B171">
        <v>2689</v>
      </c>
      <c r="C171" t="b">
        <v>1</v>
      </c>
      <c r="D171">
        <v>8048</v>
      </c>
      <c r="E171">
        <v>8123</v>
      </c>
      <c r="F171">
        <v>8</v>
      </c>
      <c r="G171">
        <v>6.8</v>
      </c>
      <c r="H171">
        <v>1.1764705</v>
      </c>
      <c r="I171">
        <v>-0.17647055</v>
      </c>
      <c r="J171">
        <v>0.45945944999999999</v>
      </c>
    </row>
    <row r="172" spans="1:10" x14ac:dyDescent="0.3">
      <c r="A172">
        <v>170</v>
      </c>
      <c r="B172">
        <v>2705</v>
      </c>
      <c r="C172" t="b">
        <v>1</v>
      </c>
      <c r="D172">
        <v>8048</v>
      </c>
      <c r="E172">
        <v>8123</v>
      </c>
      <c r="F172">
        <v>8</v>
      </c>
      <c r="G172">
        <v>6.8</v>
      </c>
      <c r="H172">
        <v>1.1764705</v>
      </c>
      <c r="I172">
        <v>-0.17647055</v>
      </c>
      <c r="J172">
        <v>0.45945944999999999</v>
      </c>
    </row>
    <row r="173" spans="1:10" x14ac:dyDescent="0.3">
      <c r="A173">
        <v>171</v>
      </c>
      <c r="B173">
        <v>2721</v>
      </c>
      <c r="C173" t="b">
        <v>1</v>
      </c>
      <c r="D173">
        <v>8048</v>
      </c>
      <c r="E173">
        <v>8123</v>
      </c>
      <c r="F173">
        <v>8</v>
      </c>
      <c r="G173">
        <v>6.8</v>
      </c>
      <c r="H173">
        <v>1.1764705</v>
      </c>
      <c r="I173">
        <v>-0.17647055</v>
      </c>
      <c r="J173">
        <v>0.45945944999999999</v>
      </c>
    </row>
    <row r="174" spans="1:10" x14ac:dyDescent="0.3">
      <c r="A174">
        <v>172</v>
      </c>
      <c r="B174">
        <v>2737</v>
      </c>
      <c r="C174" t="b">
        <v>1</v>
      </c>
      <c r="D174">
        <v>8048</v>
      </c>
      <c r="E174">
        <v>8123</v>
      </c>
      <c r="F174">
        <v>8</v>
      </c>
      <c r="G174">
        <v>6.8</v>
      </c>
      <c r="H174">
        <v>1.1764705</v>
      </c>
      <c r="I174">
        <v>-0.17647055</v>
      </c>
      <c r="J174">
        <v>0.45945944999999999</v>
      </c>
    </row>
    <row r="175" spans="1:10" x14ac:dyDescent="0.3">
      <c r="A175">
        <v>173</v>
      </c>
      <c r="B175">
        <v>2753</v>
      </c>
      <c r="C175" t="b">
        <v>1</v>
      </c>
      <c r="D175">
        <v>8048</v>
      </c>
      <c r="E175">
        <v>8123</v>
      </c>
      <c r="F175">
        <v>8</v>
      </c>
      <c r="G175">
        <v>6.8</v>
      </c>
      <c r="H175">
        <v>1.1764705</v>
      </c>
      <c r="I175">
        <v>-0.17647055</v>
      </c>
      <c r="J175">
        <v>0.45945944999999999</v>
      </c>
    </row>
    <row r="176" spans="1:10" x14ac:dyDescent="0.3">
      <c r="A176">
        <v>174</v>
      </c>
      <c r="B176">
        <v>2769</v>
      </c>
      <c r="C176" t="b">
        <v>1</v>
      </c>
      <c r="D176">
        <v>8048</v>
      </c>
      <c r="E176">
        <v>8123</v>
      </c>
      <c r="F176">
        <v>8</v>
      </c>
      <c r="G176">
        <v>6.8</v>
      </c>
      <c r="H176">
        <v>1.1764705</v>
      </c>
      <c r="I176">
        <v>-0.17647055</v>
      </c>
      <c r="J176">
        <v>0.45945944999999999</v>
      </c>
    </row>
    <row r="177" spans="1:10" x14ac:dyDescent="0.3">
      <c r="A177">
        <v>175</v>
      </c>
      <c r="B177">
        <v>2784</v>
      </c>
      <c r="C177" t="b">
        <v>1</v>
      </c>
      <c r="D177">
        <v>8048</v>
      </c>
      <c r="E177">
        <v>8129</v>
      </c>
      <c r="F177">
        <v>8</v>
      </c>
      <c r="G177">
        <v>6.8</v>
      </c>
      <c r="H177">
        <v>1.1764705</v>
      </c>
      <c r="I177">
        <v>-0.17647055</v>
      </c>
      <c r="J177">
        <v>0.45945944999999999</v>
      </c>
    </row>
    <row r="178" spans="1:10" x14ac:dyDescent="0.3">
      <c r="A178">
        <v>176</v>
      </c>
      <c r="B178">
        <v>2800</v>
      </c>
      <c r="C178" t="b">
        <v>1</v>
      </c>
      <c r="D178">
        <v>8048</v>
      </c>
      <c r="E178">
        <v>8123</v>
      </c>
      <c r="F178">
        <v>8</v>
      </c>
      <c r="G178">
        <v>7.2</v>
      </c>
      <c r="H178">
        <v>1.1111112000000001</v>
      </c>
      <c r="I178">
        <v>-0.11111114</v>
      </c>
      <c r="J178">
        <v>0.4736842</v>
      </c>
    </row>
    <row r="179" spans="1:10" x14ac:dyDescent="0.3">
      <c r="A179">
        <v>177</v>
      </c>
      <c r="B179">
        <v>2816</v>
      </c>
      <c r="C179" t="b">
        <v>1</v>
      </c>
      <c r="D179">
        <v>8042</v>
      </c>
      <c r="E179">
        <v>8123</v>
      </c>
      <c r="F179">
        <v>8</v>
      </c>
      <c r="G179">
        <v>7.6</v>
      </c>
      <c r="H179">
        <v>1.0526316</v>
      </c>
      <c r="I179">
        <v>-5.2631589999999999E-2</v>
      </c>
      <c r="J179">
        <v>0.48717946000000001</v>
      </c>
    </row>
    <row r="180" spans="1:10" x14ac:dyDescent="0.3">
      <c r="A180">
        <v>178</v>
      </c>
      <c r="B180">
        <v>2832</v>
      </c>
      <c r="C180" t="b">
        <v>1</v>
      </c>
      <c r="D180">
        <v>8048</v>
      </c>
      <c r="E180">
        <v>8129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2848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2864</v>
      </c>
      <c r="C182" t="b">
        <v>1</v>
      </c>
      <c r="D182">
        <v>8048</v>
      </c>
      <c r="E182">
        <v>8123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2880</v>
      </c>
      <c r="C183" t="b">
        <v>1</v>
      </c>
      <c r="D183">
        <v>8048</v>
      </c>
      <c r="E183">
        <v>8117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2895</v>
      </c>
      <c r="C184" t="b">
        <v>1</v>
      </c>
      <c r="D184">
        <v>8054</v>
      </c>
      <c r="E184">
        <v>8117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2911</v>
      </c>
      <c r="C185" t="b">
        <v>1</v>
      </c>
      <c r="D185">
        <v>8054</v>
      </c>
      <c r="E185">
        <v>8123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2927</v>
      </c>
      <c r="C186" t="b">
        <v>1</v>
      </c>
      <c r="D186">
        <v>8048</v>
      </c>
      <c r="E186">
        <v>8123</v>
      </c>
      <c r="F186">
        <v>8</v>
      </c>
      <c r="G186">
        <v>8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2943</v>
      </c>
      <c r="C187" t="b">
        <v>1</v>
      </c>
      <c r="D187">
        <v>8054</v>
      </c>
      <c r="E187">
        <v>8123</v>
      </c>
      <c r="F187">
        <v>8.4</v>
      </c>
      <c r="G187">
        <v>8</v>
      </c>
      <c r="H187">
        <v>1.05</v>
      </c>
      <c r="I187">
        <v>-4.9999952E-2</v>
      </c>
      <c r="J187">
        <v>0.48780489999999999</v>
      </c>
    </row>
    <row r="188" spans="1:10" x14ac:dyDescent="0.3">
      <c r="A188">
        <v>186</v>
      </c>
      <c r="B188">
        <v>2959</v>
      </c>
      <c r="C188" t="b">
        <v>1</v>
      </c>
      <c r="D188">
        <v>8048</v>
      </c>
      <c r="E188">
        <v>8117</v>
      </c>
      <c r="F188">
        <v>8.8000000000000007</v>
      </c>
      <c r="G188">
        <v>8</v>
      </c>
      <c r="H188">
        <v>1.1000000000000001</v>
      </c>
      <c r="I188">
        <v>-0.10000002400000001</v>
      </c>
      <c r="J188">
        <v>0.47619050000000002</v>
      </c>
    </row>
    <row r="189" spans="1:10" x14ac:dyDescent="0.3">
      <c r="A189">
        <v>187</v>
      </c>
      <c r="B189">
        <v>2975</v>
      </c>
      <c r="C189" t="b">
        <v>1</v>
      </c>
      <c r="D189">
        <v>8048</v>
      </c>
      <c r="E189">
        <v>8123</v>
      </c>
      <c r="F189">
        <v>8.8000000000000007</v>
      </c>
      <c r="G189">
        <v>8</v>
      </c>
      <c r="H189">
        <v>1.1000000000000001</v>
      </c>
      <c r="I189">
        <v>-0.10000002400000001</v>
      </c>
      <c r="J189">
        <v>0.47619050000000002</v>
      </c>
    </row>
    <row r="190" spans="1:10" x14ac:dyDescent="0.3">
      <c r="A190">
        <v>188</v>
      </c>
      <c r="B190">
        <v>2991</v>
      </c>
      <c r="C190" t="b">
        <v>1</v>
      </c>
      <c r="D190">
        <v>8054</v>
      </c>
      <c r="E190">
        <v>8123</v>
      </c>
      <c r="F190">
        <v>8.8000000000000007</v>
      </c>
      <c r="G190">
        <v>8</v>
      </c>
      <c r="H190">
        <v>1.1000000000000001</v>
      </c>
      <c r="I190">
        <v>-0.10000002400000001</v>
      </c>
      <c r="J190">
        <v>0.47619050000000002</v>
      </c>
    </row>
    <row r="191" spans="1:10" x14ac:dyDescent="0.3">
      <c r="A191">
        <v>189</v>
      </c>
      <c r="B191">
        <v>3007</v>
      </c>
      <c r="C191" t="b">
        <v>1</v>
      </c>
      <c r="D191">
        <v>8048</v>
      </c>
      <c r="E191">
        <v>8123</v>
      </c>
      <c r="F191">
        <v>8.8000000000000007</v>
      </c>
      <c r="G191">
        <v>8</v>
      </c>
      <c r="H191">
        <v>1.1000000000000001</v>
      </c>
      <c r="I191">
        <v>-0.10000002400000001</v>
      </c>
      <c r="J191">
        <v>0.47619050000000002</v>
      </c>
    </row>
    <row r="192" spans="1:10" x14ac:dyDescent="0.3">
      <c r="A192">
        <v>190</v>
      </c>
      <c r="B192">
        <v>3023</v>
      </c>
      <c r="C192" t="b">
        <v>1</v>
      </c>
      <c r="D192">
        <v>8048</v>
      </c>
      <c r="E192">
        <v>8123</v>
      </c>
      <c r="F192">
        <v>8.8000000000000007</v>
      </c>
      <c r="G192">
        <v>8</v>
      </c>
      <c r="H192">
        <v>1.1000000000000001</v>
      </c>
      <c r="I192">
        <v>-0.10000002400000001</v>
      </c>
      <c r="J192">
        <v>0.47619050000000002</v>
      </c>
    </row>
    <row r="193" spans="1:10" x14ac:dyDescent="0.3">
      <c r="A193">
        <v>191</v>
      </c>
      <c r="B193">
        <v>3039</v>
      </c>
      <c r="C193" t="b">
        <v>1</v>
      </c>
      <c r="D193">
        <v>8048</v>
      </c>
      <c r="E193">
        <v>8129</v>
      </c>
      <c r="F193">
        <v>8.8000000000000007</v>
      </c>
      <c r="G193">
        <v>8</v>
      </c>
      <c r="H193">
        <v>1.1000000000000001</v>
      </c>
      <c r="I193">
        <v>-0.10000002400000001</v>
      </c>
      <c r="J193">
        <v>0.47619050000000002</v>
      </c>
    </row>
    <row r="194" spans="1:10" x14ac:dyDescent="0.3">
      <c r="A194">
        <v>192</v>
      </c>
      <c r="B194">
        <v>3055</v>
      </c>
      <c r="C194" t="b">
        <v>1</v>
      </c>
      <c r="D194">
        <v>8048</v>
      </c>
      <c r="E194">
        <v>8123</v>
      </c>
      <c r="F194">
        <v>8.8000000000000007</v>
      </c>
      <c r="G194">
        <v>8</v>
      </c>
      <c r="H194">
        <v>1.1000000000000001</v>
      </c>
      <c r="I194">
        <v>-0.10000002400000001</v>
      </c>
      <c r="J194">
        <v>0.47619050000000002</v>
      </c>
    </row>
    <row r="195" spans="1:10" x14ac:dyDescent="0.3">
      <c r="A195">
        <v>193</v>
      </c>
      <c r="B195">
        <v>3071</v>
      </c>
      <c r="C195" t="b">
        <v>1</v>
      </c>
      <c r="D195">
        <v>8048</v>
      </c>
      <c r="E195">
        <v>8117</v>
      </c>
      <c r="F195">
        <v>8.8000000000000007</v>
      </c>
      <c r="G195">
        <v>8</v>
      </c>
      <c r="H195">
        <v>1.1000000000000001</v>
      </c>
      <c r="I195">
        <v>-0.10000002400000001</v>
      </c>
      <c r="J195">
        <v>0.47619050000000002</v>
      </c>
    </row>
    <row r="196" spans="1:10" x14ac:dyDescent="0.3">
      <c r="A196">
        <v>194</v>
      </c>
      <c r="B196">
        <v>3086</v>
      </c>
      <c r="C196" t="b">
        <v>1</v>
      </c>
      <c r="D196">
        <v>8048</v>
      </c>
      <c r="E196">
        <v>8117</v>
      </c>
      <c r="F196">
        <v>8.8000000000000007</v>
      </c>
      <c r="G196">
        <v>8</v>
      </c>
      <c r="H196">
        <v>1.1000000000000001</v>
      </c>
      <c r="I196">
        <v>-0.10000002400000001</v>
      </c>
      <c r="J196">
        <v>0.47619050000000002</v>
      </c>
    </row>
    <row r="197" spans="1:10" x14ac:dyDescent="0.3">
      <c r="A197">
        <v>195</v>
      </c>
      <c r="B197">
        <v>3102</v>
      </c>
      <c r="C197" t="b">
        <v>1</v>
      </c>
      <c r="D197">
        <v>8048</v>
      </c>
      <c r="E197">
        <v>8117</v>
      </c>
      <c r="F197">
        <v>8.8000000000000007</v>
      </c>
      <c r="G197">
        <v>7.6</v>
      </c>
      <c r="H197">
        <v>1.1578946999999999</v>
      </c>
      <c r="I197">
        <v>-0.15789478000000001</v>
      </c>
      <c r="J197">
        <v>0.46341463999999999</v>
      </c>
    </row>
    <row r="198" spans="1:10" x14ac:dyDescent="0.3">
      <c r="A198">
        <v>196</v>
      </c>
      <c r="B198">
        <v>3118</v>
      </c>
      <c r="C198" t="b">
        <v>1</v>
      </c>
      <c r="D198">
        <v>8048</v>
      </c>
      <c r="E198">
        <v>8117</v>
      </c>
      <c r="F198">
        <v>8.8000000000000007</v>
      </c>
      <c r="G198">
        <v>7.2</v>
      </c>
      <c r="H198">
        <v>1.2222223000000001</v>
      </c>
      <c r="I198">
        <v>-0.22222227999999999</v>
      </c>
      <c r="J198">
        <v>0.45</v>
      </c>
    </row>
    <row r="199" spans="1:10" x14ac:dyDescent="0.3">
      <c r="A199">
        <v>197</v>
      </c>
      <c r="B199">
        <v>3134</v>
      </c>
      <c r="C199" t="b">
        <v>1</v>
      </c>
      <c r="D199">
        <v>8048</v>
      </c>
      <c r="E199">
        <v>8117</v>
      </c>
      <c r="F199">
        <v>8.8000000000000007</v>
      </c>
      <c r="G199">
        <v>6.8</v>
      </c>
      <c r="H199">
        <v>1.2941176999999999</v>
      </c>
      <c r="I199">
        <v>-0.29411763000000002</v>
      </c>
      <c r="J199">
        <v>0.43589744000000002</v>
      </c>
    </row>
    <row r="200" spans="1:10" x14ac:dyDescent="0.3">
      <c r="A200">
        <v>198</v>
      </c>
      <c r="B200">
        <v>3150</v>
      </c>
      <c r="C200" t="b">
        <v>1</v>
      </c>
      <c r="D200">
        <v>8048</v>
      </c>
      <c r="E200">
        <v>8117</v>
      </c>
      <c r="F200">
        <v>8.8000000000000007</v>
      </c>
      <c r="G200">
        <v>6.4</v>
      </c>
      <c r="H200">
        <v>1.375</v>
      </c>
      <c r="I200">
        <v>-0.375</v>
      </c>
      <c r="J200">
        <v>0.4210526</v>
      </c>
    </row>
    <row r="201" spans="1:10" x14ac:dyDescent="0.3">
      <c r="A201">
        <v>199</v>
      </c>
      <c r="B201">
        <v>3165</v>
      </c>
      <c r="C201" t="b">
        <v>1</v>
      </c>
      <c r="D201">
        <v>8048</v>
      </c>
      <c r="E201">
        <v>8123</v>
      </c>
      <c r="F201">
        <v>8.8000000000000007</v>
      </c>
      <c r="G201">
        <v>6</v>
      </c>
      <c r="H201">
        <v>1.4666667</v>
      </c>
      <c r="I201">
        <v>-0.46666669999999999</v>
      </c>
      <c r="J201">
        <v>0.40540540000000003</v>
      </c>
    </row>
    <row r="202" spans="1:10" x14ac:dyDescent="0.3">
      <c r="A202">
        <v>200</v>
      </c>
      <c r="B202">
        <v>3181</v>
      </c>
      <c r="C202" t="b">
        <v>1</v>
      </c>
      <c r="D202">
        <v>8048</v>
      </c>
      <c r="E202">
        <v>8123</v>
      </c>
      <c r="F202">
        <v>8.4</v>
      </c>
      <c r="G202">
        <v>5.6</v>
      </c>
      <c r="H202">
        <v>1.5</v>
      </c>
      <c r="I202">
        <v>-0.49999997000000002</v>
      </c>
      <c r="J202">
        <v>0.4</v>
      </c>
    </row>
    <row r="203" spans="1:10" x14ac:dyDescent="0.3">
      <c r="A203">
        <v>201</v>
      </c>
      <c r="B203">
        <v>3197</v>
      </c>
      <c r="C203" t="b">
        <v>1</v>
      </c>
      <c r="D203">
        <v>8048</v>
      </c>
      <c r="E203">
        <v>8134</v>
      </c>
      <c r="F203">
        <v>8</v>
      </c>
      <c r="G203">
        <v>5.6</v>
      </c>
      <c r="H203">
        <v>1.4285715000000001</v>
      </c>
      <c r="I203">
        <v>-0.42857146000000002</v>
      </c>
      <c r="J203">
        <v>0.41176467999999999</v>
      </c>
    </row>
    <row r="204" spans="1:10" x14ac:dyDescent="0.3">
      <c r="A204">
        <v>202</v>
      </c>
      <c r="B204">
        <v>3213</v>
      </c>
      <c r="C204" t="b">
        <v>1</v>
      </c>
      <c r="D204">
        <v>8048</v>
      </c>
      <c r="E204">
        <v>8123</v>
      </c>
      <c r="F204">
        <v>8</v>
      </c>
      <c r="G204">
        <v>5.6</v>
      </c>
      <c r="H204">
        <v>1.4285715000000001</v>
      </c>
      <c r="I204">
        <v>-0.42857146000000002</v>
      </c>
      <c r="J204">
        <v>0.41176467999999999</v>
      </c>
    </row>
    <row r="205" spans="1:10" x14ac:dyDescent="0.3">
      <c r="A205">
        <v>203</v>
      </c>
      <c r="B205">
        <v>3229</v>
      </c>
      <c r="C205" t="b">
        <v>1</v>
      </c>
      <c r="D205">
        <v>8048</v>
      </c>
      <c r="E205">
        <v>8123</v>
      </c>
      <c r="F205">
        <v>8</v>
      </c>
      <c r="G205">
        <v>5.6</v>
      </c>
      <c r="H205">
        <v>1.4285715000000001</v>
      </c>
      <c r="I205">
        <v>-0.42857146000000002</v>
      </c>
      <c r="J205">
        <v>0.41176467999999999</v>
      </c>
    </row>
    <row r="206" spans="1:10" x14ac:dyDescent="0.3">
      <c r="A206">
        <v>204</v>
      </c>
      <c r="B206">
        <v>3245</v>
      </c>
      <c r="C206" t="b">
        <v>1</v>
      </c>
      <c r="D206">
        <v>8048</v>
      </c>
      <c r="E206">
        <v>8123</v>
      </c>
      <c r="F206">
        <v>8</v>
      </c>
      <c r="G206">
        <v>5.6</v>
      </c>
      <c r="H206">
        <v>1.4285715000000001</v>
      </c>
      <c r="I206">
        <v>-0.42857146000000002</v>
      </c>
      <c r="J206">
        <v>0.41176467999999999</v>
      </c>
    </row>
    <row r="207" spans="1:10" x14ac:dyDescent="0.3">
      <c r="A207">
        <v>205</v>
      </c>
      <c r="B207">
        <v>3261</v>
      </c>
      <c r="C207" t="b">
        <v>1</v>
      </c>
      <c r="D207">
        <v>8048</v>
      </c>
      <c r="E207">
        <v>8123</v>
      </c>
      <c r="F207">
        <v>8</v>
      </c>
      <c r="G207">
        <v>5.6</v>
      </c>
      <c r="H207">
        <v>1.4285715000000001</v>
      </c>
      <c r="I207">
        <v>-0.42857146000000002</v>
      </c>
      <c r="J207">
        <v>0.41176467999999999</v>
      </c>
    </row>
    <row r="208" spans="1:10" x14ac:dyDescent="0.3">
      <c r="A208">
        <v>206</v>
      </c>
      <c r="B208">
        <v>3277</v>
      </c>
      <c r="C208" t="b">
        <v>1</v>
      </c>
      <c r="D208">
        <v>8048</v>
      </c>
      <c r="E208">
        <v>8111</v>
      </c>
      <c r="F208">
        <v>8</v>
      </c>
      <c r="G208">
        <v>5.6</v>
      </c>
      <c r="H208">
        <v>1.4285715000000001</v>
      </c>
      <c r="I208">
        <v>-0.42857146000000002</v>
      </c>
      <c r="J208">
        <v>0.41176467999999999</v>
      </c>
    </row>
    <row r="209" spans="1:10" x14ac:dyDescent="0.3">
      <c r="A209">
        <v>207</v>
      </c>
      <c r="B209">
        <v>3293</v>
      </c>
      <c r="C209" t="b">
        <v>1</v>
      </c>
      <c r="D209">
        <v>8048</v>
      </c>
      <c r="E209">
        <v>8117</v>
      </c>
      <c r="F209">
        <v>8</v>
      </c>
      <c r="G209">
        <v>5.6</v>
      </c>
      <c r="H209">
        <v>1.4285715000000001</v>
      </c>
      <c r="I209">
        <v>-0.42857146000000002</v>
      </c>
      <c r="J209">
        <v>0.41176467999999999</v>
      </c>
    </row>
    <row r="210" spans="1:10" x14ac:dyDescent="0.3">
      <c r="A210">
        <v>208</v>
      </c>
      <c r="B210">
        <v>3309</v>
      </c>
      <c r="C210" t="b">
        <v>1</v>
      </c>
      <c r="D210">
        <v>8048</v>
      </c>
      <c r="E210">
        <v>8111</v>
      </c>
      <c r="F210">
        <v>8</v>
      </c>
      <c r="G210">
        <v>5.2</v>
      </c>
      <c r="H210">
        <v>1.5384616</v>
      </c>
      <c r="I210">
        <v>-0.53846156999999994</v>
      </c>
      <c r="J210">
        <v>0.39393938000000001</v>
      </c>
    </row>
    <row r="211" spans="1:10" x14ac:dyDescent="0.3">
      <c r="A211">
        <v>209</v>
      </c>
      <c r="B211">
        <v>3324</v>
      </c>
      <c r="C211" t="b">
        <v>1</v>
      </c>
      <c r="D211">
        <v>8048</v>
      </c>
      <c r="E211">
        <v>8117</v>
      </c>
      <c r="F211">
        <v>8</v>
      </c>
      <c r="G211">
        <v>4.8</v>
      </c>
      <c r="H211">
        <v>1.6666666000000001</v>
      </c>
      <c r="I211">
        <v>-0.6666666</v>
      </c>
      <c r="J211">
        <v>0.375</v>
      </c>
    </row>
    <row r="212" spans="1:10" x14ac:dyDescent="0.3">
      <c r="A212">
        <v>210</v>
      </c>
      <c r="B212">
        <v>3340</v>
      </c>
      <c r="C212" t="b">
        <v>1</v>
      </c>
      <c r="D212">
        <v>8048</v>
      </c>
      <c r="E212">
        <v>8111</v>
      </c>
      <c r="F212">
        <v>8</v>
      </c>
      <c r="G212">
        <v>4.4000000000000004</v>
      </c>
      <c r="H212">
        <v>1.8181818000000001</v>
      </c>
      <c r="I212">
        <v>-0.81818175000000004</v>
      </c>
      <c r="J212">
        <v>0.35483872999999999</v>
      </c>
    </row>
    <row r="213" spans="1:10" x14ac:dyDescent="0.3">
      <c r="A213">
        <v>211</v>
      </c>
      <c r="B213">
        <v>3356</v>
      </c>
      <c r="C213" t="b">
        <v>1</v>
      </c>
      <c r="D213">
        <v>8048</v>
      </c>
      <c r="E213">
        <v>8117</v>
      </c>
      <c r="F213">
        <v>8</v>
      </c>
      <c r="G213">
        <v>4.4000000000000004</v>
      </c>
      <c r="H213">
        <v>1.8181818000000001</v>
      </c>
      <c r="I213">
        <v>-0.81818175000000004</v>
      </c>
      <c r="J213">
        <v>0.35483872999999999</v>
      </c>
    </row>
    <row r="214" spans="1:10" x14ac:dyDescent="0.3">
      <c r="A214">
        <v>212</v>
      </c>
      <c r="B214">
        <v>3372</v>
      </c>
      <c r="C214" t="b">
        <v>1</v>
      </c>
      <c r="D214">
        <v>8048</v>
      </c>
      <c r="E214">
        <v>8123</v>
      </c>
      <c r="F214">
        <v>8</v>
      </c>
      <c r="G214">
        <v>4.4000000000000004</v>
      </c>
      <c r="H214">
        <v>1.8181818000000001</v>
      </c>
      <c r="I214">
        <v>-0.81818175000000004</v>
      </c>
      <c r="J214">
        <v>0.35483872999999999</v>
      </c>
    </row>
    <row r="215" spans="1:10" x14ac:dyDescent="0.3">
      <c r="A215">
        <v>213</v>
      </c>
      <c r="B215">
        <v>3388</v>
      </c>
      <c r="C215" t="b">
        <v>1</v>
      </c>
      <c r="D215">
        <v>8048</v>
      </c>
      <c r="E215">
        <v>8123</v>
      </c>
      <c r="F215">
        <v>8</v>
      </c>
      <c r="G215">
        <v>4.4000000000000004</v>
      </c>
      <c r="H215">
        <v>1.8181818000000001</v>
      </c>
      <c r="I215">
        <v>-0.81818175000000004</v>
      </c>
      <c r="J215">
        <v>0.35483872999999999</v>
      </c>
    </row>
    <row r="216" spans="1:10" x14ac:dyDescent="0.3">
      <c r="A216">
        <v>214</v>
      </c>
      <c r="B216">
        <v>3404</v>
      </c>
      <c r="C216" t="b">
        <v>1</v>
      </c>
      <c r="D216">
        <v>8048</v>
      </c>
      <c r="E216">
        <v>8123</v>
      </c>
      <c r="F216">
        <v>8</v>
      </c>
      <c r="G216">
        <v>4.8</v>
      </c>
      <c r="H216">
        <v>1.6666666000000001</v>
      </c>
      <c r="I216">
        <v>-0.6666666</v>
      </c>
      <c r="J216">
        <v>0.375</v>
      </c>
    </row>
    <row r="217" spans="1:10" x14ac:dyDescent="0.3">
      <c r="A217">
        <v>215</v>
      </c>
      <c r="B217">
        <v>3420</v>
      </c>
      <c r="C217" t="b">
        <v>1</v>
      </c>
      <c r="D217">
        <v>8048</v>
      </c>
      <c r="E217">
        <v>8123</v>
      </c>
      <c r="F217">
        <v>8</v>
      </c>
      <c r="G217">
        <v>5.2</v>
      </c>
      <c r="H217">
        <v>1.5384616</v>
      </c>
      <c r="I217">
        <v>-0.53846156999999994</v>
      </c>
      <c r="J217">
        <v>0.39393938000000001</v>
      </c>
    </row>
    <row r="218" spans="1:10" x14ac:dyDescent="0.3">
      <c r="A218">
        <v>216</v>
      </c>
      <c r="B218">
        <v>3436</v>
      </c>
      <c r="C218" t="b">
        <v>1</v>
      </c>
      <c r="D218">
        <v>8048</v>
      </c>
      <c r="E218">
        <v>8123</v>
      </c>
      <c r="F218">
        <v>8</v>
      </c>
      <c r="G218">
        <v>5.2</v>
      </c>
      <c r="H218">
        <v>1.5384616</v>
      </c>
      <c r="I218">
        <v>-0.53846156999999994</v>
      </c>
      <c r="J218">
        <v>0.39393938000000001</v>
      </c>
    </row>
    <row r="219" spans="1:10" x14ac:dyDescent="0.3">
      <c r="A219">
        <v>217</v>
      </c>
      <c r="B219">
        <v>3452</v>
      </c>
      <c r="C219" t="b">
        <v>1</v>
      </c>
      <c r="D219">
        <v>8048</v>
      </c>
      <c r="E219">
        <v>8123</v>
      </c>
      <c r="F219">
        <v>8</v>
      </c>
      <c r="G219">
        <v>5.2</v>
      </c>
      <c r="H219">
        <v>1.5384616</v>
      </c>
      <c r="I219">
        <v>-0.53846156999999994</v>
      </c>
      <c r="J219">
        <v>0.39393938000000001</v>
      </c>
    </row>
    <row r="220" spans="1:10" x14ac:dyDescent="0.3">
      <c r="A220">
        <v>218</v>
      </c>
      <c r="B220">
        <v>3468</v>
      </c>
      <c r="C220" t="b">
        <v>1</v>
      </c>
      <c r="D220">
        <v>8042</v>
      </c>
      <c r="E220">
        <v>8123</v>
      </c>
      <c r="F220">
        <v>8</v>
      </c>
      <c r="G220">
        <v>5.2</v>
      </c>
      <c r="H220">
        <v>1.5384616</v>
      </c>
      <c r="I220">
        <v>-0.53846156999999994</v>
      </c>
      <c r="J220">
        <v>0.39393938000000001</v>
      </c>
    </row>
    <row r="221" spans="1:10" x14ac:dyDescent="0.3">
      <c r="A221">
        <v>219</v>
      </c>
      <c r="B221">
        <v>3484</v>
      </c>
      <c r="C221" t="b">
        <v>1</v>
      </c>
      <c r="D221">
        <v>8048</v>
      </c>
      <c r="E221">
        <v>8123</v>
      </c>
      <c r="F221">
        <v>8</v>
      </c>
      <c r="G221">
        <v>5.2</v>
      </c>
      <c r="H221">
        <v>1.5384616</v>
      </c>
      <c r="I221">
        <v>-0.53846156999999994</v>
      </c>
      <c r="J221">
        <v>0.39393938000000001</v>
      </c>
    </row>
    <row r="222" spans="1:10" x14ac:dyDescent="0.3">
      <c r="A222">
        <v>220</v>
      </c>
      <c r="B222">
        <v>3500</v>
      </c>
      <c r="C222" t="b">
        <v>1</v>
      </c>
      <c r="D222">
        <v>8048</v>
      </c>
      <c r="E222">
        <v>8117</v>
      </c>
      <c r="F222">
        <v>8</v>
      </c>
      <c r="G222">
        <v>5.2</v>
      </c>
      <c r="H222">
        <v>1.5384616</v>
      </c>
      <c r="I222">
        <v>-0.53846156999999994</v>
      </c>
      <c r="J222">
        <v>0.39393938000000001</v>
      </c>
    </row>
    <row r="223" spans="1:10" x14ac:dyDescent="0.3">
      <c r="A223">
        <v>221</v>
      </c>
      <c r="B223">
        <v>3516</v>
      </c>
      <c r="C223" t="b">
        <v>1</v>
      </c>
      <c r="D223">
        <v>8054</v>
      </c>
      <c r="E223">
        <v>8123</v>
      </c>
      <c r="F223">
        <v>8</v>
      </c>
      <c r="G223">
        <v>5.2</v>
      </c>
      <c r="H223">
        <v>1.5384616</v>
      </c>
      <c r="I223">
        <v>-0.53846156999999994</v>
      </c>
      <c r="J223">
        <v>0.39393938000000001</v>
      </c>
    </row>
    <row r="224" spans="1:10" x14ac:dyDescent="0.3">
      <c r="A224">
        <v>222</v>
      </c>
      <c r="B224">
        <v>3532</v>
      </c>
      <c r="C224" t="b">
        <v>1</v>
      </c>
      <c r="D224">
        <v>8048</v>
      </c>
      <c r="E224">
        <v>8123</v>
      </c>
      <c r="F224">
        <v>8</v>
      </c>
      <c r="G224">
        <v>5.2</v>
      </c>
      <c r="H224">
        <v>1.5384616</v>
      </c>
      <c r="I224">
        <v>-0.53846156999999994</v>
      </c>
      <c r="J224">
        <v>0.39393938000000001</v>
      </c>
    </row>
    <row r="225" spans="1:10" x14ac:dyDescent="0.3">
      <c r="A225">
        <v>223</v>
      </c>
      <c r="B225">
        <v>3548</v>
      </c>
      <c r="C225" t="b">
        <v>1</v>
      </c>
      <c r="D225">
        <v>8048</v>
      </c>
      <c r="E225">
        <v>8129</v>
      </c>
      <c r="F225">
        <v>8</v>
      </c>
      <c r="G225">
        <v>5.6</v>
      </c>
      <c r="H225">
        <v>1.4285715000000001</v>
      </c>
      <c r="I225">
        <v>-0.42857146000000002</v>
      </c>
      <c r="J225">
        <v>0.41176467999999999</v>
      </c>
    </row>
    <row r="226" spans="1:10" x14ac:dyDescent="0.3">
      <c r="A226">
        <v>224</v>
      </c>
      <c r="B226">
        <v>3564</v>
      </c>
      <c r="C226" t="b">
        <v>1</v>
      </c>
      <c r="D226">
        <v>8048</v>
      </c>
      <c r="E226">
        <v>8123</v>
      </c>
      <c r="F226">
        <v>8</v>
      </c>
      <c r="G226">
        <v>6</v>
      </c>
      <c r="H226">
        <v>1.3333333999999999</v>
      </c>
      <c r="I226">
        <v>-0.33333333999999998</v>
      </c>
      <c r="J226">
        <v>0.42857142999999998</v>
      </c>
    </row>
    <row r="227" spans="1:10" x14ac:dyDescent="0.3">
      <c r="A227">
        <v>225</v>
      </c>
      <c r="B227">
        <v>3580</v>
      </c>
      <c r="C227" t="b">
        <v>1</v>
      </c>
      <c r="D227">
        <v>8048</v>
      </c>
      <c r="E227">
        <v>8123</v>
      </c>
      <c r="F227">
        <v>8</v>
      </c>
      <c r="G227">
        <v>6.8</v>
      </c>
      <c r="H227">
        <v>1.1764705</v>
      </c>
      <c r="I227">
        <v>-0.17647055</v>
      </c>
      <c r="J227">
        <v>0.45945944999999999</v>
      </c>
    </row>
    <row r="228" spans="1:10" x14ac:dyDescent="0.3">
      <c r="A228">
        <v>226</v>
      </c>
      <c r="B228">
        <v>3595</v>
      </c>
      <c r="C228" t="b">
        <v>1</v>
      </c>
      <c r="D228">
        <v>8048</v>
      </c>
      <c r="E228">
        <v>8123</v>
      </c>
      <c r="F228">
        <v>8</v>
      </c>
      <c r="G228">
        <v>7.2</v>
      </c>
      <c r="H228">
        <v>1.1111112000000001</v>
      </c>
      <c r="I228">
        <v>-0.11111114</v>
      </c>
      <c r="J228">
        <v>0.4736842</v>
      </c>
    </row>
    <row r="229" spans="1:10" x14ac:dyDescent="0.3">
      <c r="A229">
        <v>227</v>
      </c>
      <c r="B229">
        <v>3611</v>
      </c>
      <c r="C229" t="b">
        <v>1</v>
      </c>
      <c r="D229">
        <v>8042</v>
      </c>
      <c r="E229">
        <v>8123</v>
      </c>
      <c r="F229">
        <v>8</v>
      </c>
      <c r="G229">
        <v>7.6</v>
      </c>
      <c r="H229">
        <v>1.0526316</v>
      </c>
      <c r="I229">
        <v>-5.2631589999999999E-2</v>
      </c>
      <c r="J229">
        <v>0.48717946000000001</v>
      </c>
    </row>
    <row r="230" spans="1:10" x14ac:dyDescent="0.3">
      <c r="A230">
        <v>228</v>
      </c>
      <c r="B230">
        <v>3627</v>
      </c>
      <c r="C230" t="b">
        <v>1</v>
      </c>
      <c r="D230">
        <v>8042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3644</v>
      </c>
      <c r="C231" t="b">
        <v>1</v>
      </c>
      <c r="D231">
        <v>8037</v>
      </c>
      <c r="E231">
        <v>8123</v>
      </c>
      <c r="F231">
        <v>7.6</v>
      </c>
      <c r="G231">
        <v>8</v>
      </c>
      <c r="H231">
        <v>0.95</v>
      </c>
      <c r="I231">
        <v>5.0000012000000003E-2</v>
      </c>
      <c r="J231">
        <v>0.51282050000000001</v>
      </c>
    </row>
    <row r="232" spans="1:10" x14ac:dyDescent="0.3">
      <c r="A232">
        <v>230</v>
      </c>
      <c r="B232">
        <v>3660</v>
      </c>
      <c r="C232" t="b">
        <v>1</v>
      </c>
      <c r="D232">
        <v>8042</v>
      </c>
      <c r="E232">
        <v>8123</v>
      </c>
      <c r="F232">
        <v>7.2</v>
      </c>
      <c r="G232">
        <v>8</v>
      </c>
      <c r="H232">
        <v>0.9</v>
      </c>
      <c r="I232">
        <v>0.10000002400000001</v>
      </c>
      <c r="J232">
        <v>0.5263158</v>
      </c>
    </row>
    <row r="233" spans="1:10" x14ac:dyDescent="0.3">
      <c r="A233">
        <v>231</v>
      </c>
      <c r="B233">
        <v>3675</v>
      </c>
      <c r="C233" t="b">
        <v>1</v>
      </c>
      <c r="D233">
        <v>8042</v>
      </c>
      <c r="E233">
        <v>8123</v>
      </c>
      <c r="F233">
        <v>6.8</v>
      </c>
      <c r="G233">
        <v>8</v>
      </c>
      <c r="H233">
        <v>0.85</v>
      </c>
      <c r="I233">
        <v>0.14999998</v>
      </c>
      <c r="J233">
        <v>0.54054049999999998</v>
      </c>
    </row>
    <row r="234" spans="1:10" x14ac:dyDescent="0.3">
      <c r="A234">
        <v>232</v>
      </c>
      <c r="B234">
        <v>3691</v>
      </c>
      <c r="C234" t="b">
        <v>1</v>
      </c>
      <c r="D234">
        <v>8042</v>
      </c>
      <c r="E234">
        <v>8123</v>
      </c>
      <c r="F234">
        <v>6.4</v>
      </c>
      <c r="G234">
        <v>8</v>
      </c>
      <c r="H234">
        <v>0.8</v>
      </c>
      <c r="I234">
        <v>0.19999998999999999</v>
      </c>
      <c r="J234">
        <v>0.55555560000000004</v>
      </c>
    </row>
    <row r="235" spans="1:10" x14ac:dyDescent="0.3">
      <c r="A235">
        <v>233</v>
      </c>
      <c r="B235">
        <v>3707</v>
      </c>
      <c r="C235" t="b">
        <v>1</v>
      </c>
      <c r="D235">
        <v>8054</v>
      </c>
      <c r="E235">
        <v>8123</v>
      </c>
      <c r="F235">
        <v>6</v>
      </c>
      <c r="G235">
        <v>8</v>
      </c>
      <c r="H235">
        <v>0.75</v>
      </c>
      <c r="I235">
        <v>0.25</v>
      </c>
      <c r="J235">
        <v>0.57142859999999995</v>
      </c>
    </row>
    <row r="236" spans="1:10" x14ac:dyDescent="0.3">
      <c r="A236">
        <v>234</v>
      </c>
      <c r="B236">
        <v>3723</v>
      </c>
      <c r="C236" t="b">
        <v>1</v>
      </c>
      <c r="D236">
        <v>8054</v>
      </c>
      <c r="E236">
        <v>8123</v>
      </c>
      <c r="F236">
        <v>5.6</v>
      </c>
      <c r="G236">
        <v>8</v>
      </c>
      <c r="H236">
        <v>0.7</v>
      </c>
      <c r="I236">
        <v>0.3</v>
      </c>
      <c r="J236">
        <v>0.58823526000000004</v>
      </c>
    </row>
    <row r="237" spans="1:10" x14ac:dyDescent="0.3">
      <c r="A237">
        <v>235</v>
      </c>
      <c r="B237">
        <v>3739</v>
      </c>
      <c r="C237" t="b">
        <v>1</v>
      </c>
      <c r="D237">
        <v>8054</v>
      </c>
      <c r="E237">
        <v>8117</v>
      </c>
      <c r="F237">
        <v>6</v>
      </c>
      <c r="G237">
        <v>8</v>
      </c>
      <c r="H237">
        <v>0.75</v>
      </c>
      <c r="I237">
        <v>0.25</v>
      </c>
      <c r="J237">
        <v>0.57142859999999995</v>
      </c>
    </row>
    <row r="238" spans="1:10" x14ac:dyDescent="0.3">
      <c r="A238">
        <v>236</v>
      </c>
      <c r="B238">
        <v>3755</v>
      </c>
      <c r="C238" t="b">
        <v>1</v>
      </c>
      <c r="D238">
        <v>8054</v>
      </c>
      <c r="E238">
        <v>8123</v>
      </c>
      <c r="F238">
        <v>6.4</v>
      </c>
      <c r="G238">
        <v>8</v>
      </c>
      <c r="H238">
        <v>0.8</v>
      </c>
      <c r="I238">
        <v>0.19999998999999999</v>
      </c>
      <c r="J238">
        <v>0.55555560000000004</v>
      </c>
    </row>
    <row r="239" spans="1:10" x14ac:dyDescent="0.3">
      <c r="A239">
        <v>237</v>
      </c>
      <c r="B239">
        <v>3771</v>
      </c>
      <c r="C239" t="b">
        <v>1</v>
      </c>
      <c r="D239">
        <v>8054</v>
      </c>
      <c r="E239">
        <v>8117</v>
      </c>
      <c r="F239">
        <v>6.8</v>
      </c>
      <c r="G239">
        <v>8</v>
      </c>
      <c r="H239">
        <v>0.85</v>
      </c>
      <c r="I239">
        <v>0.14999998</v>
      </c>
      <c r="J239">
        <v>0.54054049999999998</v>
      </c>
    </row>
    <row r="240" spans="1:10" x14ac:dyDescent="0.3">
      <c r="A240">
        <v>238</v>
      </c>
      <c r="B240">
        <v>3787</v>
      </c>
      <c r="C240" t="b">
        <v>1</v>
      </c>
      <c r="D240">
        <v>8054</v>
      </c>
      <c r="E240">
        <v>8123</v>
      </c>
      <c r="F240">
        <v>7.2</v>
      </c>
      <c r="G240">
        <v>8</v>
      </c>
      <c r="H240">
        <v>0.9</v>
      </c>
      <c r="I240">
        <v>0.10000002400000001</v>
      </c>
      <c r="J240">
        <v>0.5263158</v>
      </c>
    </row>
    <row r="241" spans="1:10" x14ac:dyDescent="0.3">
      <c r="A241">
        <v>239</v>
      </c>
      <c r="B241">
        <v>3803</v>
      </c>
      <c r="C241" t="b">
        <v>1</v>
      </c>
      <c r="D241">
        <v>8054</v>
      </c>
      <c r="E241">
        <v>8123</v>
      </c>
      <c r="F241">
        <v>7.6</v>
      </c>
      <c r="G241">
        <v>8</v>
      </c>
      <c r="H241">
        <v>0.95</v>
      </c>
      <c r="I241">
        <v>5.0000012000000003E-2</v>
      </c>
      <c r="J241">
        <v>0.51282050000000001</v>
      </c>
    </row>
    <row r="242" spans="1:10" x14ac:dyDescent="0.3">
      <c r="A242">
        <v>240</v>
      </c>
      <c r="B242">
        <v>3819</v>
      </c>
      <c r="C242" t="b">
        <v>1</v>
      </c>
      <c r="D242">
        <v>8048</v>
      </c>
      <c r="E242">
        <v>8123</v>
      </c>
      <c r="F242">
        <v>8</v>
      </c>
      <c r="G242">
        <v>8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3835</v>
      </c>
      <c r="C243" t="b">
        <v>1</v>
      </c>
      <c r="D243">
        <v>8048</v>
      </c>
      <c r="E243">
        <v>8123</v>
      </c>
      <c r="F243">
        <v>8.4</v>
      </c>
      <c r="G243">
        <v>8</v>
      </c>
      <c r="H243">
        <v>1.05</v>
      </c>
      <c r="I243">
        <v>-4.9999952E-2</v>
      </c>
      <c r="J243">
        <v>0.48780489999999999</v>
      </c>
    </row>
    <row r="244" spans="1:10" x14ac:dyDescent="0.3">
      <c r="A244">
        <v>242</v>
      </c>
      <c r="B244">
        <v>3851</v>
      </c>
      <c r="C244" t="b">
        <v>1</v>
      </c>
      <c r="D244">
        <v>8054</v>
      </c>
      <c r="E244">
        <v>8117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3867</v>
      </c>
      <c r="C245" t="b">
        <v>1</v>
      </c>
      <c r="D245">
        <v>8054</v>
      </c>
      <c r="E245">
        <v>8123</v>
      </c>
      <c r="F245">
        <v>9.1999999999999993</v>
      </c>
      <c r="G245">
        <v>8</v>
      </c>
      <c r="H245">
        <v>1.1499999999999999</v>
      </c>
      <c r="I245">
        <v>-0.14999998</v>
      </c>
      <c r="J245">
        <v>0.46511626</v>
      </c>
    </row>
    <row r="246" spans="1:10" x14ac:dyDescent="0.3">
      <c r="A246">
        <v>244</v>
      </c>
      <c r="B246">
        <v>3882</v>
      </c>
      <c r="C246" t="b">
        <v>1</v>
      </c>
      <c r="D246">
        <v>8048</v>
      </c>
      <c r="E246">
        <v>8123</v>
      </c>
      <c r="F246">
        <v>9.6</v>
      </c>
      <c r="G246">
        <v>8</v>
      </c>
      <c r="H246">
        <v>1.2</v>
      </c>
      <c r="I246">
        <v>-0.20000005000000001</v>
      </c>
      <c r="J246">
        <v>0.45454544000000002</v>
      </c>
    </row>
    <row r="247" spans="1:10" x14ac:dyDescent="0.3">
      <c r="A247">
        <v>245</v>
      </c>
      <c r="B247">
        <v>3898</v>
      </c>
      <c r="C247" t="b">
        <v>1</v>
      </c>
      <c r="D247">
        <v>8048</v>
      </c>
      <c r="E247">
        <v>8123</v>
      </c>
      <c r="F247">
        <v>10</v>
      </c>
      <c r="G247">
        <v>8</v>
      </c>
      <c r="H247">
        <v>1.25</v>
      </c>
      <c r="I247">
        <v>-0.25</v>
      </c>
      <c r="J247">
        <v>0.44444444999999999</v>
      </c>
    </row>
    <row r="248" spans="1:10" x14ac:dyDescent="0.3">
      <c r="A248">
        <v>246</v>
      </c>
      <c r="B248">
        <v>3914</v>
      </c>
      <c r="C248" t="b">
        <v>1</v>
      </c>
      <c r="D248">
        <v>8048</v>
      </c>
      <c r="E248">
        <v>8123</v>
      </c>
      <c r="F248">
        <v>10.4</v>
      </c>
      <c r="G248">
        <v>8</v>
      </c>
      <c r="H248">
        <v>1.3</v>
      </c>
      <c r="I248">
        <v>-0.29999995000000002</v>
      </c>
      <c r="J248">
        <v>0.43478262000000001</v>
      </c>
    </row>
    <row r="249" spans="1:10" x14ac:dyDescent="0.3">
      <c r="A249">
        <v>247</v>
      </c>
      <c r="B249">
        <v>3930</v>
      </c>
      <c r="C249" t="b">
        <v>1</v>
      </c>
      <c r="D249">
        <v>8054</v>
      </c>
      <c r="E249">
        <v>8123</v>
      </c>
      <c r="F249">
        <v>10.8</v>
      </c>
      <c r="G249">
        <v>8</v>
      </c>
      <c r="H249">
        <v>1.35</v>
      </c>
      <c r="I249">
        <v>-0.35000002000000002</v>
      </c>
      <c r="J249">
        <v>0.42553192000000001</v>
      </c>
    </row>
    <row r="250" spans="1:10" x14ac:dyDescent="0.3">
      <c r="A250">
        <v>248</v>
      </c>
      <c r="B250">
        <v>3946</v>
      </c>
      <c r="C250" t="b">
        <v>1</v>
      </c>
      <c r="D250">
        <v>8048</v>
      </c>
      <c r="E250">
        <v>8123</v>
      </c>
      <c r="F250">
        <v>11.2</v>
      </c>
      <c r="G250">
        <v>8</v>
      </c>
      <c r="H250">
        <v>1.4</v>
      </c>
      <c r="I250">
        <v>-0.39999997999999998</v>
      </c>
      <c r="J250">
        <v>0.41666666000000002</v>
      </c>
    </row>
    <row r="251" spans="1:10" x14ac:dyDescent="0.3">
      <c r="A251">
        <v>249</v>
      </c>
      <c r="B251">
        <v>3962</v>
      </c>
      <c r="C251" t="b">
        <v>1</v>
      </c>
      <c r="D251">
        <v>8048</v>
      </c>
      <c r="E251">
        <v>8123</v>
      </c>
      <c r="F251">
        <v>11.6</v>
      </c>
      <c r="G251">
        <v>8</v>
      </c>
      <c r="H251">
        <v>1.45</v>
      </c>
      <c r="I251">
        <v>-0.45000004999999998</v>
      </c>
      <c r="J251">
        <v>0.40816324999999998</v>
      </c>
    </row>
    <row r="252" spans="1:10" x14ac:dyDescent="0.3">
      <c r="A252">
        <v>250</v>
      </c>
      <c r="B252">
        <v>3978</v>
      </c>
      <c r="C252" t="b">
        <v>1</v>
      </c>
      <c r="D252">
        <v>8048</v>
      </c>
      <c r="E252">
        <v>8123</v>
      </c>
      <c r="F252">
        <v>11.2</v>
      </c>
      <c r="G252">
        <v>8</v>
      </c>
      <c r="H252">
        <v>1.4</v>
      </c>
      <c r="I252">
        <v>-0.39999997999999998</v>
      </c>
      <c r="J252">
        <v>0.41666666000000002</v>
      </c>
    </row>
    <row r="253" spans="1:10" x14ac:dyDescent="0.3">
      <c r="A253">
        <v>251</v>
      </c>
      <c r="B253">
        <v>3994</v>
      </c>
      <c r="C253" t="b">
        <v>1</v>
      </c>
      <c r="D253">
        <v>8048</v>
      </c>
      <c r="E253">
        <v>8117</v>
      </c>
      <c r="F253">
        <v>10.8</v>
      </c>
      <c r="G253">
        <v>8</v>
      </c>
      <c r="H253">
        <v>1.35</v>
      </c>
      <c r="I253">
        <v>-0.35000002000000002</v>
      </c>
      <c r="J253">
        <v>0.42553192000000001</v>
      </c>
    </row>
    <row r="254" spans="1:10" x14ac:dyDescent="0.3">
      <c r="A254">
        <v>252</v>
      </c>
      <c r="B254">
        <v>4010</v>
      </c>
      <c r="C254" t="b">
        <v>1</v>
      </c>
      <c r="D254">
        <v>8048</v>
      </c>
      <c r="E254">
        <v>8123</v>
      </c>
      <c r="F254">
        <v>10.4</v>
      </c>
      <c r="G254">
        <v>8</v>
      </c>
      <c r="H254">
        <v>1.3</v>
      </c>
      <c r="I254">
        <v>-0.29999995000000002</v>
      </c>
      <c r="J254">
        <v>0.43478262000000001</v>
      </c>
    </row>
    <row r="255" spans="1:10" x14ac:dyDescent="0.3">
      <c r="A255">
        <v>253</v>
      </c>
      <c r="B255">
        <v>4026</v>
      </c>
      <c r="C255" t="b">
        <v>1</v>
      </c>
      <c r="D255">
        <v>8054</v>
      </c>
      <c r="E255">
        <v>8117</v>
      </c>
      <c r="F255">
        <v>10</v>
      </c>
      <c r="G255">
        <v>8</v>
      </c>
      <c r="H255">
        <v>1.25</v>
      </c>
      <c r="I255">
        <v>-0.25</v>
      </c>
      <c r="J255">
        <v>0.44444444999999999</v>
      </c>
    </row>
    <row r="256" spans="1:10" x14ac:dyDescent="0.3">
      <c r="A256">
        <v>254</v>
      </c>
      <c r="B256">
        <v>4042</v>
      </c>
      <c r="C256" t="b">
        <v>1</v>
      </c>
      <c r="D256">
        <v>8048</v>
      </c>
      <c r="E256">
        <v>8117</v>
      </c>
      <c r="F256">
        <v>9.6</v>
      </c>
      <c r="G256">
        <v>7.6</v>
      </c>
      <c r="H256">
        <v>1.263158</v>
      </c>
      <c r="I256">
        <v>-0.26315796000000002</v>
      </c>
      <c r="J256">
        <v>0.44186044000000002</v>
      </c>
    </row>
    <row r="257" spans="1:10" x14ac:dyDescent="0.3">
      <c r="A257">
        <v>255</v>
      </c>
      <c r="B257">
        <v>4058</v>
      </c>
      <c r="C257" t="b">
        <v>1</v>
      </c>
      <c r="D257">
        <v>8048</v>
      </c>
      <c r="E257">
        <v>8123</v>
      </c>
      <c r="F257">
        <v>9.1999999999999993</v>
      </c>
      <c r="G257">
        <v>7.2</v>
      </c>
      <c r="H257">
        <v>1.2777778</v>
      </c>
      <c r="I257">
        <v>-0.27777780000000002</v>
      </c>
      <c r="J257">
        <v>0.43902439999999998</v>
      </c>
    </row>
    <row r="258" spans="1:10" x14ac:dyDescent="0.3">
      <c r="A258">
        <v>256</v>
      </c>
      <c r="B258">
        <v>4073</v>
      </c>
      <c r="C258" t="b">
        <v>1</v>
      </c>
      <c r="D258">
        <v>8054</v>
      </c>
      <c r="E258">
        <v>8123</v>
      </c>
      <c r="F258">
        <v>8.8000000000000007</v>
      </c>
      <c r="G258">
        <v>7.2</v>
      </c>
      <c r="H258">
        <v>1.2222223000000001</v>
      </c>
      <c r="I258">
        <v>-0.22222227999999999</v>
      </c>
      <c r="J258">
        <v>0.45</v>
      </c>
    </row>
    <row r="259" spans="1:10" x14ac:dyDescent="0.3">
      <c r="A259">
        <v>257</v>
      </c>
      <c r="B259">
        <v>4089</v>
      </c>
      <c r="C259" t="b">
        <v>1</v>
      </c>
      <c r="D259">
        <v>8048</v>
      </c>
      <c r="E259">
        <v>8117</v>
      </c>
      <c r="F259">
        <v>8.4</v>
      </c>
      <c r="G259">
        <v>6.8</v>
      </c>
      <c r="H259">
        <v>1.2352939999999999</v>
      </c>
      <c r="I259">
        <v>-0.23529402999999999</v>
      </c>
      <c r="J259">
        <v>0.44736843999999998</v>
      </c>
    </row>
    <row r="260" spans="1:10" x14ac:dyDescent="0.3">
      <c r="A260">
        <v>258</v>
      </c>
      <c r="B260">
        <v>4105</v>
      </c>
      <c r="C260" t="b">
        <v>1</v>
      </c>
      <c r="D260">
        <v>8048</v>
      </c>
      <c r="E260">
        <v>8123</v>
      </c>
      <c r="F260">
        <v>8</v>
      </c>
      <c r="G260">
        <v>6.8</v>
      </c>
      <c r="H260">
        <v>1.1764705</v>
      </c>
      <c r="I260">
        <v>-0.17647055</v>
      </c>
      <c r="J260">
        <v>0.45945944999999999</v>
      </c>
    </row>
    <row r="261" spans="1:10" x14ac:dyDescent="0.3">
      <c r="A261">
        <v>259</v>
      </c>
      <c r="B261">
        <v>4121</v>
      </c>
      <c r="C261" t="b">
        <v>1</v>
      </c>
      <c r="D261">
        <v>8048</v>
      </c>
      <c r="E261">
        <v>8123</v>
      </c>
      <c r="F261">
        <v>8</v>
      </c>
      <c r="G261">
        <v>6.8</v>
      </c>
      <c r="H261">
        <v>1.1764705</v>
      </c>
      <c r="I261">
        <v>-0.17647055</v>
      </c>
      <c r="J261">
        <v>0.45945944999999999</v>
      </c>
    </row>
    <row r="262" spans="1:10" x14ac:dyDescent="0.3">
      <c r="A262">
        <v>260</v>
      </c>
      <c r="B262">
        <v>4137</v>
      </c>
      <c r="C262" t="b">
        <v>1</v>
      </c>
      <c r="D262">
        <v>8054</v>
      </c>
      <c r="E262">
        <v>8123</v>
      </c>
      <c r="F262">
        <v>8</v>
      </c>
      <c r="G262">
        <v>6.8</v>
      </c>
      <c r="H262">
        <v>1.1764705</v>
      </c>
      <c r="I262">
        <v>-0.17647055</v>
      </c>
      <c r="J262">
        <v>0.45945944999999999</v>
      </c>
    </row>
    <row r="263" spans="1:10" x14ac:dyDescent="0.3">
      <c r="A263">
        <v>261</v>
      </c>
      <c r="B263">
        <v>4153</v>
      </c>
      <c r="C263" t="b">
        <v>1</v>
      </c>
      <c r="D263">
        <v>8054</v>
      </c>
      <c r="E263">
        <v>8123</v>
      </c>
      <c r="F263">
        <v>8</v>
      </c>
      <c r="G263">
        <v>6.8</v>
      </c>
      <c r="H263">
        <v>1.1764705</v>
      </c>
      <c r="I263">
        <v>-0.17647055</v>
      </c>
      <c r="J263">
        <v>0.45945944999999999</v>
      </c>
    </row>
    <row r="264" spans="1:10" x14ac:dyDescent="0.3">
      <c r="A264">
        <v>262</v>
      </c>
      <c r="B264">
        <v>4169</v>
      </c>
      <c r="C264" t="b">
        <v>1</v>
      </c>
      <c r="D264">
        <v>8054</v>
      </c>
      <c r="E264">
        <v>8117</v>
      </c>
      <c r="F264">
        <v>8.4</v>
      </c>
      <c r="G264">
        <v>6.8</v>
      </c>
      <c r="H264">
        <v>1.2352939999999999</v>
      </c>
      <c r="I264">
        <v>-0.23529402999999999</v>
      </c>
      <c r="J264">
        <v>0.44736843999999998</v>
      </c>
    </row>
    <row r="265" spans="1:10" x14ac:dyDescent="0.3">
      <c r="A265">
        <v>263</v>
      </c>
      <c r="B265">
        <v>4185</v>
      </c>
      <c r="C265" t="b">
        <v>1</v>
      </c>
      <c r="D265">
        <v>8054</v>
      </c>
      <c r="E265">
        <v>8123</v>
      </c>
      <c r="F265">
        <v>8.8000000000000007</v>
      </c>
      <c r="G265">
        <v>6.8</v>
      </c>
      <c r="H265">
        <v>1.2941176999999999</v>
      </c>
      <c r="I265">
        <v>-0.29411763000000002</v>
      </c>
      <c r="J265">
        <v>0.43589744000000002</v>
      </c>
    </row>
    <row r="266" spans="1:10" x14ac:dyDescent="0.3">
      <c r="A266">
        <v>264</v>
      </c>
      <c r="B266">
        <v>4201</v>
      </c>
      <c r="C266" t="b">
        <v>1</v>
      </c>
      <c r="D266">
        <v>8048</v>
      </c>
      <c r="E266">
        <v>8117</v>
      </c>
      <c r="F266">
        <v>9.1999999999999993</v>
      </c>
      <c r="G266">
        <v>6.8</v>
      </c>
      <c r="H266">
        <v>1.3529412000000001</v>
      </c>
      <c r="I266">
        <v>-0.35294110000000001</v>
      </c>
      <c r="J266">
        <v>0.42499999999999999</v>
      </c>
    </row>
    <row r="267" spans="1:10" x14ac:dyDescent="0.3">
      <c r="A267">
        <v>265</v>
      </c>
      <c r="B267">
        <v>4217</v>
      </c>
      <c r="C267" t="b">
        <v>1</v>
      </c>
      <c r="D267">
        <v>8048</v>
      </c>
      <c r="E267">
        <v>8117</v>
      </c>
      <c r="F267">
        <v>9.6</v>
      </c>
      <c r="G267">
        <v>6.4</v>
      </c>
      <c r="H267">
        <v>1.5</v>
      </c>
      <c r="I267">
        <v>-0.50000005999999997</v>
      </c>
      <c r="J267">
        <v>0.4</v>
      </c>
    </row>
    <row r="268" spans="1:10" x14ac:dyDescent="0.3">
      <c r="A268">
        <v>266</v>
      </c>
      <c r="B268">
        <v>4232</v>
      </c>
      <c r="C268" t="b">
        <v>1</v>
      </c>
      <c r="D268">
        <v>8054</v>
      </c>
      <c r="E268">
        <v>8123</v>
      </c>
      <c r="F268">
        <v>10</v>
      </c>
      <c r="G268">
        <v>6</v>
      </c>
      <c r="H268">
        <v>1.6666666000000001</v>
      </c>
      <c r="I268">
        <v>-0.66666669999999995</v>
      </c>
      <c r="J268">
        <v>0.375</v>
      </c>
    </row>
    <row r="269" spans="1:10" x14ac:dyDescent="0.3">
      <c r="A269">
        <v>267</v>
      </c>
      <c r="B269">
        <v>4248</v>
      </c>
      <c r="C269" t="b">
        <v>1</v>
      </c>
      <c r="D269">
        <v>8048</v>
      </c>
      <c r="E269">
        <v>8123</v>
      </c>
      <c r="F269">
        <v>10</v>
      </c>
      <c r="G269">
        <v>6</v>
      </c>
      <c r="H269">
        <v>1.6666666000000001</v>
      </c>
      <c r="I269">
        <v>-0.66666669999999995</v>
      </c>
      <c r="J269">
        <v>0.375</v>
      </c>
    </row>
    <row r="270" spans="1:10" x14ac:dyDescent="0.3">
      <c r="A270">
        <v>268</v>
      </c>
      <c r="B270">
        <v>4264</v>
      </c>
      <c r="C270" t="b">
        <v>1</v>
      </c>
      <c r="D270">
        <v>8048</v>
      </c>
      <c r="E270">
        <v>8117</v>
      </c>
      <c r="F270">
        <v>10</v>
      </c>
      <c r="G270">
        <v>5.6</v>
      </c>
      <c r="H270">
        <v>1.7857143</v>
      </c>
      <c r="I270">
        <v>-0.78571429999999998</v>
      </c>
      <c r="J270">
        <v>0.35897434</v>
      </c>
    </row>
    <row r="271" spans="1:10" x14ac:dyDescent="0.3">
      <c r="A271">
        <v>269</v>
      </c>
      <c r="B271">
        <v>4279</v>
      </c>
      <c r="C271" t="b">
        <v>1</v>
      </c>
      <c r="D271">
        <v>8048</v>
      </c>
      <c r="E271">
        <v>8123</v>
      </c>
      <c r="F271">
        <v>10</v>
      </c>
      <c r="G271">
        <v>6</v>
      </c>
      <c r="H271">
        <v>1.6666666000000001</v>
      </c>
      <c r="I271">
        <v>-0.66666669999999995</v>
      </c>
      <c r="J271">
        <v>0.375</v>
      </c>
    </row>
    <row r="272" spans="1:10" x14ac:dyDescent="0.3">
      <c r="A272">
        <v>270</v>
      </c>
      <c r="B272">
        <v>4295</v>
      </c>
      <c r="C272" t="b">
        <v>1</v>
      </c>
      <c r="D272">
        <v>8048</v>
      </c>
      <c r="E272">
        <v>8123</v>
      </c>
      <c r="F272">
        <v>10</v>
      </c>
      <c r="G272">
        <v>6.4</v>
      </c>
      <c r="H272">
        <v>1.5625</v>
      </c>
      <c r="I272">
        <v>-0.5625</v>
      </c>
      <c r="J272">
        <v>0.39024392000000002</v>
      </c>
    </row>
    <row r="273" spans="1:10" x14ac:dyDescent="0.3">
      <c r="A273">
        <v>271</v>
      </c>
      <c r="B273">
        <v>4311</v>
      </c>
      <c r="C273" t="b">
        <v>1</v>
      </c>
      <c r="D273">
        <v>8048</v>
      </c>
      <c r="E273">
        <v>8123</v>
      </c>
      <c r="F273">
        <v>10</v>
      </c>
      <c r="G273">
        <v>6.4</v>
      </c>
      <c r="H273">
        <v>1.5625</v>
      </c>
      <c r="I273">
        <v>-0.5625</v>
      </c>
      <c r="J273">
        <v>0.39024392000000002</v>
      </c>
    </row>
    <row r="274" spans="1:10" x14ac:dyDescent="0.3">
      <c r="A274">
        <v>272</v>
      </c>
      <c r="B274">
        <v>4327</v>
      </c>
      <c r="C274" t="b">
        <v>1</v>
      </c>
      <c r="D274">
        <v>8048</v>
      </c>
      <c r="E274">
        <v>8117</v>
      </c>
      <c r="F274">
        <v>10</v>
      </c>
      <c r="G274">
        <v>6.8</v>
      </c>
      <c r="H274">
        <v>1.4705881999999999</v>
      </c>
      <c r="I274">
        <v>-0.47058820000000001</v>
      </c>
      <c r="J274">
        <v>0.40476193999999999</v>
      </c>
    </row>
    <row r="275" spans="1:10" x14ac:dyDescent="0.3">
      <c r="A275">
        <v>273</v>
      </c>
      <c r="B275">
        <v>4343</v>
      </c>
      <c r="C275" t="b">
        <v>1</v>
      </c>
      <c r="D275">
        <v>8048</v>
      </c>
      <c r="E275">
        <v>8123</v>
      </c>
      <c r="F275">
        <v>10</v>
      </c>
      <c r="G275">
        <v>6.8</v>
      </c>
      <c r="H275">
        <v>1.4705881999999999</v>
      </c>
      <c r="I275">
        <v>-0.47058820000000001</v>
      </c>
      <c r="J275">
        <v>0.40476193999999999</v>
      </c>
    </row>
    <row r="276" spans="1:10" x14ac:dyDescent="0.3">
      <c r="A276">
        <v>274</v>
      </c>
      <c r="B276">
        <v>4359</v>
      </c>
      <c r="C276" t="b">
        <v>1</v>
      </c>
      <c r="D276">
        <v>8048</v>
      </c>
      <c r="E276">
        <v>8123</v>
      </c>
      <c r="F276">
        <v>10</v>
      </c>
      <c r="G276">
        <v>6.8</v>
      </c>
      <c r="H276">
        <v>1.4705881999999999</v>
      </c>
      <c r="I276">
        <v>-0.47058820000000001</v>
      </c>
      <c r="J276">
        <v>0.40476193999999999</v>
      </c>
    </row>
    <row r="277" spans="1:10" x14ac:dyDescent="0.3">
      <c r="A277">
        <v>275</v>
      </c>
      <c r="B277">
        <v>4375</v>
      </c>
      <c r="C277" t="b">
        <v>1</v>
      </c>
      <c r="D277">
        <v>8054</v>
      </c>
      <c r="E277">
        <v>8117</v>
      </c>
      <c r="F277">
        <v>10</v>
      </c>
      <c r="G277">
        <v>6.8</v>
      </c>
      <c r="H277">
        <v>1.4705881999999999</v>
      </c>
      <c r="I277">
        <v>-0.47058820000000001</v>
      </c>
      <c r="J277">
        <v>0.40476193999999999</v>
      </c>
    </row>
    <row r="278" spans="1:10" x14ac:dyDescent="0.3">
      <c r="A278">
        <v>276</v>
      </c>
      <c r="B278">
        <v>4391</v>
      </c>
      <c r="C278" t="b">
        <v>1</v>
      </c>
      <c r="D278">
        <v>8048</v>
      </c>
      <c r="E278">
        <v>8117</v>
      </c>
      <c r="F278">
        <v>10</v>
      </c>
      <c r="G278">
        <v>6.4</v>
      </c>
      <c r="H278">
        <v>1.5625</v>
      </c>
      <c r="I278">
        <v>-0.5625</v>
      </c>
      <c r="J278">
        <v>0.39024392000000002</v>
      </c>
    </row>
    <row r="279" spans="1:10" x14ac:dyDescent="0.3">
      <c r="A279">
        <v>277</v>
      </c>
      <c r="B279">
        <v>4407</v>
      </c>
      <c r="C279" t="b">
        <v>1</v>
      </c>
      <c r="D279">
        <v>8048</v>
      </c>
      <c r="E279">
        <v>8123</v>
      </c>
      <c r="F279">
        <v>9.6</v>
      </c>
      <c r="G279">
        <v>6.4</v>
      </c>
      <c r="H279">
        <v>1.5</v>
      </c>
      <c r="I279">
        <v>-0.50000005999999997</v>
      </c>
      <c r="J279">
        <v>0.4</v>
      </c>
    </row>
    <row r="280" spans="1:10" x14ac:dyDescent="0.3">
      <c r="A280">
        <v>278</v>
      </c>
      <c r="B280">
        <v>4422</v>
      </c>
      <c r="C280" t="b">
        <v>1</v>
      </c>
      <c r="D280">
        <v>8048</v>
      </c>
      <c r="E280">
        <v>8123</v>
      </c>
      <c r="F280">
        <v>9.1999999999999993</v>
      </c>
      <c r="G280">
        <v>6.4</v>
      </c>
      <c r="H280">
        <v>1.4375</v>
      </c>
      <c r="I280">
        <v>-0.43749993999999998</v>
      </c>
      <c r="J280">
        <v>0.41025642000000001</v>
      </c>
    </row>
    <row r="281" spans="1:10" x14ac:dyDescent="0.3">
      <c r="A281">
        <v>279</v>
      </c>
      <c r="B281">
        <v>4438</v>
      </c>
      <c r="C281" t="b">
        <v>1</v>
      </c>
      <c r="D281">
        <v>8048</v>
      </c>
      <c r="E281">
        <v>8123</v>
      </c>
      <c r="F281">
        <v>8.8000000000000007</v>
      </c>
      <c r="G281">
        <v>6.4</v>
      </c>
      <c r="H281">
        <v>1.375</v>
      </c>
      <c r="I281">
        <v>-0.375</v>
      </c>
      <c r="J281">
        <v>0.4210526</v>
      </c>
    </row>
    <row r="282" spans="1:10" x14ac:dyDescent="0.3">
      <c r="A282">
        <v>280</v>
      </c>
      <c r="B282">
        <v>4454</v>
      </c>
      <c r="C282" t="b">
        <v>1</v>
      </c>
      <c r="D282">
        <v>8048</v>
      </c>
      <c r="E282">
        <v>8129</v>
      </c>
      <c r="F282">
        <v>8.4</v>
      </c>
      <c r="G282">
        <v>6.8</v>
      </c>
      <c r="H282">
        <v>1.2352939999999999</v>
      </c>
      <c r="I282">
        <v>-0.23529402999999999</v>
      </c>
      <c r="J282">
        <v>0.44736843999999998</v>
      </c>
    </row>
    <row r="283" spans="1:10" x14ac:dyDescent="0.3">
      <c r="A283">
        <v>281</v>
      </c>
      <c r="B283">
        <v>4470</v>
      </c>
      <c r="C283" t="b">
        <v>1</v>
      </c>
      <c r="D283">
        <v>8048</v>
      </c>
      <c r="E283">
        <v>8129</v>
      </c>
      <c r="F283">
        <v>8</v>
      </c>
      <c r="G283">
        <v>7.2</v>
      </c>
      <c r="H283">
        <v>1.1111112000000001</v>
      </c>
      <c r="I283">
        <v>-0.11111114</v>
      </c>
      <c r="J283">
        <v>0.4736842</v>
      </c>
    </row>
    <row r="284" spans="1:10" x14ac:dyDescent="0.3">
      <c r="A284">
        <v>282</v>
      </c>
      <c r="B284">
        <v>4486</v>
      </c>
      <c r="C284" t="b">
        <v>1</v>
      </c>
      <c r="D284">
        <v>8048</v>
      </c>
      <c r="E284">
        <v>8123</v>
      </c>
      <c r="F284">
        <v>8</v>
      </c>
      <c r="G284">
        <v>7.2</v>
      </c>
      <c r="H284">
        <v>1.1111112000000001</v>
      </c>
      <c r="I284">
        <v>-0.11111114</v>
      </c>
      <c r="J284">
        <v>0.4736842</v>
      </c>
    </row>
    <row r="285" spans="1:10" x14ac:dyDescent="0.3">
      <c r="A285">
        <v>283</v>
      </c>
      <c r="B285">
        <v>4502</v>
      </c>
      <c r="C285" t="b">
        <v>1</v>
      </c>
      <c r="D285">
        <v>8048</v>
      </c>
      <c r="E285">
        <v>8129</v>
      </c>
      <c r="F285">
        <v>8</v>
      </c>
      <c r="G285">
        <v>8</v>
      </c>
      <c r="H285">
        <v>1</v>
      </c>
      <c r="I285">
        <v>0</v>
      </c>
      <c r="J285">
        <v>0.5</v>
      </c>
    </row>
    <row r="286" spans="1:10" x14ac:dyDescent="0.3">
      <c r="A286">
        <v>284</v>
      </c>
      <c r="B286">
        <v>4518</v>
      </c>
      <c r="C286" t="b">
        <v>1</v>
      </c>
      <c r="D286">
        <v>8054</v>
      </c>
      <c r="E286">
        <v>8123</v>
      </c>
      <c r="F286">
        <v>8</v>
      </c>
      <c r="G286">
        <v>8.4</v>
      </c>
      <c r="H286">
        <v>0.95238100000000003</v>
      </c>
      <c r="I286">
        <v>4.7619003999999999E-2</v>
      </c>
      <c r="J286">
        <v>0.51219510000000001</v>
      </c>
    </row>
    <row r="287" spans="1:10" x14ac:dyDescent="0.3">
      <c r="A287">
        <v>285</v>
      </c>
      <c r="B287">
        <v>4534</v>
      </c>
      <c r="C287" t="b">
        <v>1</v>
      </c>
      <c r="D287">
        <v>8054</v>
      </c>
      <c r="E287">
        <v>8129</v>
      </c>
      <c r="F287">
        <v>8</v>
      </c>
      <c r="G287">
        <v>8.8000000000000007</v>
      </c>
      <c r="H287">
        <v>0.90909090000000004</v>
      </c>
      <c r="I287">
        <v>9.0909110000000001E-2</v>
      </c>
      <c r="J287">
        <v>0.52380954999999996</v>
      </c>
    </row>
    <row r="288" spans="1:10" x14ac:dyDescent="0.3">
      <c r="A288">
        <v>286</v>
      </c>
      <c r="B288">
        <v>4550</v>
      </c>
      <c r="C288" t="b">
        <v>1</v>
      </c>
      <c r="D288">
        <v>8048</v>
      </c>
      <c r="E288">
        <v>8117</v>
      </c>
      <c r="F288">
        <v>8</v>
      </c>
      <c r="G288">
        <v>8.8000000000000007</v>
      </c>
      <c r="H288">
        <v>0.90909090000000004</v>
      </c>
      <c r="I288">
        <v>9.0909110000000001E-2</v>
      </c>
      <c r="J288">
        <v>0.52380954999999996</v>
      </c>
    </row>
    <row r="289" spans="1:10" x14ac:dyDescent="0.3">
      <c r="A289">
        <v>287</v>
      </c>
      <c r="B289">
        <v>4566</v>
      </c>
      <c r="C289" t="b">
        <v>1</v>
      </c>
      <c r="D289">
        <v>8048</v>
      </c>
      <c r="E289">
        <v>8123</v>
      </c>
      <c r="F289">
        <v>8</v>
      </c>
      <c r="G289">
        <v>8.8000000000000007</v>
      </c>
      <c r="H289">
        <v>0.90909090000000004</v>
      </c>
      <c r="I289">
        <v>9.0909110000000001E-2</v>
      </c>
      <c r="J289">
        <v>0.52380954999999996</v>
      </c>
    </row>
    <row r="290" spans="1:10" x14ac:dyDescent="0.3">
      <c r="A290">
        <v>288</v>
      </c>
      <c r="B290">
        <v>4581</v>
      </c>
      <c r="C290" t="b">
        <v>1</v>
      </c>
      <c r="D290">
        <v>8048</v>
      </c>
      <c r="E290">
        <v>8123</v>
      </c>
      <c r="F290">
        <v>8</v>
      </c>
      <c r="G290">
        <v>8.8000000000000007</v>
      </c>
      <c r="H290">
        <v>0.90909090000000004</v>
      </c>
      <c r="I290">
        <v>9.0909110000000001E-2</v>
      </c>
      <c r="J290">
        <v>0.52380954999999996</v>
      </c>
    </row>
    <row r="291" spans="1:10" x14ac:dyDescent="0.3">
      <c r="A291">
        <v>289</v>
      </c>
      <c r="B291">
        <v>4597</v>
      </c>
      <c r="C291" t="b">
        <v>1</v>
      </c>
      <c r="D291">
        <v>8048</v>
      </c>
      <c r="E291">
        <v>8123</v>
      </c>
      <c r="F291">
        <v>8</v>
      </c>
      <c r="G291">
        <v>8.8000000000000007</v>
      </c>
      <c r="H291">
        <v>0.90909090000000004</v>
      </c>
      <c r="I291">
        <v>9.0909110000000001E-2</v>
      </c>
      <c r="J291">
        <v>0.52380954999999996</v>
      </c>
    </row>
    <row r="292" spans="1:10" x14ac:dyDescent="0.3">
      <c r="A292">
        <v>290</v>
      </c>
      <c r="B292">
        <v>4613</v>
      </c>
      <c r="C292" t="b">
        <v>1</v>
      </c>
      <c r="D292">
        <v>8054</v>
      </c>
      <c r="E292">
        <v>8123</v>
      </c>
      <c r="F292">
        <v>8</v>
      </c>
      <c r="G292">
        <v>8.8000000000000007</v>
      </c>
      <c r="H292">
        <v>0.90909090000000004</v>
      </c>
      <c r="I292">
        <v>9.0909110000000001E-2</v>
      </c>
      <c r="J292">
        <v>0.52380954999999996</v>
      </c>
    </row>
    <row r="293" spans="1:10" x14ac:dyDescent="0.3">
      <c r="A293">
        <v>291</v>
      </c>
      <c r="B293">
        <v>4629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4645</v>
      </c>
      <c r="C294" t="b">
        <v>1</v>
      </c>
      <c r="D294">
        <v>8048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4661</v>
      </c>
      <c r="C295" t="b">
        <v>1</v>
      </c>
      <c r="D295">
        <v>8048</v>
      </c>
      <c r="E295">
        <v>8123</v>
      </c>
      <c r="F295">
        <v>8</v>
      </c>
      <c r="G295">
        <v>9.1999999999999993</v>
      </c>
      <c r="H295">
        <v>0.86956524999999996</v>
      </c>
      <c r="I295">
        <v>0.13043477000000001</v>
      </c>
      <c r="J295">
        <v>0.53488369999999996</v>
      </c>
    </row>
    <row r="296" spans="1:10" x14ac:dyDescent="0.3">
      <c r="A296">
        <v>294</v>
      </c>
      <c r="B296">
        <v>4677</v>
      </c>
      <c r="C296" t="b">
        <v>1</v>
      </c>
      <c r="D296">
        <v>8048</v>
      </c>
      <c r="E296">
        <v>8123</v>
      </c>
      <c r="F296">
        <v>8</v>
      </c>
      <c r="G296">
        <v>9.1999999999999993</v>
      </c>
      <c r="H296">
        <v>0.86956524999999996</v>
      </c>
      <c r="I296">
        <v>0.13043477000000001</v>
      </c>
      <c r="J296">
        <v>0.53488369999999996</v>
      </c>
    </row>
    <row r="297" spans="1:10" x14ac:dyDescent="0.3">
      <c r="A297">
        <v>295</v>
      </c>
      <c r="B297">
        <v>4693</v>
      </c>
      <c r="C297" t="b">
        <v>1</v>
      </c>
      <c r="D297">
        <v>8048</v>
      </c>
      <c r="E297">
        <v>8123</v>
      </c>
      <c r="F297">
        <v>8</v>
      </c>
      <c r="G297">
        <v>9.1999999999999993</v>
      </c>
      <c r="H297">
        <v>0.86956524999999996</v>
      </c>
      <c r="I297">
        <v>0.13043477000000001</v>
      </c>
      <c r="J297">
        <v>0.53488369999999996</v>
      </c>
    </row>
    <row r="298" spans="1:10" x14ac:dyDescent="0.3">
      <c r="A298">
        <v>296</v>
      </c>
      <c r="B298">
        <v>4709</v>
      </c>
      <c r="C298" t="b">
        <v>1</v>
      </c>
      <c r="D298">
        <v>8048</v>
      </c>
      <c r="E298">
        <v>8123</v>
      </c>
      <c r="F298">
        <v>8</v>
      </c>
      <c r="G298">
        <v>9.1999999999999993</v>
      </c>
      <c r="H298">
        <v>0.86956524999999996</v>
      </c>
      <c r="I298">
        <v>0.13043477000000001</v>
      </c>
      <c r="J298">
        <v>0.53488369999999996</v>
      </c>
    </row>
    <row r="299" spans="1:10" x14ac:dyDescent="0.3">
      <c r="A299">
        <v>297</v>
      </c>
      <c r="B299">
        <v>4725</v>
      </c>
      <c r="C299" t="b">
        <v>1</v>
      </c>
      <c r="D299">
        <v>8054</v>
      </c>
      <c r="E299">
        <v>8123</v>
      </c>
      <c r="F299">
        <v>8</v>
      </c>
      <c r="G299">
        <v>9.1999999999999993</v>
      </c>
      <c r="H299">
        <v>0.86956524999999996</v>
      </c>
      <c r="I299">
        <v>0.13043477000000001</v>
      </c>
      <c r="J299">
        <v>0.53488369999999996</v>
      </c>
    </row>
    <row r="300" spans="1:10" x14ac:dyDescent="0.3">
      <c r="A300">
        <v>298</v>
      </c>
      <c r="B300">
        <v>4741</v>
      </c>
      <c r="C300" t="b">
        <v>1</v>
      </c>
      <c r="D300">
        <v>8048</v>
      </c>
      <c r="E300">
        <v>8117</v>
      </c>
      <c r="F300">
        <v>8</v>
      </c>
      <c r="G300">
        <v>8.8000000000000007</v>
      </c>
      <c r="H300">
        <v>0.90909090000000004</v>
      </c>
      <c r="I300">
        <v>9.0909110000000001E-2</v>
      </c>
      <c r="J300">
        <v>0.52380954999999996</v>
      </c>
    </row>
    <row r="301" spans="1:10" x14ac:dyDescent="0.3">
      <c r="A301">
        <v>299</v>
      </c>
      <c r="B301">
        <v>4757</v>
      </c>
      <c r="C301" t="b">
        <v>1</v>
      </c>
      <c r="D301">
        <v>8048</v>
      </c>
      <c r="E301">
        <v>8123</v>
      </c>
      <c r="F301">
        <v>8</v>
      </c>
      <c r="G301">
        <v>8.4</v>
      </c>
      <c r="H301">
        <v>0.95238100000000003</v>
      </c>
      <c r="I301">
        <v>4.7619003999999999E-2</v>
      </c>
      <c r="J301">
        <v>0.51219510000000001</v>
      </c>
    </row>
    <row r="302" spans="1:10" x14ac:dyDescent="0.3">
      <c r="A302">
        <v>300</v>
      </c>
      <c r="B302">
        <v>4772</v>
      </c>
      <c r="C302" t="b">
        <v>1</v>
      </c>
      <c r="D302">
        <v>8048</v>
      </c>
      <c r="E302">
        <v>8123</v>
      </c>
      <c r="F302">
        <v>8</v>
      </c>
      <c r="G302">
        <v>8</v>
      </c>
      <c r="H302">
        <v>1</v>
      </c>
      <c r="I302">
        <v>0</v>
      </c>
      <c r="J302">
        <v>0.5</v>
      </c>
    </row>
    <row r="303" spans="1:10" x14ac:dyDescent="0.3">
      <c r="A303">
        <v>301</v>
      </c>
      <c r="B303">
        <v>4788</v>
      </c>
      <c r="C303" t="b">
        <v>1</v>
      </c>
      <c r="D303">
        <v>8048</v>
      </c>
      <c r="E303">
        <v>8117</v>
      </c>
      <c r="F303">
        <v>8</v>
      </c>
      <c r="G303">
        <v>8</v>
      </c>
      <c r="H303">
        <v>1</v>
      </c>
      <c r="I303">
        <v>0</v>
      </c>
      <c r="J303">
        <v>0.5</v>
      </c>
    </row>
    <row r="304" spans="1:10" x14ac:dyDescent="0.3">
      <c r="A304">
        <v>302</v>
      </c>
      <c r="B304">
        <v>4804</v>
      </c>
      <c r="C304" t="b">
        <v>1</v>
      </c>
      <c r="D304">
        <v>8048</v>
      </c>
      <c r="E304">
        <v>8117</v>
      </c>
      <c r="F304">
        <v>8</v>
      </c>
      <c r="G304">
        <v>7.6</v>
      </c>
      <c r="H304">
        <v>1.0526316</v>
      </c>
      <c r="I304">
        <v>-5.2631589999999999E-2</v>
      </c>
      <c r="J304">
        <v>0.48717946000000001</v>
      </c>
    </row>
    <row r="305" spans="1:10" x14ac:dyDescent="0.3">
      <c r="A305">
        <v>303</v>
      </c>
      <c r="B305">
        <v>4820</v>
      </c>
      <c r="C305" t="b">
        <v>1</v>
      </c>
      <c r="D305">
        <v>8048</v>
      </c>
      <c r="E305">
        <v>8117</v>
      </c>
      <c r="F305">
        <v>8</v>
      </c>
      <c r="G305">
        <v>7.2</v>
      </c>
      <c r="H305">
        <v>1.1111112000000001</v>
      </c>
      <c r="I305">
        <v>-0.11111114</v>
      </c>
      <c r="J305">
        <v>0.4736842</v>
      </c>
    </row>
    <row r="306" spans="1:10" x14ac:dyDescent="0.3">
      <c r="A306">
        <v>304</v>
      </c>
      <c r="B306">
        <v>4836</v>
      </c>
      <c r="C306" t="b">
        <v>1</v>
      </c>
      <c r="D306">
        <v>8048</v>
      </c>
      <c r="E306">
        <v>8123</v>
      </c>
      <c r="F306">
        <v>8</v>
      </c>
      <c r="G306">
        <v>6.8</v>
      </c>
      <c r="H306">
        <v>1.1764705</v>
      </c>
      <c r="I306">
        <v>-0.17647055</v>
      </c>
      <c r="J306">
        <v>0.45945944999999999</v>
      </c>
    </row>
    <row r="307" spans="1:10" x14ac:dyDescent="0.3">
      <c r="A307">
        <v>305</v>
      </c>
      <c r="B307">
        <v>4852</v>
      </c>
      <c r="C307" t="b">
        <v>1</v>
      </c>
      <c r="D307">
        <v>8054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4867</v>
      </c>
      <c r="C308" t="b">
        <v>1</v>
      </c>
      <c r="D308">
        <v>8048</v>
      </c>
      <c r="E308">
        <v>8129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4883</v>
      </c>
      <c r="C309" t="b">
        <v>1</v>
      </c>
      <c r="D309">
        <v>8048</v>
      </c>
      <c r="E309">
        <v>8129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4899</v>
      </c>
      <c r="C310" t="b">
        <v>1</v>
      </c>
      <c r="D310">
        <v>8048</v>
      </c>
      <c r="E310">
        <v>8129</v>
      </c>
      <c r="F310">
        <v>8</v>
      </c>
      <c r="G310">
        <v>6.8</v>
      </c>
      <c r="H310">
        <v>1.1764705</v>
      </c>
      <c r="I310">
        <v>-0.17647055</v>
      </c>
      <c r="J310">
        <v>0.45945944999999999</v>
      </c>
    </row>
    <row r="311" spans="1:10" x14ac:dyDescent="0.3">
      <c r="A311">
        <v>309</v>
      </c>
      <c r="B311">
        <v>4914</v>
      </c>
      <c r="C311" t="b">
        <v>1</v>
      </c>
      <c r="D311">
        <v>8048</v>
      </c>
      <c r="E311">
        <v>8129</v>
      </c>
      <c r="F311">
        <v>8</v>
      </c>
      <c r="G311">
        <v>7.2</v>
      </c>
      <c r="H311">
        <v>1.1111112000000001</v>
      </c>
      <c r="I311">
        <v>-0.11111114</v>
      </c>
      <c r="J311">
        <v>0.4736842</v>
      </c>
    </row>
    <row r="312" spans="1:10" x14ac:dyDescent="0.3">
      <c r="A312">
        <v>310</v>
      </c>
      <c r="B312">
        <v>4930</v>
      </c>
      <c r="C312" t="b">
        <v>1</v>
      </c>
      <c r="D312">
        <v>8054</v>
      </c>
      <c r="E312">
        <v>8129</v>
      </c>
      <c r="F312">
        <v>8</v>
      </c>
      <c r="G312">
        <v>7.6</v>
      </c>
      <c r="H312">
        <v>1.0526316</v>
      </c>
      <c r="I312">
        <v>-5.2631589999999999E-2</v>
      </c>
      <c r="J312">
        <v>0.48717946000000001</v>
      </c>
    </row>
    <row r="313" spans="1:10" x14ac:dyDescent="0.3">
      <c r="A313">
        <v>311</v>
      </c>
      <c r="B313">
        <v>4945</v>
      </c>
      <c r="C313" t="b">
        <v>1</v>
      </c>
      <c r="D313">
        <v>8048</v>
      </c>
      <c r="E313">
        <v>8123</v>
      </c>
      <c r="F313">
        <v>8</v>
      </c>
      <c r="G313">
        <v>8</v>
      </c>
      <c r="H313">
        <v>1</v>
      </c>
      <c r="I313">
        <v>0</v>
      </c>
      <c r="J313">
        <v>0.5</v>
      </c>
    </row>
    <row r="314" spans="1:10" x14ac:dyDescent="0.3">
      <c r="A314">
        <v>312</v>
      </c>
      <c r="B314">
        <v>4961</v>
      </c>
      <c r="C314" t="b">
        <v>1</v>
      </c>
      <c r="D314">
        <v>8054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4977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4993</v>
      </c>
      <c r="C316" t="b">
        <v>1</v>
      </c>
      <c r="D316">
        <v>8054</v>
      </c>
      <c r="E316">
        <v>8123</v>
      </c>
      <c r="F316">
        <v>8.4</v>
      </c>
      <c r="G316">
        <v>8.4</v>
      </c>
      <c r="H316">
        <v>1</v>
      </c>
      <c r="I316">
        <v>0</v>
      </c>
      <c r="J316">
        <v>0.5</v>
      </c>
    </row>
    <row r="317" spans="1:10" x14ac:dyDescent="0.3">
      <c r="A317">
        <v>315</v>
      </c>
      <c r="B317">
        <v>5009</v>
      </c>
      <c r="C317" t="b">
        <v>1</v>
      </c>
      <c r="D317">
        <v>8054</v>
      </c>
      <c r="E317">
        <v>8117</v>
      </c>
      <c r="F317">
        <v>8.8000000000000007</v>
      </c>
      <c r="G317">
        <v>8.4</v>
      </c>
      <c r="H317">
        <v>1.0476190999999999</v>
      </c>
      <c r="I317">
        <v>-4.7619120000000001E-2</v>
      </c>
      <c r="J317">
        <v>0.48837206</v>
      </c>
    </row>
    <row r="318" spans="1:10" x14ac:dyDescent="0.3">
      <c r="A318">
        <v>316</v>
      </c>
      <c r="B318">
        <v>5025</v>
      </c>
      <c r="C318" t="b">
        <v>1</v>
      </c>
      <c r="D318">
        <v>8042</v>
      </c>
      <c r="E318">
        <v>8117</v>
      </c>
      <c r="F318">
        <v>9.1999999999999993</v>
      </c>
      <c r="G318">
        <v>8.4</v>
      </c>
      <c r="H318">
        <v>1.0952381</v>
      </c>
      <c r="I318">
        <v>-9.5238119999999996E-2</v>
      </c>
      <c r="J318">
        <v>0.47727275000000002</v>
      </c>
    </row>
    <row r="319" spans="1:10" x14ac:dyDescent="0.3">
      <c r="A319">
        <v>317</v>
      </c>
      <c r="B319">
        <v>5041</v>
      </c>
      <c r="C319" t="b">
        <v>1</v>
      </c>
      <c r="D319">
        <v>8042</v>
      </c>
      <c r="E319">
        <v>8123</v>
      </c>
      <c r="F319">
        <v>9.1999999999999993</v>
      </c>
      <c r="G319">
        <v>8.8000000000000007</v>
      </c>
      <c r="H319">
        <v>1.0454545</v>
      </c>
      <c r="I319">
        <v>-4.5454502000000001E-2</v>
      </c>
      <c r="J319">
        <v>0.48888890000000002</v>
      </c>
    </row>
    <row r="320" spans="1:10" x14ac:dyDescent="0.3">
      <c r="A320">
        <v>318</v>
      </c>
      <c r="B320">
        <v>5057</v>
      </c>
      <c r="C320" t="b">
        <v>1</v>
      </c>
      <c r="D320">
        <v>8042</v>
      </c>
      <c r="E320">
        <v>8123</v>
      </c>
      <c r="F320">
        <v>8.8000000000000007</v>
      </c>
      <c r="G320">
        <v>9.1999999999999993</v>
      </c>
      <c r="H320">
        <v>0.95652179999999998</v>
      </c>
      <c r="I320">
        <v>4.3478219999999998E-2</v>
      </c>
      <c r="J320">
        <v>0.51111110000000004</v>
      </c>
    </row>
    <row r="321" spans="1:10" x14ac:dyDescent="0.3">
      <c r="A321">
        <v>319</v>
      </c>
      <c r="B321">
        <v>5072</v>
      </c>
      <c r="C321" t="b">
        <v>1</v>
      </c>
      <c r="D321">
        <v>8042</v>
      </c>
      <c r="E321">
        <v>8123</v>
      </c>
      <c r="F321">
        <v>8.4</v>
      </c>
      <c r="G321">
        <v>9.6</v>
      </c>
      <c r="H321">
        <v>0.87499994000000003</v>
      </c>
      <c r="I321">
        <v>0.12500006999999999</v>
      </c>
      <c r="J321">
        <v>0.53333335999999998</v>
      </c>
    </row>
    <row r="322" spans="1:10" x14ac:dyDescent="0.3">
      <c r="A322">
        <v>320</v>
      </c>
      <c r="B322">
        <v>5088</v>
      </c>
      <c r="C322" t="b">
        <v>1</v>
      </c>
      <c r="D322">
        <v>8042</v>
      </c>
      <c r="E322">
        <v>8123</v>
      </c>
      <c r="F322">
        <v>8</v>
      </c>
      <c r="G322">
        <v>10</v>
      </c>
      <c r="H322">
        <v>0.8</v>
      </c>
      <c r="I322">
        <v>0.2</v>
      </c>
      <c r="J322">
        <v>0.55555560000000004</v>
      </c>
    </row>
    <row r="323" spans="1:10" x14ac:dyDescent="0.3">
      <c r="A323">
        <v>321</v>
      </c>
      <c r="B323">
        <v>5103</v>
      </c>
      <c r="C323" t="b">
        <v>1</v>
      </c>
      <c r="D323">
        <v>8042</v>
      </c>
      <c r="E323">
        <v>8123</v>
      </c>
      <c r="F323">
        <v>7.6</v>
      </c>
      <c r="G323">
        <v>10</v>
      </c>
      <c r="H323">
        <v>0.76</v>
      </c>
      <c r="I323">
        <v>0.24000001000000001</v>
      </c>
      <c r="J323">
        <v>0.56818179999999996</v>
      </c>
    </row>
    <row r="324" spans="1:10" x14ac:dyDescent="0.3">
      <c r="A324">
        <v>322</v>
      </c>
      <c r="B324">
        <v>5118</v>
      </c>
      <c r="C324" t="b">
        <v>1</v>
      </c>
      <c r="D324">
        <v>8042</v>
      </c>
      <c r="E324">
        <v>8117</v>
      </c>
      <c r="F324">
        <v>7.2</v>
      </c>
      <c r="G324">
        <v>10</v>
      </c>
      <c r="H324">
        <v>0.71999997000000004</v>
      </c>
      <c r="I324">
        <v>0.28000003000000001</v>
      </c>
      <c r="J324">
        <v>0.58139529999999995</v>
      </c>
    </row>
    <row r="325" spans="1:10" x14ac:dyDescent="0.3">
      <c r="A325">
        <v>323</v>
      </c>
      <c r="B325">
        <v>5134</v>
      </c>
      <c r="C325" t="b">
        <v>1</v>
      </c>
      <c r="D325">
        <v>8048</v>
      </c>
      <c r="E325">
        <v>8117</v>
      </c>
      <c r="F325">
        <v>6.8</v>
      </c>
      <c r="G325">
        <v>9.6</v>
      </c>
      <c r="H325">
        <v>0.70833330000000005</v>
      </c>
      <c r="I325">
        <v>0.2916667</v>
      </c>
      <c r="J325">
        <v>0.58536582999999998</v>
      </c>
    </row>
    <row r="326" spans="1:10" x14ac:dyDescent="0.3">
      <c r="A326">
        <v>324</v>
      </c>
      <c r="B326">
        <v>5150</v>
      </c>
      <c r="C326" t="b">
        <v>1</v>
      </c>
      <c r="D326">
        <v>8048</v>
      </c>
      <c r="E326">
        <v>8117</v>
      </c>
      <c r="F326">
        <v>6.4</v>
      </c>
      <c r="G326">
        <v>8.8000000000000007</v>
      </c>
      <c r="H326">
        <v>0.72727275000000002</v>
      </c>
      <c r="I326">
        <v>0.27272728000000002</v>
      </c>
      <c r="J326">
        <v>0.57894736999999996</v>
      </c>
    </row>
    <row r="327" spans="1:10" x14ac:dyDescent="0.3">
      <c r="A327">
        <v>325</v>
      </c>
      <c r="B327">
        <v>5166</v>
      </c>
      <c r="C327" t="b">
        <v>1</v>
      </c>
      <c r="D327">
        <v>8048</v>
      </c>
      <c r="E327">
        <v>8117</v>
      </c>
      <c r="F327">
        <v>6.4</v>
      </c>
      <c r="G327">
        <v>8</v>
      </c>
      <c r="H327">
        <v>0.8</v>
      </c>
      <c r="I327">
        <v>0.19999998999999999</v>
      </c>
      <c r="J327">
        <v>0.55555560000000004</v>
      </c>
    </row>
    <row r="328" spans="1:10" x14ac:dyDescent="0.3">
      <c r="A328">
        <v>326</v>
      </c>
      <c r="B328">
        <v>5182</v>
      </c>
      <c r="C328" t="b">
        <v>1</v>
      </c>
      <c r="D328">
        <v>8048</v>
      </c>
      <c r="E328">
        <v>8123</v>
      </c>
      <c r="F328">
        <v>6.4</v>
      </c>
      <c r="G328">
        <v>7.2</v>
      </c>
      <c r="H328">
        <v>0.88888895999999995</v>
      </c>
      <c r="I328">
        <v>0.111111075</v>
      </c>
      <c r="J328">
        <v>0.52941172999999997</v>
      </c>
    </row>
    <row r="329" spans="1:10" x14ac:dyDescent="0.3">
      <c r="A329">
        <v>327</v>
      </c>
      <c r="B329">
        <v>5197</v>
      </c>
      <c r="C329" t="b">
        <v>1</v>
      </c>
      <c r="D329">
        <v>8048</v>
      </c>
      <c r="E329">
        <v>8123</v>
      </c>
      <c r="F329">
        <v>6.4</v>
      </c>
      <c r="G329">
        <v>6.4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5213</v>
      </c>
      <c r="C330" t="b">
        <v>1</v>
      </c>
      <c r="D330">
        <v>8048</v>
      </c>
      <c r="E330">
        <v>8117</v>
      </c>
      <c r="F330">
        <v>6.4</v>
      </c>
      <c r="G330">
        <v>6</v>
      </c>
      <c r="H330">
        <v>1.0666667000000001</v>
      </c>
      <c r="I330">
        <v>-6.6666685000000003E-2</v>
      </c>
      <c r="J330">
        <v>0.48387098000000001</v>
      </c>
    </row>
    <row r="331" spans="1:10" x14ac:dyDescent="0.3">
      <c r="A331">
        <v>329</v>
      </c>
      <c r="B331">
        <v>5229</v>
      </c>
      <c r="C331" t="b">
        <v>1</v>
      </c>
      <c r="D331">
        <v>8054</v>
      </c>
      <c r="E331">
        <v>8117</v>
      </c>
      <c r="F331">
        <v>6</v>
      </c>
      <c r="G331">
        <v>5.6</v>
      </c>
      <c r="H331">
        <v>1.0714284999999999</v>
      </c>
      <c r="I331">
        <v>-7.142859E-2</v>
      </c>
      <c r="J331">
        <v>0.48275859999999998</v>
      </c>
    </row>
    <row r="332" spans="1:10" x14ac:dyDescent="0.3">
      <c r="A332">
        <v>330</v>
      </c>
      <c r="B332">
        <v>5244</v>
      </c>
      <c r="C332" t="b">
        <v>1</v>
      </c>
      <c r="D332">
        <v>8048</v>
      </c>
      <c r="E332">
        <v>8123</v>
      </c>
      <c r="F332">
        <v>5.6</v>
      </c>
      <c r="G332">
        <v>5.6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5260</v>
      </c>
      <c r="C333" t="b">
        <v>1</v>
      </c>
      <c r="D333">
        <v>8048</v>
      </c>
      <c r="E333">
        <v>8129</v>
      </c>
      <c r="F333">
        <v>5.2</v>
      </c>
      <c r="G333">
        <v>5.6</v>
      </c>
      <c r="H333">
        <v>0.92857140000000005</v>
      </c>
      <c r="I333">
        <v>7.142859E-2</v>
      </c>
      <c r="J333">
        <v>0.51851857000000001</v>
      </c>
    </row>
    <row r="334" spans="1:10" x14ac:dyDescent="0.3">
      <c r="A334">
        <v>332</v>
      </c>
      <c r="B334">
        <v>5275</v>
      </c>
      <c r="C334" t="b">
        <v>1</v>
      </c>
      <c r="D334">
        <v>8048</v>
      </c>
      <c r="E334">
        <v>8123</v>
      </c>
      <c r="F334">
        <v>5.2</v>
      </c>
      <c r="G334">
        <v>5.6</v>
      </c>
      <c r="H334">
        <v>0.92857140000000005</v>
      </c>
      <c r="I334">
        <v>7.142859E-2</v>
      </c>
      <c r="J334">
        <v>0.51851857000000001</v>
      </c>
    </row>
    <row r="335" spans="1:10" x14ac:dyDescent="0.3">
      <c r="A335">
        <v>333</v>
      </c>
      <c r="B335">
        <v>5291</v>
      </c>
      <c r="C335" t="b">
        <v>1</v>
      </c>
      <c r="D335">
        <v>8048</v>
      </c>
      <c r="E335">
        <v>8117</v>
      </c>
      <c r="F335">
        <v>5.6</v>
      </c>
      <c r="G335">
        <v>5.6</v>
      </c>
      <c r="H335">
        <v>1</v>
      </c>
      <c r="I335">
        <v>0</v>
      </c>
      <c r="J335">
        <v>0.5</v>
      </c>
    </row>
    <row r="336" spans="1:10" x14ac:dyDescent="0.3">
      <c r="A336">
        <v>334</v>
      </c>
      <c r="B336">
        <v>5307</v>
      </c>
      <c r="C336" t="b">
        <v>1</v>
      </c>
      <c r="D336">
        <v>8048</v>
      </c>
      <c r="E336">
        <v>8123</v>
      </c>
      <c r="F336">
        <v>6</v>
      </c>
      <c r="G336">
        <v>5.6</v>
      </c>
      <c r="H336">
        <v>1.0714284999999999</v>
      </c>
      <c r="I336">
        <v>-7.142859E-2</v>
      </c>
      <c r="J336">
        <v>0.48275859999999998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6.4</v>
      </c>
      <c r="G337">
        <v>5.6</v>
      </c>
      <c r="H337">
        <v>1.1428571999999999</v>
      </c>
      <c r="I337">
        <v>-0.14285718</v>
      </c>
      <c r="J337">
        <v>0.46666667000000001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6.8</v>
      </c>
      <c r="G338">
        <v>5.6</v>
      </c>
      <c r="H338">
        <v>1.2142857</v>
      </c>
      <c r="I338">
        <v>-0.21428578000000001</v>
      </c>
      <c r="J338">
        <v>0.45161291999999997</v>
      </c>
    </row>
    <row r="339" spans="1:10" x14ac:dyDescent="0.3">
      <c r="A339">
        <v>337</v>
      </c>
      <c r="B339">
        <v>5354</v>
      </c>
      <c r="C339" t="b">
        <v>1</v>
      </c>
      <c r="D339">
        <v>8042</v>
      </c>
      <c r="E339">
        <v>8123</v>
      </c>
      <c r="F339">
        <v>7.2</v>
      </c>
      <c r="G339">
        <v>5.6</v>
      </c>
      <c r="H339">
        <v>1.2857143</v>
      </c>
      <c r="I339">
        <v>-0.28571426999999999</v>
      </c>
      <c r="J339">
        <v>0.43750002999999998</v>
      </c>
    </row>
    <row r="340" spans="1:10" x14ac:dyDescent="0.3">
      <c r="A340">
        <v>338</v>
      </c>
      <c r="B340">
        <v>5370</v>
      </c>
      <c r="C340" t="b">
        <v>1</v>
      </c>
      <c r="D340">
        <v>8042</v>
      </c>
      <c r="E340">
        <v>8123</v>
      </c>
      <c r="F340">
        <v>7.6</v>
      </c>
      <c r="G340">
        <v>5.6</v>
      </c>
      <c r="H340">
        <v>1.3571428000000001</v>
      </c>
      <c r="I340">
        <v>-0.35714287</v>
      </c>
      <c r="J340">
        <v>0.42424244</v>
      </c>
    </row>
    <row r="341" spans="1:10" x14ac:dyDescent="0.3">
      <c r="A341">
        <v>339</v>
      </c>
      <c r="B341">
        <v>5386</v>
      </c>
      <c r="C341" t="b">
        <v>1</v>
      </c>
      <c r="D341">
        <v>8048</v>
      </c>
      <c r="E341">
        <v>8123</v>
      </c>
      <c r="F341">
        <v>8</v>
      </c>
      <c r="G341">
        <v>6</v>
      </c>
      <c r="H341">
        <v>1.3333333999999999</v>
      </c>
      <c r="I341">
        <v>-0.33333333999999998</v>
      </c>
      <c r="J341">
        <v>0.42857142999999998</v>
      </c>
    </row>
    <row r="342" spans="1:10" x14ac:dyDescent="0.3">
      <c r="A342">
        <v>340</v>
      </c>
      <c r="B342">
        <v>5401</v>
      </c>
      <c r="C342" t="b">
        <v>1</v>
      </c>
      <c r="D342">
        <v>8048</v>
      </c>
      <c r="E342">
        <v>8123</v>
      </c>
      <c r="F342">
        <v>8</v>
      </c>
      <c r="G342">
        <v>6.4</v>
      </c>
      <c r="H342">
        <v>1.25</v>
      </c>
      <c r="I342">
        <v>-0.24999999000000001</v>
      </c>
      <c r="J342">
        <v>0.44444447999999998</v>
      </c>
    </row>
    <row r="343" spans="1:10" x14ac:dyDescent="0.3">
      <c r="A343">
        <v>341</v>
      </c>
      <c r="B343">
        <v>5417</v>
      </c>
      <c r="C343" t="b">
        <v>1</v>
      </c>
      <c r="D343">
        <v>8048</v>
      </c>
      <c r="E343">
        <v>8123</v>
      </c>
      <c r="F343">
        <v>8</v>
      </c>
      <c r="G343">
        <v>6.8</v>
      </c>
      <c r="H343">
        <v>1.1764705</v>
      </c>
      <c r="I343">
        <v>-0.17647055</v>
      </c>
      <c r="J343">
        <v>0.45945944999999999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8129</v>
      </c>
      <c r="F344">
        <v>8</v>
      </c>
      <c r="G344">
        <v>7.2</v>
      </c>
      <c r="H344">
        <v>1.1111112000000001</v>
      </c>
      <c r="I344">
        <v>-0.11111114</v>
      </c>
      <c r="J344">
        <v>0.4736842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8129</v>
      </c>
      <c r="F345">
        <v>8</v>
      </c>
      <c r="G345">
        <v>7.6</v>
      </c>
      <c r="H345">
        <v>1.0526316</v>
      </c>
      <c r="I345">
        <v>-5.2631589999999999E-2</v>
      </c>
      <c r="J345">
        <v>0.48717946000000001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8129</v>
      </c>
      <c r="F346">
        <v>8</v>
      </c>
      <c r="G346">
        <v>8.4</v>
      </c>
      <c r="H346">
        <v>0.95238100000000003</v>
      </c>
      <c r="I346">
        <v>4.7619003999999999E-2</v>
      </c>
      <c r="J346">
        <v>0.51219510000000001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5496</v>
      </c>
      <c r="C348" t="b">
        <v>1</v>
      </c>
      <c r="D348">
        <v>8048</v>
      </c>
      <c r="E348">
        <v>8129</v>
      </c>
      <c r="F348">
        <v>8</v>
      </c>
      <c r="G348">
        <v>9.1999999999999993</v>
      </c>
      <c r="H348">
        <v>0.86956524999999996</v>
      </c>
      <c r="I348">
        <v>0.13043477000000001</v>
      </c>
      <c r="J348">
        <v>0.53488369999999996</v>
      </c>
    </row>
    <row r="349" spans="1:10" x14ac:dyDescent="0.3">
      <c r="A349">
        <v>347</v>
      </c>
      <c r="B349">
        <v>5512</v>
      </c>
      <c r="C349" t="b">
        <v>1</v>
      </c>
      <c r="D349">
        <v>8048</v>
      </c>
      <c r="E349">
        <v>8129</v>
      </c>
      <c r="F349">
        <v>8</v>
      </c>
      <c r="G349">
        <v>9.6</v>
      </c>
      <c r="H349">
        <v>0.83333330000000005</v>
      </c>
      <c r="I349">
        <v>0.1666667</v>
      </c>
      <c r="J349">
        <v>0.54545456000000003</v>
      </c>
    </row>
    <row r="350" spans="1:10" x14ac:dyDescent="0.3">
      <c r="A350">
        <v>348</v>
      </c>
      <c r="B350">
        <v>5528</v>
      </c>
      <c r="C350" t="b">
        <v>1</v>
      </c>
      <c r="D350">
        <v>8054</v>
      </c>
      <c r="E350">
        <v>8117</v>
      </c>
      <c r="F350">
        <v>8</v>
      </c>
      <c r="G350">
        <v>10</v>
      </c>
      <c r="H350">
        <v>0.8</v>
      </c>
      <c r="I350">
        <v>0.2</v>
      </c>
      <c r="J350">
        <v>0.55555560000000004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8123</v>
      </c>
      <c r="F351">
        <v>8</v>
      </c>
      <c r="G351">
        <v>10.4</v>
      </c>
      <c r="H351">
        <v>0.76923079999999999</v>
      </c>
      <c r="I351">
        <v>0.23076920000000001</v>
      </c>
      <c r="J351">
        <v>0.56521739999999998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10.4</v>
      </c>
      <c r="H352">
        <v>0.76923079999999999</v>
      </c>
      <c r="I352">
        <v>0.23076920000000001</v>
      </c>
      <c r="J352">
        <v>0.56521739999999998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8117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9.6</v>
      </c>
      <c r="H354">
        <v>0.83333330000000005</v>
      </c>
      <c r="I354">
        <v>0.1666667</v>
      </c>
      <c r="J354">
        <v>0.54545456000000003</v>
      </c>
    </row>
    <row r="355" spans="1:10" x14ac:dyDescent="0.3">
      <c r="A355">
        <v>353</v>
      </c>
      <c r="B355">
        <v>5608</v>
      </c>
      <c r="C355" t="b">
        <v>1</v>
      </c>
      <c r="D355">
        <v>8048</v>
      </c>
      <c r="E355">
        <v>8123</v>
      </c>
      <c r="F355">
        <v>8</v>
      </c>
      <c r="G355">
        <v>9.1999999999999993</v>
      </c>
      <c r="H355">
        <v>0.86956524999999996</v>
      </c>
      <c r="I355">
        <v>0.13043477000000001</v>
      </c>
      <c r="J355">
        <v>0.53488369999999996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8111</v>
      </c>
      <c r="F356">
        <v>8</v>
      </c>
      <c r="G356">
        <v>8.8000000000000007</v>
      </c>
      <c r="H356">
        <v>0.90909090000000004</v>
      </c>
      <c r="I356">
        <v>9.0909110000000001E-2</v>
      </c>
      <c r="J356">
        <v>0.52380954999999996</v>
      </c>
    </row>
    <row r="357" spans="1:10" x14ac:dyDescent="0.3">
      <c r="A357">
        <v>355</v>
      </c>
      <c r="B357">
        <v>5640</v>
      </c>
      <c r="C357" t="b">
        <v>1</v>
      </c>
      <c r="D357">
        <v>8054</v>
      </c>
      <c r="E357">
        <v>8123</v>
      </c>
      <c r="F357">
        <v>8</v>
      </c>
      <c r="G357">
        <v>8.4</v>
      </c>
      <c r="H357">
        <v>0.95238100000000003</v>
      </c>
      <c r="I357">
        <v>4.7619003999999999E-2</v>
      </c>
      <c r="J357">
        <v>0.51219510000000001</v>
      </c>
    </row>
    <row r="358" spans="1:10" x14ac:dyDescent="0.3">
      <c r="A358">
        <v>356</v>
      </c>
      <c r="B358">
        <v>5656</v>
      </c>
      <c r="C358" t="b">
        <v>1</v>
      </c>
      <c r="D358">
        <v>8048</v>
      </c>
      <c r="E358">
        <v>8123</v>
      </c>
      <c r="F358">
        <v>8</v>
      </c>
      <c r="G358">
        <v>8.4</v>
      </c>
      <c r="H358">
        <v>0.95238100000000003</v>
      </c>
      <c r="I358">
        <v>4.7619003999999999E-2</v>
      </c>
      <c r="J358">
        <v>0.51219510000000001</v>
      </c>
    </row>
    <row r="359" spans="1:10" x14ac:dyDescent="0.3">
      <c r="A359">
        <v>357</v>
      </c>
      <c r="B359">
        <v>5672</v>
      </c>
      <c r="C359" t="b">
        <v>1</v>
      </c>
      <c r="D359">
        <v>8048</v>
      </c>
      <c r="E359">
        <v>8123</v>
      </c>
      <c r="F359">
        <v>8</v>
      </c>
      <c r="G359">
        <v>8.4</v>
      </c>
      <c r="H359">
        <v>0.95238100000000003</v>
      </c>
      <c r="I359">
        <v>4.7619003999999999E-2</v>
      </c>
      <c r="J359">
        <v>0.51219510000000001</v>
      </c>
    </row>
    <row r="360" spans="1:10" x14ac:dyDescent="0.3">
      <c r="A360">
        <v>358</v>
      </c>
      <c r="B360">
        <v>5688</v>
      </c>
      <c r="C360" t="b">
        <v>1</v>
      </c>
      <c r="D360">
        <v>8048</v>
      </c>
      <c r="E360">
        <v>8123</v>
      </c>
      <c r="F360">
        <v>8</v>
      </c>
      <c r="G360">
        <v>8.4</v>
      </c>
      <c r="H360">
        <v>0.95238100000000003</v>
      </c>
      <c r="I360">
        <v>4.7619003999999999E-2</v>
      </c>
      <c r="J360">
        <v>0.51219510000000001</v>
      </c>
    </row>
    <row r="361" spans="1:10" x14ac:dyDescent="0.3">
      <c r="A361">
        <v>359</v>
      </c>
      <c r="B361">
        <v>5703</v>
      </c>
      <c r="C361" t="b">
        <v>1</v>
      </c>
      <c r="D361">
        <v>8048</v>
      </c>
      <c r="E361">
        <v>8117</v>
      </c>
      <c r="F361">
        <v>8</v>
      </c>
      <c r="G361">
        <v>8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5719</v>
      </c>
      <c r="C362" t="b">
        <v>1</v>
      </c>
      <c r="D362">
        <v>8048</v>
      </c>
      <c r="E362">
        <v>8123</v>
      </c>
      <c r="F362">
        <v>8</v>
      </c>
      <c r="G362">
        <v>7.6</v>
      </c>
      <c r="H362">
        <v>1.0526316</v>
      </c>
      <c r="I362">
        <v>-5.2631589999999999E-2</v>
      </c>
      <c r="J362">
        <v>0.48717946000000001</v>
      </c>
    </row>
    <row r="363" spans="1:10" x14ac:dyDescent="0.3">
      <c r="A363">
        <v>361</v>
      </c>
      <c r="B363">
        <v>5735</v>
      </c>
      <c r="C363" t="b">
        <v>1</v>
      </c>
      <c r="D363">
        <v>8048</v>
      </c>
      <c r="E363">
        <v>8123</v>
      </c>
      <c r="F363">
        <v>8</v>
      </c>
      <c r="G363">
        <v>7.2</v>
      </c>
      <c r="H363">
        <v>1.1111112000000001</v>
      </c>
      <c r="I363">
        <v>-0.11111114</v>
      </c>
      <c r="J363">
        <v>0.4736842</v>
      </c>
    </row>
    <row r="364" spans="1:10" x14ac:dyDescent="0.3">
      <c r="A364">
        <v>362</v>
      </c>
      <c r="B364">
        <v>5751</v>
      </c>
      <c r="C364" t="b">
        <v>1</v>
      </c>
      <c r="D364">
        <v>8048</v>
      </c>
      <c r="E364">
        <v>8123</v>
      </c>
      <c r="F364">
        <v>8</v>
      </c>
      <c r="G364">
        <v>6.8</v>
      </c>
      <c r="H364">
        <v>1.1764705</v>
      </c>
      <c r="I364">
        <v>-0.17647055</v>
      </c>
      <c r="J364">
        <v>0.45945944999999999</v>
      </c>
    </row>
    <row r="365" spans="1:10" x14ac:dyDescent="0.3">
      <c r="A365">
        <v>363</v>
      </c>
      <c r="B365">
        <v>5766</v>
      </c>
      <c r="C365" t="b">
        <v>1</v>
      </c>
      <c r="D365">
        <v>8048</v>
      </c>
      <c r="E365">
        <v>8123</v>
      </c>
      <c r="F365">
        <v>8</v>
      </c>
      <c r="G365">
        <v>6.4</v>
      </c>
      <c r="H365">
        <v>1.25</v>
      </c>
      <c r="I365">
        <v>-0.24999999000000001</v>
      </c>
      <c r="J365">
        <v>0.44444447999999998</v>
      </c>
    </row>
    <row r="366" spans="1:10" x14ac:dyDescent="0.3">
      <c r="A366">
        <v>364</v>
      </c>
      <c r="B366">
        <v>5782</v>
      </c>
      <c r="C366" t="b">
        <v>1</v>
      </c>
      <c r="D366">
        <v>8048</v>
      </c>
      <c r="E366">
        <v>8123</v>
      </c>
      <c r="F366">
        <v>8</v>
      </c>
      <c r="G366">
        <v>6</v>
      </c>
      <c r="H366">
        <v>1.3333333999999999</v>
      </c>
      <c r="I366">
        <v>-0.33333333999999998</v>
      </c>
      <c r="J366">
        <v>0.42857142999999998</v>
      </c>
    </row>
    <row r="367" spans="1:10" x14ac:dyDescent="0.3">
      <c r="A367">
        <v>365</v>
      </c>
      <c r="B367">
        <v>5798</v>
      </c>
      <c r="C367" t="b">
        <v>1</v>
      </c>
      <c r="D367">
        <v>8042</v>
      </c>
      <c r="E367">
        <v>8123</v>
      </c>
      <c r="F367">
        <v>8</v>
      </c>
      <c r="G367">
        <v>6</v>
      </c>
      <c r="H367">
        <v>1.3333333999999999</v>
      </c>
      <c r="I367">
        <v>-0.33333333999999998</v>
      </c>
      <c r="J367">
        <v>0.42857142999999998</v>
      </c>
    </row>
    <row r="368" spans="1:10" x14ac:dyDescent="0.3">
      <c r="A368">
        <v>366</v>
      </c>
      <c r="B368">
        <v>5814</v>
      </c>
      <c r="C368" t="b">
        <v>1</v>
      </c>
      <c r="D368">
        <v>8048</v>
      </c>
      <c r="E368">
        <v>8123</v>
      </c>
      <c r="F368">
        <v>8</v>
      </c>
      <c r="G368">
        <v>6.4</v>
      </c>
      <c r="H368">
        <v>1.25</v>
      </c>
      <c r="I368">
        <v>-0.24999999000000001</v>
      </c>
      <c r="J368">
        <v>0.44444447999999998</v>
      </c>
    </row>
    <row r="369" spans="1:10" x14ac:dyDescent="0.3">
      <c r="A369">
        <v>367</v>
      </c>
      <c r="B369">
        <v>5830</v>
      </c>
      <c r="C369" t="b">
        <v>1</v>
      </c>
      <c r="D369">
        <v>8048</v>
      </c>
      <c r="E369">
        <v>8123</v>
      </c>
      <c r="F369">
        <v>8</v>
      </c>
      <c r="G369">
        <v>6.8</v>
      </c>
      <c r="H369">
        <v>1.1764705</v>
      </c>
      <c r="I369">
        <v>-0.17647055</v>
      </c>
      <c r="J369">
        <v>0.45945944999999999</v>
      </c>
    </row>
    <row r="370" spans="1:10" x14ac:dyDescent="0.3">
      <c r="A370">
        <v>368</v>
      </c>
      <c r="B370">
        <v>5846</v>
      </c>
      <c r="C370" t="b">
        <v>1</v>
      </c>
      <c r="D370">
        <v>8054</v>
      </c>
      <c r="E370">
        <v>8117</v>
      </c>
      <c r="F370">
        <v>8</v>
      </c>
      <c r="G370">
        <v>7.2</v>
      </c>
      <c r="H370">
        <v>1.1111112000000001</v>
      </c>
      <c r="I370">
        <v>-0.11111114</v>
      </c>
      <c r="J370">
        <v>0.4736842</v>
      </c>
    </row>
    <row r="371" spans="1:10" x14ac:dyDescent="0.3">
      <c r="A371">
        <v>369</v>
      </c>
      <c r="B371">
        <v>5862</v>
      </c>
      <c r="C371" t="b">
        <v>1</v>
      </c>
      <c r="D371">
        <v>8048</v>
      </c>
      <c r="E371">
        <v>8123</v>
      </c>
      <c r="F371">
        <v>8</v>
      </c>
      <c r="G371">
        <v>7.6</v>
      </c>
      <c r="H371">
        <v>1.0526316</v>
      </c>
      <c r="I371">
        <v>-5.2631589999999999E-2</v>
      </c>
      <c r="J371">
        <v>0.48717946000000001</v>
      </c>
    </row>
    <row r="372" spans="1:10" x14ac:dyDescent="0.3">
      <c r="A372">
        <v>370</v>
      </c>
      <c r="B372">
        <v>5878</v>
      </c>
      <c r="C372" t="b">
        <v>1</v>
      </c>
      <c r="D372">
        <v>8048</v>
      </c>
      <c r="E372">
        <v>8117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5894</v>
      </c>
      <c r="C373" t="b">
        <v>1</v>
      </c>
      <c r="D373">
        <v>8048</v>
      </c>
      <c r="E373">
        <v>8117</v>
      </c>
      <c r="F373">
        <v>8</v>
      </c>
      <c r="G373">
        <v>7.6</v>
      </c>
      <c r="H373">
        <v>1.0526316</v>
      </c>
      <c r="I373">
        <v>-5.2631589999999999E-2</v>
      </c>
      <c r="J373">
        <v>0.48717946000000001</v>
      </c>
    </row>
    <row r="374" spans="1:10" x14ac:dyDescent="0.3">
      <c r="A374">
        <v>372</v>
      </c>
      <c r="B374">
        <v>5910</v>
      </c>
      <c r="C374" t="b">
        <v>1</v>
      </c>
      <c r="D374">
        <v>8048</v>
      </c>
      <c r="E374">
        <v>8123</v>
      </c>
      <c r="F374">
        <v>8</v>
      </c>
      <c r="G374">
        <v>7.2</v>
      </c>
      <c r="H374">
        <v>1.1111112000000001</v>
      </c>
      <c r="I374">
        <v>-0.11111114</v>
      </c>
      <c r="J374">
        <v>0.4736842</v>
      </c>
    </row>
    <row r="375" spans="1:10" x14ac:dyDescent="0.3">
      <c r="A375">
        <v>373</v>
      </c>
      <c r="B375">
        <v>5926</v>
      </c>
      <c r="C375" t="b">
        <v>1</v>
      </c>
      <c r="D375">
        <v>8048</v>
      </c>
      <c r="E375">
        <v>8117</v>
      </c>
      <c r="F375">
        <v>8</v>
      </c>
      <c r="G375">
        <v>6.8</v>
      </c>
      <c r="H375">
        <v>1.1764705</v>
      </c>
      <c r="I375">
        <v>-0.17647055</v>
      </c>
      <c r="J375">
        <v>0.45945944999999999</v>
      </c>
    </row>
    <row r="376" spans="1:10" x14ac:dyDescent="0.3">
      <c r="A376">
        <v>374</v>
      </c>
      <c r="B376">
        <v>5942</v>
      </c>
      <c r="C376" t="b">
        <v>1</v>
      </c>
      <c r="D376">
        <v>8048</v>
      </c>
      <c r="E376">
        <v>8123</v>
      </c>
      <c r="F376">
        <v>8</v>
      </c>
      <c r="G376">
        <v>6.4</v>
      </c>
      <c r="H376">
        <v>1.25</v>
      </c>
      <c r="I376">
        <v>-0.24999999000000001</v>
      </c>
      <c r="J376">
        <v>0.44444447999999998</v>
      </c>
    </row>
    <row r="377" spans="1:10" x14ac:dyDescent="0.3">
      <c r="A377">
        <v>375</v>
      </c>
      <c r="B377">
        <v>5957</v>
      </c>
      <c r="C377" t="b">
        <v>1</v>
      </c>
      <c r="D377">
        <v>8048</v>
      </c>
      <c r="E377">
        <v>8117</v>
      </c>
      <c r="F377">
        <v>8</v>
      </c>
      <c r="G377">
        <v>6</v>
      </c>
      <c r="H377">
        <v>1.3333333999999999</v>
      </c>
      <c r="I377">
        <v>-0.33333333999999998</v>
      </c>
      <c r="J377">
        <v>0.42857142999999998</v>
      </c>
    </row>
    <row r="378" spans="1:10" x14ac:dyDescent="0.3">
      <c r="A378">
        <v>376</v>
      </c>
      <c r="B378">
        <v>5973</v>
      </c>
      <c r="C378" t="b">
        <v>1</v>
      </c>
      <c r="D378">
        <v>8048</v>
      </c>
      <c r="E378">
        <v>8117</v>
      </c>
      <c r="F378">
        <v>8</v>
      </c>
      <c r="G378">
        <v>5.6</v>
      </c>
      <c r="H378">
        <v>1.4285715000000001</v>
      </c>
      <c r="I378">
        <v>-0.42857146000000002</v>
      </c>
      <c r="J378">
        <v>0.41176467999999999</v>
      </c>
    </row>
    <row r="379" spans="1:10" x14ac:dyDescent="0.3">
      <c r="A379">
        <v>377</v>
      </c>
      <c r="B379">
        <v>5989</v>
      </c>
      <c r="C379" t="b">
        <v>1</v>
      </c>
      <c r="D379">
        <v>8048</v>
      </c>
      <c r="E379">
        <v>8117</v>
      </c>
      <c r="F379">
        <v>8</v>
      </c>
      <c r="G379">
        <v>5.2</v>
      </c>
      <c r="H379">
        <v>1.5384616</v>
      </c>
      <c r="I379">
        <v>-0.53846156999999994</v>
      </c>
      <c r="J379">
        <v>0.39393938000000001</v>
      </c>
    </row>
    <row r="380" spans="1:10" x14ac:dyDescent="0.3">
      <c r="A380">
        <v>378</v>
      </c>
      <c r="B380">
        <v>6005</v>
      </c>
      <c r="C380" t="b">
        <v>1</v>
      </c>
      <c r="D380">
        <v>8048</v>
      </c>
      <c r="E380">
        <v>8123</v>
      </c>
      <c r="F380">
        <v>8</v>
      </c>
      <c r="G380">
        <v>4.8</v>
      </c>
      <c r="H380">
        <v>1.6666666000000001</v>
      </c>
      <c r="I380">
        <v>-0.6666666</v>
      </c>
      <c r="J380">
        <v>0.375</v>
      </c>
    </row>
    <row r="381" spans="1:10" x14ac:dyDescent="0.3">
      <c r="A381">
        <v>379</v>
      </c>
      <c r="B381">
        <v>6021</v>
      </c>
      <c r="C381" t="b">
        <v>1</v>
      </c>
      <c r="D381">
        <v>8048</v>
      </c>
      <c r="E381">
        <v>8123</v>
      </c>
      <c r="F381">
        <v>8</v>
      </c>
      <c r="G381">
        <v>4.4000000000000004</v>
      </c>
      <c r="H381">
        <v>1.8181818000000001</v>
      </c>
      <c r="I381">
        <v>-0.81818175000000004</v>
      </c>
      <c r="J381">
        <v>0.35483872999999999</v>
      </c>
    </row>
    <row r="382" spans="1:10" x14ac:dyDescent="0.3">
      <c r="A382">
        <v>380</v>
      </c>
      <c r="B382">
        <v>6037</v>
      </c>
      <c r="C382" t="b">
        <v>1</v>
      </c>
      <c r="D382">
        <v>8048</v>
      </c>
      <c r="E382">
        <v>8123</v>
      </c>
      <c r="F382">
        <v>8</v>
      </c>
      <c r="G382">
        <v>4.4000000000000004</v>
      </c>
      <c r="H382">
        <v>1.8181818000000001</v>
      </c>
      <c r="I382">
        <v>-0.81818175000000004</v>
      </c>
      <c r="J382">
        <v>0.35483872999999999</v>
      </c>
    </row>
    <row r="383" spans="1:10" x14ac:dyDescent="0.3">
      <c r="A383">
        <v>381</v>
      </c>
      <c r="B383">
        <v>6053</v>
      </c>
      <c r="C383" t="b">
        <v>1</v>
      </c>
      <c r="D383">
        <v>8048</v>
      </c>
      <c r="E383">
        <v>8117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6068</v>
      </c>
      <c r="C384" t="b">
        <v>1</v>
      </c>
      <c r="D384">
        <v>8048</v>
      </c>
      <c r="E384">
        <v>8123</v>
      </c>
      <c r="F384">
        <v>8</v>
      </c>
      <c r="G384">
        <v>4.4000000000000004</v>
      </c>
      <c r="H384">
        <v>1.8181818000000001</v>
      </c>
      <c r="I384">
        <v>-0.81818175000000004</v>
      </c>
      <c r="J384">
        <v>0.35483872999999999</v>
      </c>
    </row>
    <row r="385" spans="1:10" x14ac:dyDescent="0.3">
      <c r="A385">
        <v>383</v>
      </c>
      <c r="B385">
        <v>6084</v>
      </c>
      <c r="C385" t="b">
        <v>1</v>
      </c>
      <c r="D385">
        <v>8048</v>
      </c>
      <c r="E385">
        <v>8117</v>
      </c>
      <c r="F385">
        <v>8</v>
      </c>
      <c r="G385">
        <v>4.4000000000000004</v>
      </c>
      <c r="H385">
        <v>1.8181818000000001</v>
      </c>
      <c r="I385">
        <v>-0.81818175000000004</v>
      </c>
      <c r="J385">
        <v>0.35483872999999999</v>
      </c>
    </row>
    <row r="386" spans="1:10" x14ac:dyDescent="0.3">
      <c r="A386">
        <v>384</v>
      </c>
      <c r="B386">
        <v>6100</v>
      </c>
      <c r="C386" t="b">
        <v>1</v>
      </c>
      <c r="D386">
        <v>8048</v>
      </c>
      <c r="E386">
        <v>8123</v>
      </c>
      <c r="F386">
        <v>8</v>
      </c>
      <c r="G386">
        <v>4.4000000000000004</v>
      </c>
      <c r="H386">
        <v>1.8181818000000001</v>
      </c>
      <c r="I386">
        <v>-0.81818175000000004</v>
      </c>
      <c r="J386">
        <v>0.35483872999999999</v>
      </c>
    </row>
    <row r="387" spans="1:10" x14ac:dyDescent="0.3">
      <c r="A387">
        <v>385</v>
      </c>
      <c r="B387">
        <v>6116</v>
      </c>
      <c r="C387" t="b">
        <v>1</v>
      </c>
      <c r="D387">
        <v>8048</v>
      </c>
      <c r="E387">
        <v>8117</v>
      </c>
      <c r="F387">
        <v>8</v>
      </c>
      <c r="G387">
        <v>4</v>
      </c>
      <c r="H387">
        <v>2</v>
      </c>
      <c r="I387">
        <v>-1</v>
      </c>
      <c r="J387">
        <v>0.33333333999999998</v>
      </c>
    </row>
    <row r="388" spans="1:10" x14ac:dyDescent="0.3">
      <c r="A388">
        <v>386</v>
      </c>
      <c r="B388">
        <v>6131</v>
      </c>
      <c r="C388" t="b">
        <v>1</v>
      </c>
      <c r="D388">
        <v>8054</v>
      </c>
      <c r="E388">
        <v>8123</v>
      </c>
      <c r="F388">
        <v>8</v>
      </c>
      <c r="G388">
        <v>4.4000000000000004</v>
      </c>
      <c r="H388">
        <v>1.8181818000000001</v>
      </c>
      <c r="I388">
        <v>-0.81818175000000004</v>
      </c>
      <c r="J388">
        <v>0.35483872999999999</v>
      </c>
    </row>
    <row r="389" spans="1:10" x14ac:dyDescent="0.3">
      <c r="A389">
        <v>387</v>
      </c>
      <c r="B389">
        <v>6147</v>
      </c>
      <c r="C389" t="b">
        <v>1</v>
      </c>
      <c r="D389">
        <v>8048</v>
      </c>
      <c r="E389">
        <v>8123</v>
      </c>
      <c r="F389">
        <v>8</v>
      </c>
      <c r="G389">
        <v>4.8</v>
      </c>
      <c r="H389">
        <v>1.6666666000000001</v>
      </c>
      <c r="I389">
        <v>-0.6666666</v>
      </c>
      <c r="J389">
        <v>0.375</v>
      </c>
    </row>
    <row r="390" spans="1:10" x14ac:dyDescent="0.3">
      <c r="A390">
        <v>388</v>
      </c>
      <c r="B390">
        <v>6163</v>
      </c>
      <c r="C390" t="b">
        <v>1</v>
      </c>
      <c r="D390">
        <v>8048</v>
      </c>
      <c r="E390">
        <v>8123</v>
      </c>
      <c r="F390">
        <v>8</v>
      </c>
      <c r="G390">
        <v>5.2</v>
      </c>
      <c r="H390">
        <v>1.5384616</v>
      </c>
      <c r="I390">
        <v>-0.53846156999999994</v>
      </c>
      <c r="J390">
        <v>0.39393938000000001</v>
      </c>
    </row>
    <row r="391" spans="1:10" x14ac:dyDescent="0.3">
      <c r="A391">
        <v>389</v>
      </c>
      <c r="B391">
        <v>6179</v>
      </c>
      <c r="C391" t="b">
        <v>1</v>
      </c>
      <c r="D391">
        <v>8048</v>
      </c>
      <c r="E391">
        <v>8123</v>
      </c>
      <c r="F391">
        <v>8</v>
      </c>
      <c r="G391">
        <v>5.6</v>
      </c>
      <c r="H391">
        <v>1.4285715000000001</v>
      </c>
      <c r="I391">
        <v>-0.42857146000000002</v>
      </c>
      <c r="J391">
        <v>0.41176467999999999</v>
      </c>
    </row>
    <row r="392" spans="1:10" x14ac:dyDescent="0.3">
      <c r="A392">
        <v>390</v>
      </c>
      <c r="B392">
        <v>6195</v>
      </c>
      <c r="C392" t="b">
        <v>1</v>
      </c>
      <c r="D392">
        <v>8048</v>
      </c>
      <c r="E392">
        <v>8123</v>
      </c>
      <c r="F392">
        <v>8</v>
      </c>
      <c r="G392">
        <v>6</v>
      </c>
      <c r="H392">
        <v>1.3333333999999999</v>
      </c>
      <c r="I392">
        <v>-0.33333333999999998</v>
      </c>
      <c r="J392">
        <v>0.42857142999999998</v>
      </c>
    </row>
    <row r="393" spans="1:10" x14ac:dyDescent="0.3">
      <c r="A393">
        <v>391</v>
      </c>
      <c r="B393">
        <v>6211</v>
      </c>
      <c r="C393" t="b">
        <v>1</v>
      </c>
      <c r="D393">
        <v>8048</v>
      </c>
      <c r="E393">
        <v>8123</v>
      </c>
      <c r="F393">
        <v>8</v>
      </c>
      <c r="G393">
        <v>6.4</v>
      </c>
      <c r="H393">
        <v>1.25</v>
      </c>
      <c r="I393">
        <v>-0.24999999000000001</v>
      </c>
      <c r="J393">
        <v>0.44444447999999998</v>
      </c>
    </row>
    <row r="394" spans="1:10" x14ac:dyDescent="0.3">
      <c r="A394">
        <v>392</v>
      </c>
      <c r="B394">
        <v>6227</v>
      </c>
      <c r="C394" t="b">
        <v>1</v>
      </c>
      <c r="D394">
        <v>8048</v>
      </c>
      <c r="E394">
        <v>8123</v>
      </c>
      <c r="F394">
        <v>8</v>
      </c>
      <c r="G394">
        <v>6.8</v>
      </c>
      <c r="H394">
        <v>1.1764705</v>
      </c>
      <c r="I394">
        <v>-0.17647055</v>
      </c>
      <c r="J394">
        <v>0.45945944999999999</v>
      </c>
    </row>
    <row r="395" spans="1:10" x14ac:dyDescent="0.3">
      <c r="A395">
        <v>393</v>
      </c>
      <c r="B395">
        <v>6243</v>
      </c>
      <c r="C395" t="b">
        <v>1</v>
      </c>
      <c r="D395">
        <v>8048</v>
      </c>
      <c r="E395">
        <v>8123</v>
      </c>
      <c r="F395">
        <v>8</v>
      </c>
      <c r="G395">
        <v>7.2</v>
      </c>
      <c r="H395">
        <v>1.1111112000000001</v>
      </c>
      <c r="I395">
        <v>-0.11111114</v>
      </c>
      <c r="J395">
        <v>0.4736842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7.6</v>
      </c>
      <c r="H396">
        <v>1.0526316</v>
      </c>
      <c r="I396">
        <v>-5.2631589999999999E-2</v>
      </c>
      <c r="J396">
        <v>0.48717946000000001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7.6</v>
      </c>
      <c r="H397">
        <v>1.0526316</v>
      </c>
      <c r="I397">
        <v>-5.2631589999999999E-2</v>
      </c>
      <c r="J397">
        <v>0.48717946000000001</v>
      </c>
    </row>
    <row r="398" spans="1:10" x14ac:dyDescent="0.3">
      <c r="A398">
        <v>396</v>
      </c>
      <c r="B398">
        <v>6293</v>
      </c>
      <c r="C398" t="b">
        <v>1</v>
      </c>
      <c r="D398">
        <v>8048</v>
      </c>
      <c r="E398">
        <v>8123</v>
      </c>
      <c r="F398">
        <v>8</v>
      </c>
      <c r="G398">
        <v>7.6</v>
      </c>
      <c r="H398">
        <v>1.0526316</v>
      </c>
      <c r="I398">
        <v>-5.2631589999999999E-2</v>
      </c>
      <c r="J398">
        <v>0.48717946000000001</v>
      </c>
    </row>
    <row r="399" spans="1:10" x14ac:dyDescent="0.3">
      <c r="A399">
        <v>397</v>
      </c>
      <c r="B399">
        <v>6309</v>
      </c>
      <c r="C399" t="b">
        <v>1</v>
      </c>
      <c r="D399">
        <v>8054</v>
      </c>
      <c r="E399">
        <v>8129</v>
      </c>
      <c r="F399">
        <v>8</v>
      </c>
      <c r="G399">
        <v>7.6</v>
      </c>
      <c r="H399">
        <v>1.0526316</v>
      </c>
      <c r="I399">
        <v>-5.2631589999999999E-2</v>
      </c>
      <c r="J399">
        <v>0.48717946000000001</v>
      </c>
    </row>
    <row r="400" spans="1:10" x14ac:dyDescent="0.3">
      <c r="A400">
        <v>398</v>
      </c>
      <c r="B400">
        <v>6325</v>
      </c>
      <c r="C400" t="b">
        <v>1</v>
      </c>
      <c r="D400">
        <v>8048</v>
      </c>
      <c r="E400">
        <v>8123</v>
      </c>
      <c r="F400">
        <v>8</v>
      </c>
      <c r="G400">
        <v>7.6</v>
      </c>
      <c r="H400">
        <v>1.0526316</v>
      </c>
      <c r="I400">
        <v>-5.2631589999999999E-2</v>
      </c>
      <c r="J400">
        <v>0.48717946000000001</v>
      </c>
    </row>
    <row r="401" spans="1:10" x14ac:dyDescent="0.3">
      <c r="A401">
        <v>399</v>
      </c>
      <c r="B401">
        <v>6341</v>
      </c>
      <c r="C401" t="b">
        <v>1</v>
      </c>
      <c r="D401">
        <v>8048</v>
      </c>
      <c r="E401">
        <v>8123</v>
      </c>
      <c r="F401">
        <v>8</v>
      </c>
      <c r="G401">
        <v>7.6</v>
      </c>
      <c r="H401">
        <v>1.0526316</v>
      </c>
      <c r="I401">
        <v>-5.2631589999999999E-2</v>
      </c>
      <c r="J401">
        <v>0.48717946000000001</v>
      </c>
    </row>
    <row r="402" spans="1:10" x14ac:dyDescent="0.3">
      <c r="A402">
        <v>400</v>
      </c>
      <c r="B402">
        <v>6357</v>
      </c>
      <c r="C402" t="b">
        <v>1</v>
      </c>
      <c r="D402">
        <v>8042</v>
      </c>
      <c r="E402">
        <v>8117</v>
      </c>
      <c r="F402">
        <v>8</v>
      </c>
      <c r="G402">
        <v>8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6372</v>
      </c>
      <c r="C403" t="b">
        <v>1</v>
      </c>
      <c r="D403">
        <v>8042</v>
      </c>
      <c r="E403">
        <v>8129</v>
      </c>
      <c r="F403">
        <v>8</v>
      </c>
      <c r="G403">
        <v>8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6388</v>
      </c>
      <c r="C404" t="b">
        <v>1</v>
      </c>
      <c r="D404">
        <v>8042</v>
      </c>
      <c r="E404">
        <v>8123</v>
      </c>
      <c r="F404">
        <v>7.6</v>
      </c>
      <c r="G404">
        <v>8</v>
      </c>
      <c r="H404">
        <v>0.95</v>
      </c>
      <c r="I404">
        <v>5.0000012000000003E-2</v>
      </c>
      <c r="J404">
        <v>0.51282050000000001</v>
      </c>
    </row>
    <row r="405" spans="1:10" x14ac:dyDescent="0.3">
      <c r="A405">
        <v>403</v>
      </c>
      <c r="B405">
        <v>6404</v>
      </c>
      <c r="C405" t="b">
        <v>1</v>
      </c>
      <c r="D405">
        <v>8042</v>
      </c>
      <c r="E405">
        <v>8123</v>
      </c>
      <c r="F405">
        <v>7.2</v>
      </c>
      <c r="G405">
        <v>8</v>
      </c>
      <c r="H405">
        <v>0.9</v>
      </c>
      <c r="I405">
        <v>0.10000002400000001</v>
      </c>
      <c r="J405">
        <v>0.5263158</v>
      </c>
    </row>
    <row r="406" spans="1:10" x14ac:dyDescent="0.3">
      <c r="A406">
        <v>404</v>
      </c>
      <c r="B406">
        <v>6420</v>
      </c>
      <c r="C406" t="b">
        <v>1</v>
      </c>
      <c r="D406">
        <v>8042</v>
      </c>
      <c r="E406">
        <v>8117</v>
      </c>
      <c r="F406">
        <v>6.8</v>
      </c>
      <c r="G406">
        <v>8</v>
      </c>
      <c r="H406">
        <v>0.85</v>
      </c>
      <c r="I406">
        <v>0.14999998</v>
      </c>
      <c r="J406">
        <v>0.54054049999999998</v>
      </c>
    </row>
    <row r="407" spans="1:10" x14ac:dyDescent="0.3">
      <c r="A407">
        <v>405</v>
      </c>
      <c r="B407">
        <v>6436</v>
      </c>
      <c r="C407" t="b">
        <v>1</v>
      </c>
      <c r="D407">
        <v>8042</v>
      </c>
      <c r="E407">
        <v>8117</v>
      </c>
      <c r="F407">
        <v>6.4</v>
      </c>
      <c r="G407">
        <v>8</v>
      </c>
      <c r="H407">
        <v>0.8</v>
      </c>
      <c r="I407">
        <v>0.19999998999999999</v>
      </c>
      <c r="J407">
        <v>0.55555560000000004</v>
      </c>
    </row>
    <row r="408" spans="1:10" x14ac:dyDescent="0.3">
      <c r="A408">
        <v>406</v>
      </c>
      <c r="B408">
        <v>6452</v>
      </c>
      <c r="C408" t="b">
        <v>1</v>
      </c>
      <c r="D408">
        <v>8048</v>
      </c>
      <c r="E408">
        <v>8117</v>
      </c>
      <c r="F408">
        <v>6</v>
      </c>
      <c r="G408">
        <v>7.6</v>
      </c>
      <c r="H408">
        <v>0.78947369999999994</v>
      </c>
      <c r="I408">
        <v>0.2105263</v>
      </c>
      <c r="J408">
        <v>0.55882350000000003</v>
      </c>
    </row>
    <row r="409" spans="1:10" x14ac:dyDescent="0.3">
      <c r="A409">
        <v>407</v>
      </c>
      <c r="B409">
        <v>6467</v>
      </c>
      <c r="C409" t="b">
        <v>1</v>
      </c>
      <c r="D409">
        <v>8048</v>
      </c>
      <c r="E409">
        <v>8117</v>
      </c>
      <c r="F409">
        <v>5.6</v>
      </c>
      <c r="G409">
        <v>7.2</v>
      </c>
      <c r="H409">
        <v>0.77777779999999996</v>
      </c>
      <c r="I409">
        <v>0.22222221</v>
      </c>
      <c r="J409">
        <v>0.5625</v>
      </c>
    </row>
    <row r="410" spans="1:10" x14ac:dyDescent="0.3">
      <c r="A410">
        <v>408</v>
      </c>
      <c r="B410">
        <v>6484</v>
      </c>
      <c r="C410" t="b">
        <v>1</v>
      </c>
      <c r="D410">
        <v>8048</v>
      </c>
      <c r="E410">
        <v>8117</v>
      </c>
      <c r="F410">
        <v>5.6</v>
      </c>
      <c r="G410">
        <v>6.8</v>
      </c>
      <c r="H410">
        <v>0.82352935999999999</v>
      </c>
      <c r="I410">
        <v>0.17647061999999999</v>
      </c>
      <c r="J410">
        <v>0.54838710000000002</v>
      </c>
    </row>
    <row r="411" spans="1:10" x14ac:dyDescent="0.3">
      <c r="A411">
        <v>409</v>
      </c>
      <c r="B411">
        <v>6499</v>
      </c>
      <c r="C411" t="b">
        <v>1</v>
      </c>
      <c r="D411">
        <v>8048</v>
      </c>
      <c r="E411">
        <v>8117</v>
      </c>
      <c r="F411">
        <v>5.6</v>
      </c>
      <c r="G411">
        <v>6.4</v>
      </c>
      <c r="H411">
        <v>0.875</v>
      </c>
      <c r="I411">
        <v>0.12500003000000001</v>
      </c>
      <c r="J411">
        <v>0.53333335999999998</v>
      </c>
    </row>
    <row r="412" spans="1:10" x14ac:dyDescent="0.3">
      <c r="A412">
        <v>410</v>
      </c>
      <c r="B412">
        <v>6515</v>
      </c>
      <c r="C412" t="b">
        <v>1</v>
      </c>
      <c r="D412">
        <v>8048</v>
      </c>
      <c r="E412">
        <v>8123</v>
      </c>
      <c r="F412">
        <v>5.6</v>
      </c>
      <c r="G412">
        <v>6</v>
      </c>
      <c r="H412">
        <v>0.93333334000000001</v>
      </c>
      <c r="I412">
        <v>6.6666685000000003E-2</v>
      </c>
      <c r="J412">
        <v>0.51724135999999998</v>
      </c>
    </row>
    <row r="413" spans="1:10" x14ac:dyDescent="0.3">
      <c r="A413">
        <v>411</v>
      </c>
      <c r="B413">
        <v>6531</v>
      </c>
      <c r="C413" t="b">
        <v>1</v>
      </c>
      <c r="D413">
        <v>8054</v>
      </c>
      <c r="E413">
        <v>8123</v>
      </c>
      <c r="F413">
        <v>5.6</v>
      </c>
      <c r="G413">
        <v>5.6</v>
      </c>
      <c r="H413">
        <v>1</v>
      </c>
      <c r="I413">
        <v>0</v>
      </c>
      <c r="J413">
        <v>0.5</v>
      </c>
    </row>
    <row r="414" spans="1:10" x14ac:dyDescent="0.3">
      <c r="A414">
        <v>412</v>
      </c>
      <c r="B414">
        <v>6546</v>
      </c>
      <c r="C414" t="b">
        <v>1</v>
      </c>
      <c r="D414">
        <v>8048</v>
      </c>
      <c r="E414">
        <v>8117</v>
      </c>
      <c r="F414">
        <v>5.6</v>
      </c>
      <c r="G414">
        <v>5.2</v>
      </c>
      <c r="H414">
        <v>1.0769230999999999</v>
      </c>
      <c r="I414">
        <v>-7.6923094999999997E-2</v>
      </c>
      <c r="J414">
        <v>0.48148150000000001</v>
      </c>
    </row>
    <row r="415" spans="1:10" x14ac:dyDescent="0.3">
      <c r="A415">
        <v>413</v>
      </c>
      <c r="B415">
        <v>6562</v>
      </c>
      <c r="C415" t="b">
        <v>1</v>
      </c>
      <c r="D415">
        <v>8048</v>
      </c>
      <c r="E415">
        <v>8123</v>
      </c>
      <c r="F415">
        <v>5.6</v>
      </c>
      <c r="G415">
        <v>5.2</v>
      </c>
      <c r="H415">
        <v>1.0769230999999999</v>
      </c>
      <c r="I415">
        <v>-7.6923094999999997E-2</v>
      </c>
      <c r="J415">
        <v>0.48148150000000001</v>
      </c>
    </row>
    <row r="416" spans="1:10" x14ac:dyDescent="0.3">
      <c r="A416">
        <v>414</v>
      </c>
      <c r="B416">
        <v>6578</v>
      </c>
      <c r="C416" t="b">
        <v>1</v>
      </c>
      <c r="D416">
        <v>8048</v>
      </c>
      <c r="E416">
        <v>8123</v>
      </c>
      <c r="F416">
        <v>5.6</v>
      </c>
      <c r="G416">
        <v>5.2</v>
      </c>
      <c r="H416">
        <v>1.0769230999999999</v>
      </c>
      <c r="I416">
        <v>-7.6923094999999997E-2</v>
      </c>
      <c r="J416">
        <v>0.48148150000000001</v>
      </c>
    </row>
    <row r="417" spans="1:10" x14ac:dyDescent="0.3">
      <c r="A417">
        <v>415</v>
      </c>
      <c r="B417">
        <v>6594</v>
      </c>
      <c r="C417" t="b">
        <v>1</v>
      </c>
      <c r="D417">
        <v>8048</v>
      </c>
      <c r="E417">
        <v>8123</v>
      </c>
      <c r="F417">
        <v>5.6</v>
      </c>
      <c r="G417">
        <v>5.2</v>
      </c>
      <c r="H417">
        <v>1.0769230999999999</v>
      </c>
      <c r="I417">
        <v>-7.6923094999999997E-2</v>
      </c>
      <c r="J417">
        <v>0.48148150000000001</v>
      </c>
    </row>
    <row r="418" spans="1:10" x14ac:dyDescent="0.3">
      <c r="A418">
        <v>416</v>
      </c>
      <c r="B418">
        <v>6610</v>
      </c>
      <c r="C418" t="b">
        <v>1</v>
      </c>
      <c r="D418">
        <v>8042</v>
      </c>
      <c r="E418">
        <v>8123</v>
      </c>
      <c r="F418">
        <v>5.6</v>
      </c>
      <c r="G418">
        <v>5.2</v>
      </c>
      <c r="H418">
        <v>1.0769230999999999</v>
      </c>
      <c r="I418">
        <v>-7.6923094999999997E-2</v>
      </c>
      <c r="J418">
        <v>0.48148150000000001</v>
      </c>
    </row>
    <row r="419" spans="1:10" x14ac:dyDescent="0.3">
      <c r="A419">
        <v>417</v>
      </c>
      <c r="B419">
        <v>6626</v>
      </c>
      <c r="C419" t="b">
        <v>1</v>
      </c>
      <c r="D419">
        <v>8048</v>
      </c>
      <c r="E419">
        <v>8129</v>
      </c>
      <c r="F419">
        <v>6</v>
      </c>
      <c r="G419">
        <v>5.2</v>
      </c>
      <c r="H419">
        <v>1.1538461</v>
      </c>
      <c r="I419">
        <v>-0.15384618999999999</v>
      </c>
      <c r="J419">
        <v>0.46428570000000002</v>
      </c>
    </row>
    <row r="420" spans="1:10" x14ac:dyDescent="0.3">
      <c r="A420">
        <v>418</v>
      </c>
      <c r="B420">
        <v>6642</v>
      </c>
      <c r="C420" t="b">
        <v>1</v>
      </c>
      <c r="D420">
        <v>8054</v>
      </c>
      <c r="E420">
        <v>8117</v>
      </c>
      <c r="F420">
        <v>6.4</v>
      </c>
      <c r="G420">
        <v>5.2</v>
      </c>
      <c r="H420">
        <v>1.2307693</v>
      </c>
      <c r="I420">
        <v>-0.23076928999999999</v>
      </c>
      <c r="J420">
        <v>0.44827582999999999</v>
      </c>
    </row>
    <row r="421" spans="1:10" x14ac:dyDescent="0.3">
      <c r="A421">
        <v>419</v>
      </c>
      <c r="B421">
        <v>6658</v>
      </c>
      <c r="C421" t="b">
        <v>1</v>
      </c>
      <c r="D421">
        <v>8054</v>
      </c>
      <c r="E421">
        <v>8123</v>
      </c>
      <c r="F421">
        <v>6.8</v>
      </c>
      <c r="G421">
        <v>5.2</v>
      </c>
      <c r="H421">
        <v>1.3076924000000001</v>
      </c>
      <c r="I421">
        <v>-0.30769237999999999</v>
      </c>
      <c r="J421">
        <v>0.43333329999999998</v>
      </c>
    </row>
    <row r="422" spans="1:10" x14ac:dyDescent="0.3">
      <c r="A422">
        <v>420</v>
      </c>
      <c r="B422">
        <v>6674</v>
      </c>
      <c r="C422" t="b">
        <v>1</v>
      </c>
      <c r="D422">
        <v>8054</v>
      </c>
      <c r="E422">
        <v>8123</v>
      </c>
      <c r="F422">
        <v>7.6</v>
      </c>
      <c r="G422">
        <v>5.2</v>
      </c>
      <c r="H422">
        <v>1.4615385999999999</v>
      </c>
      <c r="I422">
        <v>-0.46153850000000002</v>
      </c>
      <c r="J422">
        <v>0.40625</v>
      </c>
    </row>
    <row r="423" spans="1:10" x14ac:dyDescent="0.3">
      <c r="A423">
        <v>421</v>
      </c>
      <c r="B423">
        <v>6690</v>
      </c>
      <c r="C423" t="b">
        <v>1</v>
      </c>
      <c r="D423">
        <v>8054</v>
      </c>
      <c r="E423">
        <v>8117</v>
      </c>
      <c r="F423">
        <v>8.4</v>
      </c>
      <c r="G423">
        <v>5.6</v>
      </c>
      <c r="H423">
        <v>1.5</v>
      </c>
      <c r="I423">
        <v>-0.49999997000000002</v>
      </c>
      <c r="J423">
        <v>0.4</v>
      </c>
    </row>
    <row r="424" spans="1:10" x14ac:dyDescent="0.3">
      <c r="A424">
        <v>422</v>
      </c>
      <c r="B424">
        <v>6706</v>
      </c>
      <c r="C424" t="b">
        <v>1</v>
      </c>
      <c r="D424">
        <v>8054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6722</v>
      </c>
      <c r="C425" t="b">
        <v>1</v>
      </c>
      <c r="D425">
        <v>8054</v>
      </c>
      <c r="E425">
        <v>8123</v>
      </c>
      <c r="F425">
        <v>9.6</v>
      </c>
      <c r="G425">
        <v>6.4</v>
      </c>
      <c r="H425">
        <v>1.5</v>
      </c>
      <c r="I425">
        <v>-0.50000005999999997</v>
      </c>
      <c r="J425">
        <v>0.4</v>
      </c>
    </row>
    <row r="426" spans="1:10" x14ac:dyDescent="0.3">
      <c r="A426">
        <v>424</v>
      </c>
      <c r="B426">
        <v>6738</v>
      </c>
      <c r="C426" t="b">
        <v>1</v>
      </c>
      <c r="D426">
        <v>8054</v>
      </c>
      <c r="E426">
        <v>8123</v>
      </c>
      <c r="F426">
        <v>10</v>
      </c>
      <c r="G426">
        <v>6.8</v>
      </c>
      <c r="H426">
        <v>1.4705881999999999</v>
      </c>
      <c r="I426">
        <v>-0.47058820000000001</v>
      </c>
      <c r="J426">
        <v>0.40476193999999999</v>
      </c>
    </row>
    <row r="427" spans="1:10" x14ac:dyDescent="0.3">
      <c r="A427">
        <v>425</v>
      </c>
      <c r="B427">
        <v>6754</v>
      </c>
      <c r="C427" t="b">
        <v>1</v>
      </c>
      <c r="D427">
        <v>8048</v>
      </c>
      <c r="E427">
        <v>8117</v>
      </c>
      <c r="F427">
        <v>10.4</v>
      </c>
      <c r="G427">
        <v>7.2</v>
      </c>
      <c r="H427">
        <v>1.4444444000000001</v>
      </c>
      <c r="I427">
        <v>-0.44444442000000001</v>
      </c>
      <c r="J427">
        <v>0.40909094000000001</v>
      </c>
    </row>
    <row r="428" spans="1:10" x14ac:dyDescent="0.3">
      <c r="A428">
        <v>426</v>
      </c>
      <c r="B428">
        <v>6770</v>
      </c>
      <c r="C428" t="b">
        <v>1</v>
      </c>
      <c r="D428">
        <v>8048</v>
      </c>
      <c r="E428">
        <v>8123</v>
      </c>
      <c r="F428">
        <v>10.8</v>
      </c>
      <c r="G428">
        <v>7.6</v>
      </c>
      <c r="H428">
        <v>1.4210526999999999</v>
      </c>
      <c r="I428">
        <v>-0.42105266000000002</v>
      </c>
      <c r="J428">
        <v>0.41304347000000002</v>
      </c>
    </row>
    <row r="429" spans="1:10" x14ac:dyDescent="0.3">
      <c r="A429">
        <v>427</v>
      </c>
      <c r="B429">
        <v>6785</v>
      </c>
      <c r="C429" t="b">
        <v>1</v>
      </c>
      <c r="D429">
        <v>8042</v>
      </c>
      <c r="E429">
        <v>8123</v>
      </c>
      <c r="F429">
        <v>10.8</v>
      </c>
      <c r="G429">
        <v>8</v>
      </c>
      <c r="H429">
        <v>1.35</v>
      </c>
      <c r="I429">
        <v>-0.35000002000000002</v>
      </c>
      <c r="J429">
        <v>0.42553192000000001</v>
      </c>
    </row>
    <row r="430" spans="1:10" x14ac:dyDescent="0.3">
      <c r="A430">
        <v>428</v>
      </c>
      <c r="B430">
        <v>6801</v>
      </c>
      <c r="C430" t="b">
        <v>1</v>
      </c>
      <c r="D430">
        <v>8048</v>
      </c>
      <c r="E430">
        <v>8123</v>
      </c>
      <c r="F430">
        <v>10.8</v>
      </c>
      <c r="G430">
        <v>8</v>
      </c>
      <c r="H430">
        <v>1.35</v>
      </c>
      <c r="I430">
        <v>-0.35000002000000002</v>
      </c>
      <c r="J430">
        <v>0.42553192000000001</v>
      </c>
    </row>
    <row r="431" spans="1:10" x14ac:dyDescent="0.3">
      <c r="A431">
        <v>429</v>
      </c>
      <c r="B431">
        <v>6817</v>
      </c>
      <c r="C431" t="b">
        <v>1</v>
      </c>
      <c r="D431">
        <v>8048</v>
      </c>
      <c r="E431">
        <v>8123</v>
      </c>
      <c r="F431">
        <v>10.8</v>
      </c>
      <c r="G431">
        <v>8</v>
      </c>
      <c r="H431">
        <v>1.35</v>
      </c>
      <c r="I431">
        <v>-0.35000002000000002</v>
      </c>
      <c r="J431">
        <v>0.42553192000000001</v>
      </c>
    </row>
    <row r="432" spans="1:10" x14ac:dyDescent="0.3">
      <c r="A432">
        <v>430</v>
      </c>
      <c r="B432">
        <v>6833</v>
      </c>
      <c r="C432" t="b">
        <v>1</v>
      </c>
      <c r="D432">
        <v>8048</v>
      </c>
      <c r="E432">
        <v>8123</v>
      </c>
      <c r="F432">
        <v>10.8</v>
      </c>
      <c r="G432">
        <v>8</v>
      </c>
      <c r="H432">
        <v>1.35</v>
      </c>
      <c r="I432">
        <v>-0.35000002000000002</v>
      </c>
      <c r="J432">
        <v>0.42553192000000001</v>
      </c>
    </row>
    <row r="433" spans="1:10" x14ac:dyDescent="0.3">
      <c r="A433">
        <v>431</v>
      </c>
      <c r="B433">
        <v>6849</v>
      </c>
      <c r="C433" t="b">
        <v>1</v>
      </c>
      <c r="D433">
        <v>8054</v>
      </c>
      <c r="E433">
        <v>8123</v>
      </c>
      <c r="F433">
        <v>10.8</v>
      </c>
      <c r="G433">
        <v>8</v>
      </c>
      <c r="H433">
        <v>1.35</v>
      </c>
      <c r="I433">
        <v>-0.35000002000000002</v>
      </c>
      <c r="J433">
        <v>0.42553192000000001</v>
      </c>
    </row>
    <row r="434" spans="1:10" x14ac:dyDescent="0.3">
      <c r="A434">
        <v>432</v>
      </c>
      <c r="B434">
        <v>6865</v>
      </c>
      <c r="C434" t="b">
        <v>1</v>
      </c>
      <c r="D434">
        <v>8054</v>
      </c>
      <c r="E434">
        <v>8123</v>
      </c>
      <c r="F434">
        <v>10.8</v>
      </c>
      <c r="G434">
        <v>8</v>
      </c>
      <c r="H434">
        <v>1.35</v>
      </c>
      <c r="I434">
        <v>-0.35000002000000002</v>
      </c>
      <c r="J434">
        <v>0.42553192000000001</v>
      </c>
    </row>
    <row r="435" spans="1:10" x14ac:dyDescent="0.3">
      <c r="A435">
        <v>433</v>
      </c>
      <c r="B435">
        <v>6880</v>
      </c>
      <c r="C435" t="b">
        <v>1</v>
      </c>
      <c r="D435">
        <v>8054</v>
      </c>
      <c r="E435">
        <v>8123</v>
      </c>
      <c r="F435">
        <v>11.2</v>
      </c>
      <c r="G435">
        <v>8</v>
      </c>
      <c r="H435">
        <v>1.4</v>
      </c>
      <c r="I435">
        <v>-0.39999997999999998</v>
      </c>
      <c r="J435">
        <v>0.41666666000000002</v>
      </c>
    </row>
    <row r="436" spans="1:10" x14ac:dyDescent="0.3">
      <c r="A436">
        <v>434</v>
      </c>
      <c r="B436">
        <v>6896</v>
      </c>
      <c r="C436" t="b">
        <v>1</v>
      </c>
      <c r="D436">
        <v>8054</v>
      </c>
      <c r="E436">
        <v>8123</v>
      </c>
      <c r="F436">
        <v>11.6</v>
      </c>
      <c r="G436">
        <v>8</v>
      </c>
      <c r="H436">
        <v>1.45</v>
      </c>
      <c r="I436">
        <v>-0.45000004999999998</v>
      </c>
      <c r="J436">
        <v>0.40816324999999998</v>
      </c>
    </row>
    <row r="437" spans="1:10" x14ac:dyDescent="0.3">
      <c r="A437">
        <v>435</v>
      </c>
      <c r="B437">
        <v>6912</v>
      </c>
      <c r="C437" t="b">
        <v>1</v>
      </c>
      <c r="D437">
        <v>8054</v>
      </c>
      <c r="E437">
        <v>8123</v>
      </c>
      <c r="F437">
        <v>11.6</v>
      </c>
      <c r="G437">
        <v>8</v>
      </c>
      <c r="H437">
        <v>1.45</v>
      </c>
      <c r="I437">
        <v>-0.45000004999999998</v>
      </c>
      <c r="J437">
        <v>0.40816324999999998</v>
      </c>
    </row>
    <row r="438" spans="1:10" x14ac:dyDescent="0.3">
      <c r="A438">
        <v>436</v>
      </c>
      <c r="B438">
        <v>6928</v>
      </c>
      <c r="C438" t="b">
        <v>1</v>
      </c>
      <c r="D438">
        <v>8054</v>
      </c>
      <c r="E438">
        <v>8123</v>
      </c>
      <c r="F438">
        <v>11.6</v>
      </c>
      <c r="G438">
        <v>8</v>
      </c>
      <c r="H438">
        <v>1.45</v>
      </c>
      <c r="I438">
        <v>-0.45000004999999998</v>
      </c>
      <c r="J438">
        <v>0.40816324999999998</v>
      </c>
    </row>
    <row r="439" spans="1:10" x14ac:dyDescent="0.3">
      <c r="A439">
        <v>437</v>
      </c>
      <c r="B439">
        <v>6944</v>
      </c>
      <c r="C439" t="b">
        <v>1</v>
      </c>
      <c r="D439">
        <v>8048</v>
      </c>
      <c r="E439">
        <v>8123</v>
      </c>
      <c r="F439">
        <v>11.6</v>
      </c>
      <c r="G439">
        <v>8</v>
      </c>
      <c r="H439">
        <v>1.45</v>
      </c>
      <c r="I439">
        <v>-0.45000004999999998</v>
      </c>
      <c r="J439">
        <v>0.40816324999999998</v>
      </c>
    </row>
    <row r="440" spans="1:10" x14ac:dyDescent="0.3">
      <c r="A440">
        <v>438</v>
      </c>
      <c r="B440">
        <v>6960</v>
      </c>
      <c r="C440" t="b">
        <v>1</v>
      </c>
      <c r="D440">
        <v>8048</v>
      </c>
      <c r="E440">
        <v>8123</v>
      </c>
      <c r="F440">
        <v>11.6</v>
      </c>
      <c r="G440">
        <v>8</v>
      </c>
      <c r="H440">
        <v>1.45</v>
      </c>
      <c r="I440">
        <v>-0.45000004999999998</v>
      </c>
      <c r="J440">
        <v>0.40816324999999998</v>
      </c>
    </row>
    <row r="441" spans="1:10" x14ac:dyDescent="0.3">
      <c r="A441">
        <v>439</v>
      </c>
      <c r="B441">
        <v>6975</v>
      </c>
      <c r="C441" t="b">
        <v>1</v>
      </c>
      <c r="D441">
        <v>8048</v>
      </c>
      <c r="E441">
        <v>8123</v>
      </c>
      <c r="F441">
        <v>11.2</v>
      </c>
      <c r="G441">
        <v>8</v>
      </c>
      <c r="H441">
        <v>1.4</v>
      </c>
      <c r="I441">
        <v>-0.39999997999999998</v>
      </c>
      <c r="J441">
        <v>0.41666666000000002</v>
      </c>
    </row>
    <row r="442" spans="1:10" x14ac:dyDescent="0.3">
      <c r="A442">
        <v>440</v>
      </c>
      <c r="B442">
        <v>6991</v>
      </c>
      <c r="C442" t="b">
        <v>1</v>
      </c>
      <c r="D442">
        <v>8054</v>
      </c>
      <c r="E442">
        <v>8123</v>
      </c>
      <c r="F442">
        <v>10.8</v>
      </c>
      <c r="G442">
        <v>8</v>
      </c>
      <c r="H442">
        <v>1.35</v>
      </c>
      <c r="I442">
        <v>-0.35000002000000002</v>
      </c>
      <c r="J442">
        <v>0.42553192000000001</v>
      </c>
    </row>
    <row r="443" spans="1:10" x14ac:dyDescent="0.3">
      <c r="A443">
        <v>441</v>
      </c>
      <c r="B443">
        <v>7007</v>
      </c>
      <c r="C443" t="b">
        <v>1</v>
      </c>
      <c r="D443">
        <v>8042</v>
      </c>
      <c r="E443">
        <v>8123</v>
      </c>
      <c r="F443">
        <v>10.4</v>
      </c>
      <c r="G443">
        <v>8</v>
      </c>
      <c r="H443">
        <v>1.3</v>
      </c>
      <c r="I443">
        <v>-0.29999995000000002</v>
      </c>
      <c r="J443">
        <v>0.43478262000000001</v>
      </c>
    </row>
    <row r="444" spans="1:10" x14ac:dyDescent="0.3">
      <c r="A444">
        <v>442</v>
      </c>
      <c r="B444">
        <v>7023</v>
      </c>
      <c r="C444" t="b">
        <v>1</v>
      </c>
      <c r="D444">
        <v>8048</v>
      </c>
      <c r="E444">
        <v>8117</v>
      </c>
      <c r="F444">
        <v>10.4</v>
      </c>
      <c r="G444">
        <v>8</v>
      </c>
      <c r="H444">
        <v>1.3</v>
      </c>
      <c r="I444">
        <v>-0.29999995000000002</v>
      </c>
      <c r="J444">
        <v>0.43478262000000001</v>
      </c>
    </row>
    <row r="445" spans="1:10" x14ac:dyDescent="0.3">
      <c r="A445">
        <v>443</v>
      </c>
      <c r="B445">
        <v>7039</v>
      </c>
      <c r="C445" t="b">
        <v>1</v>
      </c>
      <c r="D445">
        <v>8048</v>
      </c>
      <c r="E445">
        <v>8123</v>
      </c>
      <c r="F445">
        <v>10.4</v>
      </c>
      <c r="G445">
        <v>8</v>
      </c>
      <c r="H445">
        <v>1.3</v>
      </c>
      <c r="I445">
        <v>-0.29999995000000002</v>
      </c>
      <c r="J445">
        <v>0.43478262000000001</v>
      </c>
    </row>
    <row r="446" spans="1:10" x14ac:dyDescent="0.3">
      <c r="A446">
        <v>444</v>
      </c>
      <c r="B446">
        <v>7055</v>
      </c>
      <c r="C446" t="b">
        <v>1</v>
      </c>
      <c r="D446">
        <v>8048</v>
      </c>
      <c r="E446">
        <v>8123</v>
      </c>
      <c r="F446">
        <v>10.4</v>
      </c>
      <c r="G446">
        <v>8</v>
      </c>
      <c r="H446">
        <v>1.3</v>
      </c>
      <c r="I446">
        <v>-0.29999995000000002</v>
      </c>
      <c r="J446">
        <v>0.43478262000000001</v>
      </c>
    </row>
    <row r="447" spans="1:10" x14ac:dyDescent="0.3">
      <c r="A447">
        <v>445</v>
      </c>
      <c r="B447">
        <v>7071</v>
      </c>
      <c r="C447" t="b">
        <v>1</v>
      </c>
      <c r="D447">
        <v>8048</v>
      </c>
      <c r="E447">
        <v>8117</v>
      </c>
      <c r="F447">
        <v>10.4</v>
      </c>
      <c r="G447">
        <v>8</v>
      </c>
      <c r="H447">
        <v>1.3</v>
      </c>
      <c r="I447">
        <v>-0.29999995000000002</v>
      </c>
      <c r="J447">
        <v>0.43478262000000001</v>
      </c>
    </row>
    <row r="448" spans="1:10" x14ac:dyDescent="0.3">
      <c r="A448">
        <v>446</v>
      </c>
      <c r="B448">
        <v>7087</v>
      </c>
      <c r="C448" t="b">
        <v>1</v>
      </c>
      <c r="D448">
        <v>8048</v>
      </c>
      <c r="E448">
        <v>8117</v>
      </c>
      <c r="F448">
        <v>10.4</v>
      </c>
      <c r="G448">
        <v>7.6</v>
      </c>
      <c r="H448">
        <v>1.3684210999999999</v>
      </c>
      <c r="I448">
        <v>-0.36842101999999999</v>
      </c>
      <c r="J448">
        <v>0.42222222999999998</v>
      </c>
    </row>
    <row r="449" spans="1:10" x14ac:dyDescent="0.3">
      <c r="A449">
        <v>447</v>
      </c>
      <c r="B449">
        <v>7102</v>
      </c>
      <c r="C449" t="b">
        <v>1</v>
      </c>
      <c r="D449">
        <v>8048</v>
      </c>
      <c r="E449">
        <v>8123</v>
      </c>
      <c r="F449">
        <v>10.4</v>
      </c>
      <c r="G449">
        <v>7.6</v>
      </c>
      <c r="H449">
        <v>1.3684210999999999</v>
      </c>
      <c r="I449">
        <v>-0.36842101999999999</v>
      </c>
      <c r="J449">
        <v>0.42222222999999998</v>
      </c>
    </row>
    <row r="450" spans="1:10" x14ac:dyDescent="0.3">
      <c r="A450">
        <v>448</v>
      </c>
      <c r="B450">
        <v>7118</v>
      </c>
      <c r="C450" t="b">
        <v>1</v>
      </c>
      <c r="D450">
        <v>8048</v>
      </c>
      <c r="E450">
        <v>8123</v>
      </c>
      <c r="F450">
        <v>10</v>
      </c>
      <c r="G450">
        <v>7.6</v>
      </c>
      <c r="H450">
        <v>1.3157894999999999</v>
      </c>
      <c r="I450">
        <v>-0.3157895</v>
      </c>
      <c r="J450">
        <v>0.43181816000000001</v>
      </c>
    </row>
    <row r="451" spans="1:10" x14ac:dyDescent="0.3">
      <c r="A451">
        <v>449</v>
      </c>
      <c r="B451">
        <v>7134</v>
      </c>
      <c r="C451" t="b">
        <v>1</v>
      </c>
      <c r="D451">
        <v>8048</v>
      </c>
      <c r="E451">
        <v>8123</v>
      </c>
      <c r="F451">
        <v>9.6</v>
      </c>
      <c r="G451">
        <v>7.6</v>
      </c>
      <c r="H451">
        <v>1.263158</v>
      </c>
      <c r="I451">
        <v>-0.26315796000000002</v>
      </c>
      <c r="J451">
        <v>0.44186044000000002</v>
      </c>
    </row>
    <row r="452" spans="1:10" x14ac:dyDescent="0.3">
      <c r="A452">
        <v>450</v>
      </c>
      <c r="B452">
        <v>7150</v>
      </c>
      <c r="C452" t="b">
        <v>1</v>
      </c>
      <c r="D452">
        <v>8042</v>
      </c>
      <c r="E452">
        <v>8123</v>
      </c>
      <c r="F452">
        <v>9.1999999999999993</v>
      </c>
      <c r="G452">
        <v>7.6</v>
      </c>
      <c r="H452">
        <v>1.2105262999999999</v>
      </c>
      <c r="I452">
        <v>-0.2105263</v>
      </c>
      <c r="J452">
        <v>0.45238096</v>
      </c>
    </row>
    <row r="453" spans="1:10" x14ac:dyDescent="0.3">
      <c r="A453">
        <v>451</v>
      </c>
      <c r="B453">
        <v>7165</v>
      </c>
      <c r="C453" t="b">
        <v>1</v>
      </c>
      <c r="D453">
        <v>8054</v>
      </c>
      <c r="E453">
        <v>8123</v>
      </c>
      <c r="F453">
        <v>8.8000000000000007</v>
      </c>
      <c r="G453">
        <v>7.6</v>
      </c>
      <c r="H453">
        <v>1.1578946999999999</v>
      </c>
      <c r="I453">
        <v>-0.15789478000000001</v>
      </c>
      <c r="J453">
        <v>0.46341463999999999</v>
      </c>
    </row>
    <row r="454" spans="1:10" x14ac:dyDescent="0.3">
      <c r="A454">
        <v>452</v>
      </c>
      <c r="B454">
        <v>7181</v>
      </c>
      <c r="C454" t="b">
        <v>1</v>
      </c>
      <c r="D454">
        <v>8042</v>
      </c>
      <c r="E454">
        <v>8123</v>
      </c>
      <c r="F454">
        <v>8.4</v>
      </c>
      <c r="G454">
        <v>7.6</v>
      </c>
      <c r="H454">
        <v>1.1052630999999999</v>
      </c>
      <c r="I454">
        <v>-0.10526312</v>
      </c>
      <c r="J454">
        <v>0.47499999999999998</v>
      </c>
    </row>
    <row r="455" spans="1:10" x14ac:dyDescent="0.3">
      <c r="A455">
        <v>453</v>
      </c>
      <c r="B455">
        <v>7197</v>
      </c>
      <c r="C455" t="b">
        <v>1</v>
      </c>
      <c r="D455">
        <v>8048</v>
      </c>
      <c r="E455">
        <v>8129</v>
      </c>
      <c r="F455">
        <v>8</v>
      </c>
      <c r="G455">
        <v>7.6</v>
      </c>
      <c r="H455">
        <v>1.0526316</v>
      </c>
      <c r="I455">
        <v>-5.2631589999999999E-2</v>
      </c>
      <c r="J455">
        <v>0.48717946000000001</v>
      </c>
    </row>
    <row r="456" spans="1:10" x14ac:dyDescent="0.3">
      <c r="A456">
        <v>454</v>
      </c>
      <c r="B456">
        <v>7213</v>
      </c>
      <c r="C456" t="b">
        <v>1</v>
      </c>
      <c r="D456">
        <v>8048</v>
      </c>
      <c r="E456">
        <v>8123</v>
      </c>
      <c r="F456">
        <v>8</v>
      </c>
      <c r="G456">
        <v>7.6</v>
      </c>
      <c r="H456">
        <v>1.0526316</v>
      </c>
      <c r="I456">
        <v>-5.2631589999999999E-2</v>
      </c>
      <c r="J456">
        <v>0.48717946000000001</v>
      </c>
    </row>
    <row r="457" spans="1:10" x14ac:dyDescent="0.3">
      <c r="A457">
        <v>455</v>
      </c>
      <c r="B457">
        <v>7229</v>
      </c>
      <c r="C457" t="b">
        <v>1</v>
      </c>
      <c r="D457">
        <v>8048</v>
      </c>
      <c r="E457">
        <v>8123</v>
      </c>
      <c r="F457">
        <v>8</v>
      </c>
      <c r="G457">
        <v>7.6</v>
      </c>
      <c r="H457">
        <v>1.0526316</v>
      </c>
      <c r="I457">
        <v>-5.2631589999999999E-2</v>
      </c>
      <c r="J457">
        <v>0.48717946000000001</v>
      </c>
    </row>
    <row r="458" spans="1:10" x14ac:dyDescent="0.3">
      <c r="A458">
        <v>456</v>
      </c>
      <c r="B458">
        <v>7245</v>
      </c>
      <c r="C458" t="b">
        <v>1</v>
      </c>
      <c r="D458">
        <v>8048</v>
      </c>
      <c r="E458">
        <v>8123</v>
      </c>
      <c r="F458">
        <v>8</v>
      </c>
      <c r="G458">
        <v>7.6</v>
      </c>
      <c r="H458">
        <v>1.0526316</v>
      </c>
      <c r="I458">
        <v>-5.2631589999999999E-2</v>
      </c>
      <c r="J458">
        <v>0.48717946000000001</v>
      </c>
    </row>
    <row r="459" spans="1:10" x14ac:dyDescent="0.3">
      <c r="A459">
        <v>457</v>
      </c>
      <c r="B459">
        <v>7261</v>
      </c>
      <c r="C459" t="b">
        <v>1</v>
      </c>
      <c r="D459">
        <v>8048</v>
      </c>
      <c r="E459">
        <v>8123</v>
      </c>
      <c r="F459">
        <v>8</v>
      </c>
      <c r="G459">
        <v>7.6</v>
      </c>
      <c r="H459">
        <v>1.0526316</v>
      </c>
      <c r="I459">
        <v>-5.2631589999999999E-2</v>
      </c>
      <c r="J459">
        <v>0.48717946000000001</v>
      </c>
    </row>
    <row r="460" spans="1:10" x14ac:dyDescent="0.3">
      <c r="A460">
        <v>458</v>
      </c>
      <c r="B460">
        <v>7277</v>
      </c>
      <c r="C460" t="b">
        <v>1</v>
      </c>
      <c r="D460">
        <v>8048</v>
      </c>
      <c r="E460">
        <v>8117</v>
      </c>
      <c r="F460">
        <v>8</v>
      </c>
      <c r="G460">
        <v>7.6</v>
      </c>
      <c r="H460">
        <v>1.0526316</v>
      </c>
      <c r="I460">
        <v>-5.2631589999999999E-2</v>
      </c>
      <c r="J460">
        <v>0.48717946000000001</v>
      </c>
    </row>
    <row r="461" spans="1:10" x14ac:dyDescent="0.3">
      <c r="A461">
        <v>459</v>
      </c>
      <c r="B461">
        <v>7293</v>
      </c>
      <c r="C461" t="b">
        <v>1</v>
      </c>
      <c r="D461">
        <v>8048</v>
      </c>
      <c r="E461">
        <v>8117</v>
      </c>
      <c r="F461">
        <v>8</v>
      </c>
      <c r="G461">
        <v>7.6</v>
      </c>
      <c r="H461">
        <v>1.0526316</v>
      </c>
      <c r="I461">
        <v>-5.2631589999999999E-2</v>
      </c>
      <c r="J461">
        <v>0.48717946000000001</v>
      </c>
    </row>
    <row r="462" spans="1:10" x14ac:dyDescent="0.3">
      <c r="A462">
        <v>460</v>
      </c>
      <c r="B462">
        <v>7309</v>
      </c>
      <c r="C462" t="b">
        <v>1</v>
      </c>
      <c r="D462">
        <v>8054</v>
      </c>
      <c r="E462">
        <v>8123</v>
      </c>
      <c r="F462">
        <v>8</v>
      </c>
      <c r="G462">
        <v>7.6</v>
      </c>
      <c r="H462">
        <v>1.0526316</v>
      </c>
      <c r="I462">
        <v>-5.2631589999999999E-2</v>
      </c>
      <c r="J462">
        <v>0.48717946000000001</v>
      </c>
    </row>
    <row r="463" spans="1:10" x14ac:dyDescent="0.3">
      <c r="A463">
        <v>461</v>
      </c>
      <c r="B463">
        <v>7324</v>
      </c>
      <c r="C463" t="b">
        <v>1</v>
      </c>
      <c r="D463">
        <v>8048</v>
      </c>
      <c r="E463">
        <v>8117</v>
      </c>
      <c r="F463">
        <v>8</v>
      </c>
      <c r="G463">
        <v>7.6</v>
      </c>
      <c r="H463">
        <v>1.0526316</v>
      </c>
      <c r="I463">
        <v>-5.2631589999999999E-2</v>
      </c>
      <c r="J463">
        <v>0.48717946000000001</v>
      </c>
    </row>
    <row r="464" spans="1:10" x14ac:dyDescent="0.3">
      <c r="A464">
        <v>462</v>
      </c>
      <c r="B464">
        <v>7340</v>
      </c>
      <c r="C464" t="b">
        <v>1</v>
      </c>
      <c r="D464">
        <v>8054</v>
      </c>
      <c r="E464">
        <v>8117</v>
      </c>
      <c r="F464">
        <v>8</v>
      </c>
      <c r="G464">
        <v>7.2</v>
      </c>
      <c r="H464">
        <v>1.1111112000000001</v>
      </c>
      <c r="I464">
        <v>-0.11111114</v>
      </c>
      <c r="J464">
        <v>0.4736842</v>
      </c>
    </row>
    <row r="465" spans="1:10" x14ac:dyDescent="0.3">
      <c r="A465">
        <v>463</v>
      </c>
      <c r="B465">
        <v>7356</v>
      </c>
      <c r="C465" t="b">
        <v>1</v>
      </c>
      <c r="D465">
        <v>8042</v>
      </c>
      <c r="E465">
        <v>8117</v>
      </c>
      <c r="F465">
        <v>8</v>
      </c>
      <c r="G465">
        <v>6.8</v>
      </c>
      <c r="H465">
        <v>1.1764705</v>
      </c>
      <c r="I465">
        <v>-0.17647055</v>
      </c>
      <c r="J465">
        <v>0.45945944999999999</v>
      </c>
    </row>
    <row r="466" spans="1:10" x14ac:dyDescent="0.3">
      <c r="A466">
        <v>464</v>
      </c>
      <c r="B466">
        <v>7372</v>
      </c>
      <c r="C466" t="b">
        <v>1</v>
      </c>
      <c r="D466">
        <v>8048</v>
      </c>
      <c r="E466">
        <v>8117</v>
      </c>
      <c r="F466">
        <v>8</v>
      </c>
      <c r="G466">
        <v>6.4</v>
      </c>
      <c r="H466">
        <v>1.25</v>
      </c>
      <c r="I466">
        <v>-0.24999999000000001</v>
      </c>
      <c r="J466">
        <v>0.44444447999999998</v>
      </c>
    </row>
    <row r="467" spans="1:10" x14ac:dyDescent="0.3">
      <c r="A467">
        <v>465</v>
      </c>
      <c r="B467">
        <v>7389</v>
      </c>
      <c r="C467" t="b">
        <v>1</v>
      </c>
      <c r="D467">
        <v>8048</v>
      </c>
      <c r="E467">
        <v>8117</v>
      </c>
      <c r="F467">
        <v>8</v>
      </c>
      <c r="G467">
        <v>6</v>
      </c>
      <c r="H467">
        <v>1.3333333999999999</v>
      </c>
      <c r="I467">
        <v>-0.33333333999999998</v>
      </c>
      <c r="J467">
        <v>0.42857142999999998</v>
      </c>
    </row>
    <row r="468" spans="1:10" x14ac:dyDescent="0.3">
      <c r="A468">
        <v>466</v>
      </c>
      <c r="B468">
        <v>7404</v>
      </c>
      <c r="C468" t="b">
        <v>1</v>
      </c>
      <c r="D468">
        <v>8048</v>
      </c>
      <c r="E468">
        <v>8123</v>
      </c>
      <c r="F468">
        <v>8</v>
      </c>
      <c r="G468">
        <v>5.6</v>
      </c>
      <c r="H468">
        <v>1.4285715000000001</v>
      </c>
      <c r="I468">
        <v>-0.42857146000000002</v>
      </c>
      <c r="J468">
        <v>0.41176467999999999</v>
      </c>
    </row>
    <row r="469" spans="1:10" x14ac:dyDescent="0.3">
      <c r="A469">
        <v>467</v>
      </c>
      <c r="B469">
        <v>7420</v>
      </c>
      <c r="C469" t="b">
        <v>1</v>
      </c>
      <c r="D469">
        <v>8054</v>
      </c>
      <c r="E469">
        <v>8123</v>
      </c>
      <c r="F469">
        <v>8</v>
      </c>
      <c r="G469">
        <v>5.2</v>
      </c>
      <c r="H469">
        <v>1.5384616</v>
      </c>
      <c r="I469">
        <v>-0.53846156999999994</v>
      </c>
      <c r="J469">
        <v>0.39393938000000001</v>
      </c>
    </row>
    <row r="470" spans="1:10" x14ac:dyDescent="0.3">
      <c r="A470">
        <v>468</v>
      </c>
      <c r="B470">
        <v>7436</v>
      </c>
      <c r="C470" t="b">
        <v>1</v>
      </c>
      <c r="D470">
        <v>8048</v>
      </c>
      <c r="E470">
        <v>8123</v>
      </c>
      <c r="F470">
        <v>8</v>
      </c>
      <c r="G470">
        <v>5.2</v>
      </c>
      <c r="H470">
        <v>1.5384616</v>
      </c>
      <c r="I470">
        <v>-0.53846156999999994</v>
      </c>
      <c r="J470">
        <v>0.39393938000000001</v>
      </c>
    </row>
    <row r="471" spans="1:10" x14ac:dyDescent="0.3">
      <c r="A471">
        <v>469</v>
      </c>
      <c r="B471">
        <v>7452</v>
      </c>
      <c r="C471" t="b">
        <v>1</v>
      </c>
      <c r="D471">
        <v>8060</v>
      </c>
      <c r="E471">
        <v>8123</v>
      </c>
      <c r="F471">
        <v>8</v>
      </c>
      <c r="G471">
        <v>5.2</v>
      </c>
      <c r="H471">
        <v>1.5384616</v>
      </c>
      <c r="I471">
        <v>-0.53846156999999994</v>
      </c>
      <c r="J471">
        <v>0.39393938000000001</v>
      </c>
    </row>
    <row r="472" spans="1:10" x14ac:dyDescent="0.3">
      <c r="A472">
        <v>470</v>
      </c>
      <c r="B472">
        <v>7468</v>
      </c>
      <c r="C472" t="b">
        <v>1</v>
      </c>
      <c r="D472">
        <v>8060</v>
      </c>
      <c r="E472">
        <v>8123</v>
      </c>
      <c r="F472">
        <v>8.4</v>
      </c>
      <c r="G472">
        <v>5.2</v>
      </c>
      <c r="H472">
        <v>1.6153846000000001</v>
      </c>
      <c r="I472">
        <v>-0.61538459999999995</v>
      </c>
      <c r="J472">
        <v>0.38235295000000002</v>
      </c>
    </row>
    <row r="473" spans="1:10" x14ac:dyDescent="0.3">
      <c r="A473">
        <v>471</v>
      </c>
      <c r="B473">
        <v>7484</v>
      </c>
      <c r="C473" t="b">
        <v>1</v>
      </c>
      <c r="D473">
        <v>8054</v>
      </c>
      <c r="E473">
        <v>8117</v>
      </c>
      <c r="F473">
        <v>8.8000000000000007</v>
      </c>
      <c r="G473">
        <v>5.2</v>
      </c>
      <c r="H473">
        <v>1.6923078</v>
      </c>
      <c r="I473">
        <v>-0.69230780000000003</v>
      </c>
      <c r="J473">
        <v>0.37142855000000002</v>
      </c>
    </row>
    <row r="474" spans="1:10" x14ac:dyDescent="0.3">
      <c r="A474">
        <v>472</v>
      </c>
      <c r="B474">
        <v>7500</v>
      </c>
      <c r="C474" t="b">
        <v>1</v>
      </c>
      <c r="D474">
        <v>8054</v>
      </c>
      <c r="E474">
        <v>8123</v>
      </c>
      <c r="F474">
        <v>9.1999999999999993</v>
      </c>
      <c r="G474">
        <v>5.2</v>
      </c>
      <c r="H474">
        <v>1.7692308000000001</v>
      </c>
      <c r="I474">
        <v>-0.76923079999999999</v>
      </c>
      <c r="J474">
        <v>0.36111110000000002</v>
      </c>
    </row>
    <row r="475" spans="1:10" x14ac:dyDescent="0.3">
      <c r="A475">
        <v>473</v>
      </c>
      <c r="B475">
        <v>7516</v>
      </c>
      <c r="C475" t="b">
        <v>1</v>
      </c>
      <c r="D475">
        <v>8054</v>
      </c>
      <c r="E475">
        <v>8117</v>
      </c>
      <c r="F475">
        <v>9.6</v>
      </c>
      <c r="G475">
        <v>5.2</v>
      </c>
      <c r="H475">
        <v>1.8461540000000001</v>
      </c>
      <c r="I475">
        <v>-0.84615399999999996</v>
      </c>
      <c r="J475">
        <v>0.35135132000000002</v>
      </c>
    </row>
    <row r="476" spans="1:10" x14ac:dyDescent="0.3">
      <c r="A476">
        <v>474</v>
      </c>
      <c r="B476">
        <v>7532</v>
      </c>
      <c r="C476" t="b">
        <v>1</v>
      </c>
      <c r="D476">
        <v>8054</v>
      </c>
      <c r="E476">
        <v>8123</v>
      </c>
      <c r="F476">
        <v>10</v>
      </c>
      <c r="G476">
        <v>5.2</v>
      </c>
      <c r="H476">
        <v>1.9230769999999999</v>
      </c>
      <c r="I476">
        <v>-0.92307700000000004</v>
      </c>
      <c r="J476">
        <v>0.34210527000000002</v>
      </c>
    </row>
    <row r="477" spans="1:10" x14ac:dyDescent="0.3">
      <c r="A477">
        <v>475</v>
      </c>
      <c r="B477">
        <v>7548</v>
      </c>
      <c r="C477" t="b">
        <v>1</v>
      </c>
      <c r="D477">
        <v>8060</v>
      </c>
      <c r="E477">
        <v>8123</v>
      </c>
      <c r="F477">
        <v>10.4</v>
      </c>
      <c r="G477">
        <v>5.2</v>
      </c>
      <c r="H477">
        <v>2</v>
      </c>
      <c r="I477">
        <v>-1</v>
      </c>
      <c r="J477">
        <v>0.33333333999999998</v>
      </c>
    </row>
    <row r="478" spans="1:10" x14ac:dyDescent="0.3">
      <c r="A478">
        <v>476</v>
      </c>
      <c r="B478">
        <v>7563</v>
      </c>
      <c r="C478" t="b">
        <v>1</v>
      </c>
      <c r="D478">
        <v>8042</v>
      </c>
      <c r="E478">
        <v>8123</v>
      </c>
      <c r="F478">
        <v>10.8</v>
      </c>
      <c r="G478">
        <v>5.6</v>
      </c>
      <c r="H478">
        <v>1.9285715000000001</v>
      </c>
      <c r="I478">
        <v>-0.92857149999999999</v>
      </c>
      <c r="J478">
        <v>0.34146342000000002</v>
      </c>
    </row>
    <row r="479" spans="1:10" x14ac:dyDescent="0.3">
      <c r="A479">
        <v>477</v>
      </c>
      <c r="B479">
        <v>7579</v>
      </c>
      <c r="C479" t="b">
        <v>1</v>
      </c>
      <c r="D479">
        <v>8048</v>
      </c>
      <c r="E479">
        <v>8123</v>
      </c>
      <c r="F479">
        <v>11.2</v>
      </c>
      <c r="G479">
        <v>6</v>
      </c>
      <c r="H479">
        <v>1.8666666999999999</v>
      </c>
      <c r="I479">
        <v>-0.86666659999999995</v>
      </c>
      <c r="J479">
        <v>0.34883720000000001</v>
      </c>
    </row>
    <row r="480" spans="1:10" x14ac:dyDescent="0.3">
      <c r="A480">
        <v>478</v>
      </c>
      <c r="B480">
        <v>7595</v>
      </c>
      <c r="C480" t="b">
        <v>1</v>
      </c>
      <c r="D480">
        <v>8048</v>
      </c>
      <c r="E480">
        <v>8117</v>
      </c>
      <c r="F480">
        <v>11.2</v>
      </c>
      <c r="G480">
        <v>6.4</v>
      </c>
      <c r="H480">
        <v>1.75</v>
      </c>
      <c r="I480">
        <v>-0.74999994000000003</v>
      </c>
      <c r="J480">
        <v>0.36363636999999999</v>
      </c>
    </row>
    <row r="481" spans="1:10" x14ac:dyDescent="0.3">
      <c r="A481">
        <v>479</v>
      </c>
      <c r="B481">
        <v>7611</v>
      </c>
      <c r="C481" t="b">
        <v>1</v>
      </c>
      <c r="D481">
        <v>8048</v>
      </c>
      <c r="E481">
        <v>8123</v>
      </c>
      <c r="F481">
        <v>11.2</v>
      </c>
      <c r="G481">
        <v>6.8</v>
      </c>
      <c r="H481">
        <v>1.6470587000000001</v>
      </c>
      <c r="I481">
        <v>-0.64705869999999999</v>
      </c>
      <c r="J481">
        <v>0.37777779</v>
      </c>
    </row>
    <row r="482" spans="1:10" x14ac:dyDescent="0.3">
      <c r="A482">
        <v>480</v>
      </c>
      <c r="B482">
        <v>7627</v>
      </c>
      <c r="C482" t="b">
        <v>1</v>
      </c>
      <c r="D482">
        <v>8054</v>
      </c>
      <c r="E482">
        <v>8123</v>
      </c>
      <c r="F482">
        <v>11.2</v>
      </c>
      <c r="G482">
        <v>7.2</v>
      </c>
      <c r="H482">
        <v>1.5555555999999999</v>
      </c>
      <c r="I482">
        <v>-0.55555560000000004</v>
      </c>
      <c r="J482">
        <v>0.39130433999999997</v>
      </c>
    </row>
    <row r="483" spans="1:10" x14ac:dyDescent="0.3">
      <c r="A483">
        <v>481</v>
      </c>
      <c r="B483">
        <v>7643</v>
      </c>
      <c r="C483" t="b">
        <v>1</v>
      </c>
      <c r="D483">
        <v>8048</v>
      </c>
      <c r="E483">
        <v>8123</v>
      </c>
      <c r="F483">
        <v>11.2</v>
      </c>
      <c r="G483">
        <v>7.6</v>
      </c>
      <c r="H483">
        <v>1.4736842000000001</v>
      </c>
      <c r="I483">
        <v>-0.4736842</v>
      </c>
      <c r="J483">
        <v>0.40425533000000002</v>
      </c>
    </row>
    <row r="484" spans="1:10" x14ac:dyDescent="0.3">
      <c r="A484">
        <v>482</v>
      </c>
      <c r="B484">
        <v>7659</v>
      </c>
      <c r="C484" t="b">
        <v>1</v>
      </c>
      <c r="D484">
        <v>8048</v>
      </c>
      <c r="E484">
        <v>8117</v>
      </c>
      <c r="F484">
        <v>11.2</v>
      </c>
      <c r="G484">
        <v>8</v>
      </c>
      <c r="H484">
        <v>1.4</v>
      </c>
      <c r="I484">
        <v>-0.39999997999999998</v>
      </c>
      <c r="J484">
        <v>0.41666666000000002</v>
      </c>
    </row>
    <row r="485" spans="1:10" x14ac:dyDescent="0.3">
      <c r="A485">
        <v>483</v>
      </c>
      <c r="B485">
        <v>7675</v>
      </c>
      <c r="C485" t="b">
        <v>1</v>
      </c>
      <c r="D485">
        <v>8048</v>
      </c>
      <c r="E485">
        <v>8123</v>
      </c>
      <c r="F485">
        <v>11.2</v>
      </c>
      <c r="G485">
        <v>8</v>
      </c>
      <c r="H485">
        <v>1.4</v>
      </c>
      <c r="I485">
        <v>-0.39999997999999998</v>
      </c>
      <c r="J485">
        <v>0.41666666000000002</v>
      </c>
    </row>
    <row r="486" spans="1:10" x14ac:dyDescent="0.3">
      <c r="A486">
        <v>484</v>
      </c>
      <c r="B486">
        <v>7691</v>
      </c>
      <c r="C486" t="b">
        <v>1</v>
      </c>
      <c r="D486">
        <v>8054</v>
      </c>
      <c r="E486">
        <v>8117</v>
      </c>
      <c r="F486">
        <v>11.2</v>
      </c>
      <c r="G486">
        <v>8</v>
      </c>
      <c r="H486">
        <v>1.4</v>
      </c>
      <c r="I486">
        <v>-0.39999997999999998</v>
      </c>
      <c r="J486">
        <v>0.41666666000000002</v>
      </c>
    </row>
    <row r="487" spans="1:10" x14ac:dyDescent="0.3">
      <c r="A487">
        <v>485</v>
      </c>
      <c r="B487">
        <v>7707</v>
      </c>
      <c r="C487" t="b">
        <v>1</v>
      </c>
      <c r="D487">
        <v>8054</v>
      </c>
      <c r="E487">
        <v>8123</v>
      </c>
      <c r="F487">
        <v>10.8</v>
      </c>
      <c r="G487">
        <v>8</v>
      </c>
      <c r="H487">
        <v>1.35</v>
      </c>
      <c r="I487">
        <v>-0.35000002000000002</v>
      </c>
      <c r="J487">
        <v>0.42553192000000001</v>
      </c>
    </row>
    <row r="488" spans="1:10" x14ac:dyDescent="0.3">
      <c r="A488">
        <v>486</v>
      </c>
      <c r="B488">
        <v>7722</v>
      </c>
      <c r="C488" t="b">
        <v>1</v>
      </c>
      <c r="D488">
        <v>8042</v>
      </c>
      <c r="E488">
        <v>8123</v>
      </c>
      <c r="F488">
        <v>10.4</v>
      </c>
      <c r="G488">
        <v>8</v>
      </c>
      <c r="H488">
        <v>1.3</v>
      </c>
      <c r="I488">
        <v>-0.29999995000000002</v>
      </c>
      <c r="J488">
        <v>0.43478262000000001</v>
      </c>
    </row>
    <row r="489" spans="1:10" x14ac:dyDescent="0.3">
      <c r="A489">
        <v>487</v>
      </c>
      <c r="B489">
        <v>7738</v>
      </c>
      <c r="C489" t="b">
        <v>1</v>
      </c>
      <c r="D489">
        <v>8048</v>
      </c>
      <c r="E489">
        <v>8123</v>
      </c>
      <c r="F489">
        <v>10</v>
      </c>
      <c r="G489">
        <v>8</v>
      </c>
      <c r="H489">
        <v>1.25</v>
      </c>
      <c r="I489">
        <v>-0.25</v>
      </c>
      <c r="J489">
        <v>0.44444444999999999</v>
      </c>
    </row>
    <row r="490" spans="1:10" x14ac:dyDescent="0.3">
      <c r="A490">
        <v>488</v>
      </c>
      <c r="B490">
        <v>7754</v>
      </c>
      <c r="C490" t="b">
        <v>1</v>
      </c>
      <c r="D490">
        <v>8048</v>
      </c>
      <c r="E490">
        <v>8123</v>
      </c>
      <c r="F490">
        <v>9.6</v>
      </c>
      <c r="G490">
        <v>8</v>
      </c>
      <c r="H490">
        <v>1.2</v>
      </c>
      <c r="I490">
        <v>-0.20000005000000001</v>
      </c>
      <c r="J490">
        <v>0.45454544000000002</v>
      </c>
    </row>
    <row r="491" spans="1:10" x14ac:dyDescent="0.3">
      <c r="A491">
        <v>489</v>
      </c>
      <c r="B491">
        <v>7770</v>
      </c>
      <c r="C491" t="b">
        <v>1</v>
      </c>
      <c r="D491">
        <v>8048</v>
      </c>
      <c r="E491">
        <v>8123</v>
      </c>
      <c r="F491">
        <v>9.1999999999999993</v>
      </c>
      <c r="G491">
        <v>8</v>
      </c>
      <c r="H491">
        <v>1.1499999999999999</v>
      </c>
      <c r="I491">
        <v>-0.14999998</v>
      </c>
      <c r="J491">
        <v>0.46511626</v>
      </c>
    </row>
    <row r="492" spans="1:10" x14ac:dyDescent="0.3">
      <c r="A492">
        <v>490</v>
      </c>
      <c r="B492">
        <v>7786</v>
      </c>
      <c r="C492" t="b">
        <v>1</v>
      </c>
      <c r="D492">
        <v>8048</v>
      </c>
      <c r="E492">
        <v>8117</v>
      </c>
      <c r="F492">
        <v>8.8000000000000007</v>
      </c>
      <c r="G492">
        <v>8</v>
      </c>
      <c r="H492">
        <v>1.1000000000000001</v>
      </c>
      <c r="I492">
        <v>-0.10000002400000001</v>
      </c>
      <c r="J492">
        <v>0.47619050000000002</v>
      </c>
    </row>
    <row r="493" spans="1:10" x14ac:dyDescent="0.3">
      <c r="A493">
        <v>491</v>
      </c>
      <c r="B493">
        <v>7802</v>
      </c>
      <c r="C493" t="b">
        <v>1</v>
      </c>
      <c r="D493">
        <v>8048</v>
      </c>
      <c r="E493">
        <v>8123</v>
      </c>
      <c r="F493">
        <v>8.4</v>
      </c>
      <c r="G493">
        <v>8</v>
      </c>
      <c r="H493">
        <v>1.05</v>
      </c>
      <c r="I493">
        <v>-4.9999952E-2</v>
      </c>
      <c r="J493">
        <v>0.48780489999999999</v>
      </c>
    </row>
    <row r="494" spans="1:10" x14ac:dyDescent="0.3">
      <c r="A494">
        <v>492</v>
      </c>
      <c r="B494">
        <v>7818</v>
      </c>
      <c r="C494" t="b">
        <v>1</v>
      </c>
      <c r="D494">
        <v>8048</v>
      </c>
      <c r="E494">
        <v>8123</v>
      </c>
      <c r="F494">
        <v>8</v>
      </c>
      <c r="G494">
        <v>8</v>
      </c>
      <c r="H494">
        <v>1</v>
      </c>
      <c r="I494">
        <v>0</v>
      </c>
      <c r="J494">
        <v>0.5</v>
      </c>
    </row>
    <row r="495" spans="1:10" x14ac:dyDescent="0.3">
      <c r="A495">
        <v>493</v>
      </c>
      <c r="B495">
        <v>7834</v>
      </c>
      <c r="C495" t="b">
        <v>1</v>
      </c>
      <c r="D495">
        <v>8054</v>
      </c>
      <c r="E495">
        <v>8123</v>
      </c>
      <c r="F495">
        <v>8</v>
      </c>
      <c r="G495">
        <v>8</v>
      </c>
      <c r="H495">
        <v>1</v>
      </c>
      <c r="I495">
        <v>0</v>
      </c>
      <c r="J495">
        <v>0.5</v>
      </c>
    </row>
    <row r="496" spans="1:10" x14ac:dyDescent="0.3">
      <c r="A496">
        <v>494</v>
      </c>
      <c r="B496">
        <v>7850</v>
      </c>
      <c r="C496" t="b">
        <v>1</v>
      </c>
      <c r="D496">
        <v>8048</v>
      </c>
      <c r="E496">
        <v>8123</v>
      </c>
      <c r="F496">
        <v>8</v>
      </c>
      <c r="G496">
        <v>8</v>
      </c>
      <c r="H496">
        <v>1</v>
      </c>
      <c r="I496">
        <v>0</v>
      </c>
      <c r="J496">
        <v>0.5</v>
      </c>
    </row>
    <row r="497" spans="1:10" x14ac:dyDescent="0.3">
      <c r="A497">
        <v>495</v>
      </c>
      <c r="B497">
        <v>7866</v>
      </c>
      <c r="C497" t="b">
        <v>1</v>
      </c>
      <c r="D497">
        <v>8048</v>
      </c>
      <c r="E497">
        <v>8123</v>
      </c>
      <c r="F497">
        <v>8</v>
      </c>
      <c r="G497">
        <v>8</v>
      </c>
      <c r="H497">
        <v>1</v>
      </c>
      <c r="I497">
        <v>0</v>
      </c>
      <c r="J497">
        <v>0.5</v>
      </c>
    </row>
    <row r="498" spans="1:10" x14ac:dyDescent="0.3">
      <c r="A498">
        <v>496</v>
      </c>
      <c r="B498">
        <v>7882</v>
      </c>
      <c r="C498" t="b">
        <v>1</v>
      </c>
      <c r="D498">
        <v>8048</v>
      </c>
      <c r="E498">
        <v>8123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7898</v>
      </c>
      <c r="C499" t="b">
        <v>1</v>
      </c>
      <c r="D499">
        <v>8054</v>
      </c>
      <c r="E499">
        <v>8123</v>
      </c>
      <c r="F499">
        <v>8</v>
      </c>
      <c r="G499">
        <v>8</v>
      </c>
      <c r="H499">
        <v>1</v>
      </c>
      <c r="I499">
        <v>0</v>
      </c>
      <c r="J499">
        <v>0.5</v>
      </c>
    </row>
    <row r="500" spans="1:10" x14ac:dyDescent="0.3">
      <c r="A500">
        <v>498</v>
      </c>
      <c r="B500">
        <v>7914</v>
      </c>
      <c r="C500" t="b">
        <v>1</v>
      </c>
      <c r="D500">
        <v>8054</v>
      </c>
      <c r="E500">
        <v>8123</v>
      </c>
      <c r="F500">
        <v>8</v>
      </c>
      <c r="G500">
        <v>8</v>
      </c>
      <c r="H500">
        <v>1</v>
      </c>
      <c r="I500">
        <v>0</v>
      </c>
      <c r="J500">
        <v>0.5</v>
      </c>
    </row>
    <row r="501" spans="1:10" x14ac:dyDescent="0.3">
      <c r="A501">
        <v>499</v>
      </c>
      <c r="B501">
        <v>7930</v>
      </c>
      <c r="C501" t="b">
        <v>1</v>
      </c>
      <c r="D501">
        <v>8054</v>
      </c>
      <c r="E501">
        <v>8117</v>
      </c>
      <c r="F501">
        <v>8.4</v>
      </c>
      <c r="G501">
        <v>8</v>
      </c>
      <c r="H501">
        <v>1.05</v>
      </c>
      <c r="I501">
        <v>-4.9999952E-2</v>
      </c>
      <c r="J501">
        <v>0.48780489999999999</v>
      </c>
    </row>
    <row r="502" spans="1:10" x14ac:dyDescent="0.3">
      <c r="A502">
        <v>500</v>
      </c>
      <c r="B502">
        <v>7946</v>
      </c>
      <c r="C502" t="b">
        <v>1</v>
      </c>
      <c r="D502">
        <v>8048</v>
      </c>
      <c r="E502">
        <v>8123</v>
      </c>
      <c r="F502">
        <v>8.8000000000000007</v>
      </c>
      <c r="G502">
        <v>8</v>
      </c>
      <c r="H502">
        <v>1.1000000000000001</v>
      </c>
      <c r="I502">
        <v>-0.10000002400000001</v>
      </c>
      <c r="J502">
        <v>0.47619050000000002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BF3A-AE4A-41E7-8050-9B071E44F77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8111</v>
      </c>
      <c r="E2">
        <v>8117</v>
      </c>
      <c r="F2">
        <v>271</v>
      </c>
      <c r="G2">
        <v>202</v>
      </c>
      <c r="H2">
        <v>1.3415842</v>
      </c>
      <c r="I2">
        <v>-0.34158414999999998</v>
      </c>
      <c r="J2">
        <v>0.42706132000000002</v>
      </c>
    </row>
    <row r="3" spans="1:10" x14ac:dyDescent="0.3">
      <c r="A3">
        <v>1</v>
      </c>
      <c r="B3">
        <v>27</v>
      </c>
      <c r="C3" t="b">
        <v>1</v>
      </c>
      <c r="D3">
        <v>8111</v>
      </c>
      <c r="E3">
        <v>8093</v>
      </c>
      <c r="F3">
        <v>271</v>
      </c>
      <c r="G3">
        <v>202</v>
      </c>
      <c r="H3">
        <v>1.3415842</v>
      </c>
      <c r="I3">
        <v>-0.34158414999999998</v>
      </c>
      <c r="J3">
        <v>0.42706132000000002</v>
      </c>
    </row>
    <row r="4" spans="1:10" x14ac:dyDescent="0.3">
      <c r="A4">
        <v>2</v>
      </c>
      <c r="B4">
        <v>43</v>
      </c>
      <c r="C4" t="b">
        <v>1</v>
      </c>
      <c r="D4">
        <v>8106</v>
      </c>
      <c r="E4">
        <v>8105</v>
      </c>
      <c r="F4">
        <v>271</v>
      </c>
      <c r="G4">
        <v>198</v>
      </c>
      <c r="H4">
        <v>1.3686868999999999</v>
      </c>
      <c r="I4">
        <v>-0.36868685000000001</v>
      </c>
      <c r="J4">
        <v>0.42217484</v>
      </c>
    </row>
    <row r="5" spans="1:10" x14ac:dyDescent="0.3">
      <c r="A5">
        <v>3</v>
      </c>
      <c r="B5">
        <v>59</v>
      </c>
      <c r="C5" t="b">
        <v>1</v>
      </c>
      <c r="D5">
        <v>8094</v>
      </c>
      <c r="E5">
        <v>8099</v>
      </c>
      <c r="F5">
        <v>271</v>
      </c>
      <c r="G5">
        <v>196</v>
      </c>
      <c r="H5">
        <v>1.3826531</v>
      </c>
      <c r="I5">
        <v>-0.38265305999999999</v>
      </c>
      <c r="J5">
        <v>0.41970020000000002</v>
      </c>
    </row>
    <row r="6" spans="1:10" x14ac:dyDescent="0.3">
      <c r="A6">
        <v>4</v>
      </c>
      <c r="B6">
        <v>75</v>
      </c>
      <c r="C6" t="b">
        <v>1</v>
      </c>
      <c r="D6">
        <v>8129</v>
      </c>
      <c r="E6">
        <v>8111</v>
      </c>
      <c r="F6">
        <v>271</v>
      </c>
      <c r="G6">
        <v>194.8</v>
      </c>
      <c r="H6">
        <v>1.3911704</v>
      </c>
      <c r="I6">
        <v>-0.39117039999999997</v>
      </c>
      <c r="J6">
        <v>0.41820526000000002</v>
      </c>
    </row>
    <row r="7" spans="1:10" x14ac:dyDescent="0.3">
      <c r="A7">
        <v>5</v>
      </c>
      <c r="B7">
        <v>90</v>
      </c>
      <c r="C7" t="b">
        <v>1</v>
      </c>
      <c r="D7">
        <v>8117</v>
      </c>
      <c r="E7">
        <v>8099</v>
      </c>
      <c r="F7">
        <v>271</v>
      </c>
      <c r="G7">
        <v>193</v>
      </c>
      <c r="H7">
        <v>1.4041451</v>
      </c>
      <c r="I7">
        <v>-0.40414509999999998</v>
      </c>
      <c r="J7">
        <v>0.41594827000000001</v>
      </c>
    </row>
    <row r="8" spans="1:10" x14ac:dyDescent="0.3">
      <c r="A8">
        <v>6</v>
      </c>
      <c r="B8">
        <v>106</v>
      </c>
      <c r="C8" t="b">
        <v>1</v>
      </c>
      <c r="D8">
        <v>8135</v>
      </c>
      <c r="E8">
        <v>8105</v>
      </c>
      <c r="F8">
        <v>271.85714999999999</v>
      </c>
      <c r="G8">
        <v>192.57142999999999</v>
      </c>
      <c r="H8">
        <v>1.4117211000000001</v>
      </c>
      <c r="I8">
        <v>-0.41172110000000001</v>
      </c>
      <c r="J8">
        <v>0.41464161999999999</v>
      </c>
    </row>
    <row r="9" spans="1:10" x14ac:dyDescent="0.3">
      <c r="A9">
        <v>7</v>
      </c>
      <c r="B9">
        <v>138</v>
      </c>
      <c r="C9" t="b">
        <v>1</v>
      </c>
      <c r="D9">
        <v>8123</v>
      </c>
      <c r="E9">
        <v>8105</v>
      </c>
      <c r="F9">
        <v>273.25</v>
      </c>
      <c r="G9">
        <v>192.25</v>
      </c>
      <c r="H9">
        <v>1.4213264000000001</v>
      </c>
      <c r="I9">
        <v>-0.42132639999999999</v>
      </c>
      <c r="J9">
        <v>0.41299677000000001</v>
      </c>
    </row>
    <row r="10" spans="1:10" x14ac:dyDescent="0.3">
      <c r="A10">
        <v>8</v>
      </c>
      <c r="B10">
        <v>175</v>
      </c>
      <c r="C10" t="b">
        <v>1</v>
      </c>
      <c r="D10">
        <v>8135</v>
      </c>
      <c r="E10">
        <v>8093</v>
      </c>
      <c r="F10">
        <v>275</v>
      </c>
      <c r="G10">
        <v>192</v>
      </c>
      <c r="H10">
        <v>1.4322916000000001</v>
      </c>
      <c r="I10">
        <v>-0.43229166000000002</v>
      </c>
      <c r="J10">
        <v>0.41113490000000003</v>
      </c>
    </row>
    <row r="11" spans="1:10" x14ac:dyDescent="0.3">
      <c r="A11">
        <v>9</v>
      </c>
      <c r="B11">
        <v>217</v>
      </c>
      <c r="C11" t="b">
        <v>1</v>
      </c>
      <c r="D11">
        <v>8106</v>
      </c>
      <c r="E11">
        <v>8111</v>
      </c>
      <c r="F11">
        <v>275.8</v>
      </c>
      <c r="G11">
        <v>191.8</v>
      </c>
      <c r="H11">
        <v>1.4379561000000001</v>
      </c>
      <c r="I11">
        <v>-0.43795612</v>
      </c>
      <c r="J11">
        <v>0.41017967</v>
      </c>
    </row>
    <row r="12" spans="1:10" x14ac:dyDescent="0.3">
      <c r="A12">
        <v>10</v>
      </c>
      <c r="B12">
        <v>233</v>
      </c>
      <c r="C12" t="b">
        <v>1</v>
      </c>
      <c r="D12">
        <v>8123</v>
      </c>
      <c r="E12">
        <v>8099</v>
      </c>
      <c r="F12">
        <v>276.45456000000001</v>
      </c>
      <c r="G12">
        <v>191.63637</v>
      </c>
      <c r="H12">
        <v>1.4425996999999999</v>
      </c>
      <c r="I12">
        <v>-0.44259965000000001</v>
      </c>
      <c r="J12">
        <v>0.40939987</v>
      </c>
    </row>
    <row r="13" spans="1:10" x14ac:dyDescent="0.3">
      <c r="A13">
        <v>11</v>
      </c>
      <c r="B13">
        <v>264</v>
      </c>
      <c r="C13" t="b">
        <v>1</v>
      </c>
      <c r="D13">
        <v>8129</v>
      </c>
      <c r="E13">
        <v>8105</v>
      </c>
      <c r="F13">
        <v>277</v>
      </c>
      <c r="G13">
        <v>191.5</v>
      </c>
      <c r="H13">
        <v>1.4464751</v>
      </c>
      <c r="I13">
        <v>-0.44647520000000002</v>
      </c>
      <c r="J13">
        <v>0.40875134000000002</v>
      </c>
    </row>
    <row r="14" spans="1:10" x14ac:dyDescent="0.3">
      <c r="A14">
        <v>12</v>
      </c>
      <c r="B14">
        <v>281</v>
      </c>
      <c r="C14" t="b">
        <v>1</v>
      </c>
      <c r="D14">
        <v>8123</v>
      </c>
      <c r="E14">
        <v>8093</v>
      </c>
      <c r="F14">
        <v>277.46154999999999</v>
      </c>
      <c r="G14">
        <v>190.92308</v>
      </c>
      <c r="H14">
        <v>1.4532635</v>
      </c>
      <c r="I14">
        <v>-0.45326351999999998</v>
      </c>
      <c r="J14">
        <v>0.40762028</v>
      </c>
    </row>
    <row r="15" spans="1:10" x14ac:dyDescent="0.3">
      <c r="A15">
        <v>13</v>
      </c>
      <c r="B15">
        <v>299</v>
      </c>
      <c r="C15" t="b">
        <v>1</v>
      </c>
      <c r="D15">
        <v>8129</v>
      </c>
      <c r="E15">
        <v>8129</v>
      </c>
      <c r="F15">
        <v>277.85714999999999</v>
      </c>
      <c r="G15">
        <v>190.85714999999999</v>
      </c>
      <c r="H15">
        <v>1.4558382999999999</v>
      </c>
      <c r="I15">
        <v>-0.45583832000000002</v>
      </c>
      <c r="J15">
        <v>0.40719295</v>
      </c>
    </row>
    <row r="16" spans="1:10" x14ac:dyDescent="0.3">
      <c r="A16">
        <v>14</v>
      </c>
      <c r="B16">
        <v>314</v>
      </c>
      <c r="C16" t="b">
        <v>1</v>
      </c>
      <c r="D16">
        <v>8111</v>
      </c>
      <c r="E16">
        <v>8111</v>
      </c>
      <c r="F16">
        <v>278.2</v>
      </c>
      <c r="G16">
        <v>190.8</v>
      </c>
      <c r="H16">
        <v>1.4580713999999999</v>
      </c>
      <c r="I16">
        <v>-0.45807132</v>
      </c>
      <c r="J16">
        <v>0.40682304000000002</v>
      </c>
    </row>
    <row r="17" spans="1:10" x14ac:dyDescent="0.3">
      <c r="A17">
        <v>15</v>
      </c>
      <c r="B17">
        <v>346</v>
      </c>
      <c r="C17" t="b">
        <v>1</v>
      </c>
      <c r="D17">
        <v>8106</v>
      </c>
      <c r="E17">
        <v>8117</v>
      </c>
      <c r="F17">
        <v>279</v>
      </c>
      <c r="G17">
        <v>190.4</v>
      </c>
      <c r="H17">
        <v>1.4653362000000001</v>
      </c>
      <c r="I17">
        <v>-0.46533616999999999</v>
      </c>
      <c r="J17">
        <v>0.40562418</v>
      </c>
    </row>
    <row r="18" spans="1:10" x14ac:dyDescent="0.3">
      <c r="A18">
        <v>16</v>
      </c>
      <c r="B18">
        <v>362</v>
      </c>
      <c r="C18" t="b">
        <v>1</v>
      </c>
      <c r="D18">
        <v>8117</v>
      </c>
      <c r="E18">
        <v>8117</v>
      </c>
      <c r="F18">
        <v>279.39999999999998</v>
      </c>
      <c r="G18">
        <v>190.4</v>
      </c>
      <c r="H18">
        <v>1.4674370000000001</v>
      </c>
      <c r="I18">
        <v>-0.46743699999999999</v>
      </c>
      <c r="J18">
        <v>0.40527882999999998</v>
      </c>
    </row>
    <row r="19" spans="1:10" x14ac:dyDescent="0.3">
      <c r="A19">
        <v>17</v>
      </c>
      <c r="B19">
        <v>378</v>
      </c>
      <c r="C19" t="b">
        <v>1</v>
      </c>
      <c r="D19">
        <v>8083</v>
      </c>
      <c r="E19">
        <v>8105</v>
      </c>
      <c r="F19">
        <v>279.39999999999998</v>
      </c>
      <c r="G19">
        <v>191.2</v>
      </c>
      <c r="H19">
        <v>1.4612970000000001</v>
      </c>
      <c r="I19">
        <v>-0.46129706999999998</v>
      </c>
      <c r="J19">
        <v>0.40628985000000001</v>
      </c>
    </row>
    <row r="20" spans="1:10" x14ac:dyDescent="0.3">
      <c r="A20">
        <v>18</v>
      </c>
      <c r="B20">
        <v>394</v>
      </c>
      <c r="C20" t="b">
        <v>1</v>
      </c>
      <c r="D20">
        <v>8106</v>
      </c>
      <c r="E20">
        <v>8093</v>
      </c>
      <c r="F20">
        <v>279.06668000000002</v>
      </c>
      <c r="G20">
        <v>191.6</v>
      </c>
      <c r="H20">
        <v>1.4565066</v>
      </c>
      <c r="I20">
        <v>-0.45650664000000002</v>
      </c>
      <c r="J20">
        <v>0.40708213999999998</v>
      </c>
    </row>
    <row r="21" spans="1:10" x14ac:dyDescent="0.3">
      <c r="A21">
        <v>19</v>
      </c>
      <c r="B21">
        <v>409</v>
      </c>
      <c r="C21" t="b">
        <v>1</v>
      </c>
      <c r="D21">
        <v>8106</v>
      </c>
      <c r="E21">
        <v>8111</v>
      </c>
      <c r="F21">
        <v>278.73334</v>
      </c>
      <c r="G21">
        <v>192</v>
      </c>
      <c r="H21">
        <v>1.4517361</v>
      </c>
      <c r="I21">
        <v>-0.45173612000000002</v>
      </c>
      <c r="J21">
        <v>0.40787423</v>
      </c>
    </row>
    <row r="22" spans="1:10" x14ac:dyDescent="0.3">
      <c r="A22">
        <v>20</v>
      </c>
      <c r="B22">
        <v>425</v>
      </c>
      <c r="C22" t="b">
        <v>1</v>
      </c>
      <c r="D22">
        <v>8123</v>
      </c>
      <c r="E22">
        <v>8105</v>
      </c>
      <c r="F22">
        <v>278.39999999999998</v>
      </c>
      <c r="G22">
        <v>192.4</v>
      </c>
      <c r="H22">
        <v>1.4469855</v>
      </c>
      <c r="I22">
        <v>-0.44698545000000001</v>
      </c>
      <c r="J22">
        <v>0.40866609999999998</v>
      </c>
    </row>
    <row r="23" spans="1:10" x14ac:dyDescent="0.3">
      <c r="A23">
        <v>21</v>
      </c>
      <c r="B23">
        <v>441</v>
      </c>
      <c r="C23" t="b">
        <v>1</v>
      </c>
      <c r="D23">
        <v>8129</v>
      </c>
      <c r="E23">
        <v>8111</v>
      </c>
      <c r="F23">
        <v>277.66665999999998</v>
      </c>
      <c r="G23">
        <v>192.4</v>
      </c>
      <c r="H23">
        <v>1.4431738999999999</v>
      </c>
      <c r="I23">
        <v>-0.44317393999999999</v>
      </c>
      <c r="J23">
        <v>0.40930364000000002</v>
      </c>
    </row>
    <row r="24" spans="1:10" x14ac:dyDescent="0.3">
      <c r="A24">
        <v>22</v>
      </c>
      <c r="B24">
        <v>457</v>
      </c>
      <c r="C24" t="b">
        <v>1</v>
      </c>
      <c r="D24">
        <v>8106</v>
      </c>
      <c r="E24">
        <v>8129</v>
      </c>
      <c r="F24">
        <v>276.53332999999998</v>
      </c>
      <c r="G24">
        <v>192.8</v>
      </c>
      <c r="H24">
        <v>1.4343014999999999</v>
      </c>
      <c r="I24">
        <v>-0.43430147000000002</v>
      </c>
      <c r="J24">
        <v>0.41079547999999999</v>
      </c>
    </row>
    <row r="25" spans="1:10" x14ac:dyDescent="0.3">
      <c r="A25">
        <v>23</v>
      </c>
      <c r="B25">
        <v>473</v>
      </c>
      <c r="C25" t="b">
        <v>1</v>
      </c>
      <c r="D25">
        <v>8094</v>
      </c>
      <c r="E25">
        <v>8129</v>
      </c>
      <c r="F25">
        <v>275</v>
      </c>
      <c r="G25">
        <v>193.2</v>
      </c>
      <c r="H25">
        <v>1.4233955</v>
      </c>
      <c r="I25">
        <v>-0.42339545000000001</v>
      </c>
      <c r="J25">
        <v>0.41264414999999999</v>
      </c>
    </row>
    <row r="26" spans="1:10" x14ac:dyDescent="0.3">
      <c r="A26">
        <v>24</v>
      </c>
      <c r="B26">
        <v>489</v>
      </c>
      <c r="C26" t="b">
        <v>1</v>
      </c>
      <c r="D26">
        <v>8140</v>
      </c>
      <c r="E26">
        <v>8117</v>
      </c>
      <c r="F26">
        <v>275</v>
      </c>
      <c r="G26">
        <v>194</v>
      </c>
      <c r="H26">
        <v>1.4175257999999999</v>
      </c>
      <c r="I26">
        <v>-0.41752577000000002</v>
      </c>
      <c r="J26">
        <v>0.41364603999999999</v>
      </c>
    </row>
    <row r="27" spans="1:10" x14ac:dyDescent="0.3">
      <c r="A27">
        <v>25</v>
      </c>
      <c r="B27">
        <v>505</v>
      </c>
      <c r="C27" t="b">
        <v>1</v>
      </c>
      <c r="D27">
        <v>8100</v>
      </c>
      <c r="E27">
        <v>8105</v>
      </c>
      <c r="F27">
        <v>273.86667</v>
      </c>
      <c r="G27">
        <v>194.8</v>
      </c>
      <c r="H27">
        <v>1.4058864</v>
      </c>
      <c r="I27">
        <v>-0.40588637999999999</v>
      </c>
      <c r="J27">
        <v>0.41564719999999999</v>
      </c>
    </row>
    <row r="28" spans="1:10" x14ac:dyDescent="0.3">
      <c r="A28">
        <v>26</v>
      </c>
      <c r="B28">
        <v>537</v>
      </c>
      <c r="C28" t="b">
        <v>1</v>
      </c>
      <c r="D28">
        <v>8111</v>
      </c>
      <c r="E28">
        <v>8117</v>
      </c>
      <c r="F28">
        <v>272.73334</v>
      </c>
      <c r="G28">
        <v>195.6</v>
      </c>
      <c r="H28">
        <v>1.3943422000000001</v>
      </c>
      <c r="I28">
        <v>-0.39434217999999999</v>
      </c>
      <c r="J28">
        <v>0.41765123999999998</v>
      </c>
    </row>
    <row r="29" spans="1:10" x14ac:dyDescent="0.3">
      <c r="A29">
        <v>27</v>
      </c>
      <c r="B29">
        <v>568</v>
      </c>
      <c r="C29" t="b">
        <v>1</v>
      </c>
      <c r="D29">
        <v>8123</v>
      </c>
      <c r="E29">
        <v>8099</v>
      </c>
      <c r="F29">
        <v>271.93331999999998</v>
      </c>
      <c r="G29">
        <v>196.8</v>
      </c>
      <c r="H29">
        <v>1.381775</v>
      </c>
      <c r="I29">
        <v>-0.38177496</v>
      </c>
      <c r="J29">
        <v>0.41985494000000001</v>
      </c>
    </row>
    <row r="30" spans="1:10" x14ac:dyDescent="0.3">
      <c r="A30">
        <v>28</v>
      </c>
      <c r="B30">
        <v>600</v>
      </c>
      <c r="C30" t="b">
        <v>1</v>
      </c>
      <c r="D30">
        <v>8094</v>
      </c>
      <c r="E30">
        <v>8111</v>
      </c>
      <c r="F30">
        <v>271.13333</v>
      </c>
      <c r="G30">
        <v>197.2</v>
      </c>
      <c r="H30">
        <v>1.3749155</v>
      </c>
      <c r="I30">
        <v>-0.37491548000000002</v>
      </c>
      <c r="J30">
        <v>0.42106763000000003</v>
      </c>
    </row>
    <row r="31" spans="1:10" x14ac:dyDescent="0.3">
      <c r="A31">
        <v>29</v>
      </c>
      <c r="B31">
        <v>631</v>
      </c>
      <c r="C31" t="b">
        <v>1</v>
      </c>
      <c r="D31">
        <v>8140</v>
      </c>
      <c r="E31">
        <v>8111</v>
      </c>
      <c r="F31">
        <v>270.33334000000002</v>
      </c>
      <c r="G31">
        <v>197.6</v>
      </c>
      <c r="H31">
        <v>1.3680836999999999</v>
      </c>
      <c r="I31">
        <v>-0.36808370000000001</v>
      </c>
      <c r="J31">
        <v>0.42228237000000002</v>
      </c>
    </row>
    <row r="32" spans="1:10" x14ac:dyDescent="0.3">
      <c r="A32">
        <v>30</v>
      </c>
      <c r="B32">
        <v>647</v>
      </c>
      <c r="C32" t="b">
        <v>1</v>
      </c>
      <c r="D32">
        <v>8111</v>
      </c>
      <c r="E32">
        <v>8129</v>
      </c>
      <c r="F32">
        <v>269.53332999999998</v>
      </c>
      <c r="G32">
        <v>197.6</v>
      </c>
      <c r="H32">
        <v>1.3640350000000001</v>
      </c>
      <c r="I32">
        <v>-0.364035</v>
      </c>
      <c r="J32">
        <v>0.42300557999999999</v>
      </c>
    </row>
    <row r="33" spans="1:10" x14ac:dyDescent="0.3">
      <c r="A33">
        <v>31</v>
      </c>
      <c r="B33">
        <v>663</v>
      </c>
      <c r="C33" t="b">
        <v>1</v>
      </c>
      <c r="D33">
        <v>8106</v>
      </c>
      <c r="E33">
        <v>8105</v>
      </c>
      <c r="F33">
        <v>269.13333</v>
      </c>
      <c r="G33">
        <v>197.2</v>
      </c>
      <c r="H33">
        <v>1.3647735000000001</v>
      </c>
      <c r="I33">
        <v>-0.36477349999999997</v>
      </c>
      <c r="J33">
        <v>0.42287350000000001</v>
      </c>
    </row>
    <row r="34" spans="1:10" x14ac:dyDescent="0.3">
      <c r="A34">
        <v>32</v>
      </c>
      <c r="B34">
        <v>679</v>
      </c>
      <c r="C34" t="b">
        <v>1</v>
      </c>
      <c r="D34">
        <v>8100</v>
      </c>
      <c r="E34">
        <v>8099</v>
      </c>
      <c r="F34">
        <v>268.8</v>
      </c>
      <c r="G34">
        <v>196.8</v>
      </c>
      <c r="H34">
        <v>1.3658535000000001</v>
      </c>
      <c r="I34">
        <v>-0.36585358000000001</v>
      </c>
      <c r="J34">
        <v>0.42268043999999999</v>
      </c>
    </row>
    <row r="35" spans="1:10" x14ac:dyDescent="0.3">
      <c r="A35">
        <v>33</v>
      </c>
      <c r="B35">
        <v>695</v>
      </c>
      <c r="C35" t="b">
        <v>1</v>
      </c>
      <c r="D35">
        <v>8140</v>
      </c>
      <c r="E35">
        <v>8129</v>
      </c>
      <c r="F35">
        <v>269.13333</v>
      </c>
      <c r="G35">
        <v>196.8</v>
      </c>
      <c r="H35">
        <v>1.3675474000000001</v>
      </c>
      <c r="I35">
        <v>-0.36754740000000002</v>
      </c>
      <c r="J35">
        <v>0.42237799999999998</v>
      </c>
    </row>
    <row r="36" spans="1:10" x14ac:dyDescent="0.3">
      <c r="A36">
        <v>34</v>
      </c>
      <c r="B36">
        <v>711</v>
      </c>
      <c r="C36" t="b">
        <v>1</v>
      </c>
      <c r="D36">
        <v>8106</v>
      </c>
      <c r="E36">
        <v>8093</v>
      </c>
      <c r="F36">
        <v>269.13333</v>
      </c>
      <c r="G36">
        <v>196.4</v>
      </c>
      <c r="H36">
        <v>1.3703327000000001</v>
      </c>
      <c r="I36">
        <v>-0.37033270000000001</v>
      </c>
      <c r="J36">
        <v>0.42188170000000003</v>
      </c>
    </row>
    <row r="37" spans="1:10" x14ac:dyDescent="0.3">
      <c r="A37">
        <v>35</v>
      </c>
      <c r="B37">
        <v>727</v>
      </c>
      <c r="C37" t="b">
        <v>1</v>
      </c>
      <c r="D37">
        <v>8111</v>
      </c>
      <c r="E37">
        <v>8105</v>
      </c>
      <c r="F37">
        <v>269.13333</v>
      </c>
      <c r="G37">
        <v>196.4</v>
      </c>
      <c r="H37">
        <v>1.3703327000000001</v>
      </c>
      <c r="I37">
        <v>-0.37033270000000001</v>
      </c>
      <c r="J37">
        <v>0.42188170000000003</v>
      </c>
    </row>
    <row r="38" spans="1:10" x14ac:dyDescent="0.3">
      <c r="A38">
        <v>36</v>
      </c>
      <c r="B38">
        <v>743</v>
      </c>
      <c r="C38" t="b">
        <v>1</v>
      </c>
      <c r="D38">
        <v>8129</v>
      </c>
      <c r="E38">
        <v>8123</v>
      </c>
      <c r="F38">
        <v>269.46667000000002</v>
      </c>
      <c r="G38">
        <v>196.4</v>
      </c>
      <c r="H38">
        <v>1.3720299</v>
      </c>
      <c r="I38">
        <v>-0.37202995999999999</v>
      </c>
      <c r="J38">
        <v>0.42157983999999998</v>
      </c>
    </row>
    <row r="39" spans="1:10" x14ac:dyDescent="0.3">
      <c r="A39">
        <v>37</v>
      </c>
      <c r="B39">
        <v>759</v>
      </c>
      <c r="C39" t="b">
        <v>1</v>
      </c>
      <c r="D39">
        <v>8094</v>
      </c>
      <c r="E39">
        <v>8099</v>
      </c>
      <c r="F39">
        <v>269.8</v>
      </c>
      <c r="G39">
        <v>196</v>
      </c>
      <c r="H39">
        <v>1.3765305000000001</v>
      </c>
      <c r="I39">
        <v>-0.37653056000000001</v>
      </c>
      <c r="J39">
        <v>0.42078146</v>
      </c>
    </row>
    <row r="40" spans="1:10" x14ac:dyDescent="0.3">
      <c r="A40">
        <v>38</v>
      </c>
      <c r="B40">
        <v>775</v>
      </c>
      <c r="C40" t="b">
        <v>1</v>
      </c>
      <c r="D40">
        <v>8123</v>
      </c>
      <c r="E40">
        <v>8117</v>
      </c>
      <c r="F40">
        <v>270.13333</v>
      </c>
      <c r="G40">
        <v>195.6</v>
      </c>
      <c r="H40">
        <v>1.3810498</v>
      </c>
      <c r="I40">
        <v>-0.38104971999999998</v>
      </c>
      <c r="J40">
        <v>0.41998281999999998</v>
      </c>
    </row>
    <row r="41" spans="1:10" x14ac:dyDescent="0.3">
      <c r="A41">
        <v>39</v>
      </c>
      <c r="B41">
        <v>791</v>
      </c>
      <c r="C41" t="b">
        <v>1</v>
      </c>
      <c r="D41">
        <v>8129</v>
      </c>
      <c r="E41">
        <v>8117</v>
      </c>
      <c r="F41">
        <v>270.13333</v>
      </c>
      <c r="G41">
        <v>195.6</v>
      </c>
      <c r="H41">
        <v>1.3810498</v>
      </c>
      <c r="I41">
        <v>-0.38104971999999998</v>
      </c>
      <c r="J41">
        <v>0.41998281999999998</v>
      </c>
    </row>
    <row r="42" spans="1:10" x14ac:dyDescent="0.3">
      <c r="A42">
        <v>40</v>
      </c>
      <c r="B42">
        <v>807</v>
      </c>
      <c r="C42" t="b">
        <v>1</v>
      </c>
      <c r="D42">
        <v>8123</v>
      </c>
      <c r="E42">
        <v>8140</v>
      </c>
      <c r="F42">
        <v>271.26666</v>
      </c>
      <c r="G42">
        <v>195.6</v>
      </c>
      <c r="H42">
        <v>1.3868438000000001</v>
      </c>
      <c r="I42">
        <v>-0.38684383</v>
      </c>
      <c r="J42">
        <v>0.41896329999999998</v>
      </c>
    </row>
    <row r="43" spans="1:10" x14ac:dyDescent="0.3">
      <c r="A43">
        <v>41</v>
      </c>
      <c r="B43">
        <v>839</v>
      </c>
      <c r="C43" t="b">
        <v>1</v>
      </c>
      <c r="D43">
        <v>8135</v>
      </c>
      <c r="E43">
        <v>8117</v>
      </c>
      <c r="F43">
        <v>272.39999999999998</v>
      </c>
      <c r="G43">
        <v>195.6</v>
      </c>
      <c r="H43">
        <v>1.392638</v>
      </c>
      <c r="I43">
        <v>-0.39263797</v>
      </c>
      <c r="J43">
        <v>0.41794872</v>
      </c>
    </row>
    <row r="44" spans="1:10" x14ac:dyDescent="0.3">
      <c r="A44">
        <v>42</v>
      </c>
      <c r="B44">
        <v>871</v>
      </c>
      <c r="C44" t="b">
        <v>1</v>
      </c>
      <c r="D44">
        <v>8129</v>
      </c>
      <c r="E44">
        <v>8093</v>
      </c>
      <c r="F44">
        <v>273.60000000000002</v>
      </c>
      <c r="G44">
        <v>195.6</v>
      </c>
      <c r="H44">
        <v>1.398773</v>
      </c>
      <c r="I44">
        <v>-0.39877298</v>
      </c>
      <c r="J44">
        <v>0.41687980000000002</v>
      </c>
    </row>
    <row r="45" spans="1:10" x14ac:dyDescent="0.3">
      <c r="A45">
        <v>43</v>
      </c>
      <c r="B45">
        <v>902</v>
      </c>
      <c r="C45" t="b">
        <v>1</v>
      </c>
      <c r="D45">
        <v>8117</v>
      </c>
      <c r="E45">
        <v>8111</v>
      </c>
      <c r="F45">
        <v>274.8</v>
      </c>
      <c r="G45">
        <v>196</v>
      </c>
      <c r="H45">
        <v>1.4020406999999999</v>
      </c>
      <c r="I45">
        <v>-0.40204075</v>
      </c>
      <c r="J45">
        <v>0.41631266</v>
      </c>
    </row>
    <row r="46" spans="1:10" x14ac:dyDescent="0.3">
      <c r="A46">
        <v>44</v>
      </c>
      <c r="B46">
        <v>934</v>
      </c>
      <c r="C46" t="b">
        <v>1</v>
      </c>
      <c r="D46">
        <v>8100</v>
      </c>
      <c r="E46">
        <v>8123</v>
      </c>
      <c r="F46">
        <v>275.60000000000002</v>
      </c>
      <c r="G46">
        <v>196.4</v>
      </c>
      <c r="H46">
        <v>1.4032587000000001</v>
      </c>
      <c r="I46">
        <v>-0.40325874</v>
      </c>
      <c r="J46">
        <v>0.41610170000000002</v>
      </c>
    </row>
    <row r="47" spans="1:10" x14ac:dyDescent="0.3">
      <c r="A47">
        <v>45</v>
      </c>
      <c r="B47">
        <v>965</v>
      </c>
      <c r="C47" t="b">
        <v>1</v>
      </c>
      <c r="D47">
        <v>8106</v>
      </c>
      <c r="E47">
        <v>8093</v>
      </c>
      <c r="F47">
        <v>276</v>
      </c>
      <c r="G47">
        <v>196.4</v>
      </c>
      <c r="H47">
        <v>1.4052954</v>
      </c>
      <c r="I47">
        <v>-0.40529536999999999</v>
      </c>
      <c r="J47">
        <v>0.41574937000000001</v>
      </c>
    </row>
    <row r="48" spans="1:10" x14ac:dyDescent="0.3">
      <c r="A48">
        <v>46</v>
      </c>
      <c r="B48">
        <v>982</v>
      </c>
      <c r="C48" t="b">
        <v>1</v>
      </c>
      <c r="D48">
        <v>8140</v>
      </c>
      <c r="E48">
        <v>8105</v>
      </c>
      <c r="F48">
        <v>276.39999999999998</v>
      </c>
      <c r="G48">
        <v>196</v>
      </c>
      <c r="H48">
        <v>1.410204</v>
      </c>
      <c r="I48">
        <v>-0.41020404999999999</v>
      </c>
      <c r="J48">
        <v>0.41490262999999999</v>
      </c>
    </row>
    <row r="49" spans="1:10" x14ac:dyDescent="0.3">
      <c r="A49">
        <v>47</v>
      </c>
      <c r="B49">
        <v>1014</v>
      </c>
      <c r="C49" t="b">
        <v>1</v>
      </c>
      <c r="D49">
        <v>8106</v>
      </c>
      <c r="E49">
        <v>8117</v>
      </c>
      <c r="F49">
        <v>276.39999999999998</v>
      </c>
      <c r="G49">
        <v>196</v>
      </c>
      <c r="H49">
        <v>1.410204</v>
      </c>
      <c r="I49">
        <v>-0.41020404999999999</v>
      </c>
      <c r="J49">
        <v>0.41490262999999999</v>
      </c>
    </row>
    <row r="50" spans="1:10" x14ac:dyDescent="0.3">
      <c r="A50">
        <v>48</v>
      </c>
      <c r="B50">
        <v>1045</v>
      </c>
      <c r="C50" t="b">
        <v>1</v>
      </c>
      <c r="D50">
        <v>8140</v>
      </c>
      <c r="E50">
        <v>8111</v>
      </c>
      <c r="F50">
        <v>276.06668000000002</v>
      </c>
      <c r="G50">
        <v>196</v>
      </c>
      <c r="H50">
        <v>1.4085034999999999</v>
      </c>
      <c r="I50">
        <v>-0.40850346999999998</v>
      </c>
      <c r="J50">
        <v>0.41519558000000001</v>
      </c>
    </row>
    <row r="51" spans="1:10" x14ac:dyDescent="0.3">
      <c r="A51">
        <v>49</v>
      </c>
      <c r="B51">
        <v>1077</v>
      </c>
      <c r="C51" t="b">
        <v>1</v>
      </c>
      <c r="D51">
        <v>8135</v>
      </c>
      <c r="E51">
        <v>8117</v>
      </c>
      <c r="F51">
        <v>278</v>
      </c>
      <c r="G51">
        <v>196.4</v>
      </c>
      <c r="H51">
        <v>1.4154787</v>
      </c>
      <c r="I51">
        <v>-0.41547865</v>
      </c>
      <c r="J51">
        <v>0.41399659999999999</v>
      </c>
    </row>
    <row r="52" spans="1:10" x14ac:dyDescent="0.3">
      <c r="A52">
        <v>50</v>
      </c>
      <c r="B52">
        <v>1109</v>
      </c>
      <c r="C52" t="b">
        <v>1</v>
      </c>
      <c r="D52">
        <v>8129</v>
      </c>
      <c r="E52">
        <v>8093</v>
      </c>
      <c r="F52">
        <v>279.93331999999998</v>
      </c>
      <c r="G52">
        <v>196.8</v>
      </c>
      <c r="H52">
        <v>1.4224254000000001</v>
      </c>
      <c r="I52">
        <v>-0.42242540000000001</v>
      </c>
      <c r="J52">
        <v>0.41280939999999999</v>
      </c>
    </row>
    <row r="53" spans="1:10" x14ac:dyDescent="0.3">
      <c r="A53">
        <v>51</v>
      </c>
      <c r="B53">
        <v>1125</v>
      </c>
      <c r="C53" t="b">
        <v>1</v>
      </c>
      <c r="D53">
        <v>8094</v>
      </c>
      <c r="E53">
        <v>8129</v>
      </c>
      <c r="F53">
        <v>281.13333</v>
      </c>
      <c r="G53">
        <v>197.6</v>
      </c>
      <c r="H53">
        <v>1.4227395</v>
      </c>
      <c r="I53">
        <v>-0.42273948</v>
      </c>
      <c r="J53">
        <v>0.41275590000000001</v>
      </c>
    </row>
    <row r="54" spans="1:10" x14ac:dyDescent="0.3">
      <c r="A54">
        <v>52</v>
      </c>
      <c r="B54">
        <v>1141</v>
      </c>
      <c r="C54" t="b">
        <v>1</v>
      </c>
      <c r="D54">
        <v>8117</v>
      </c>
      <c r="E54">
        <v>8111</v>
      </c>
      <c r="F54">
        <v>282.33334000000002</v>
      </c>
      <c r="G54">
        <v>198</v>
      </c>
      <c r="H54">
        <v>1.425926</v>
      </c>
      <c r="I54">
        <v>-0.42592596999999999</v>
      </c>
      <c r="J54">
        <v>0.41221374</v>
      </c>
    </row>
    <row r="55" spans="1:10" x14ac:dyDescent="0.3">
      <c r="A55">
        <v>53</v>
      </c>
      <c r="B55">
        <v>1157</v>
      </c>
      <c r="C55" t="b">
        <v>1</v>
      </c>
      <c r="D55">
        <v>8135</v>
      </c>
      <c r="E55">
        <v>8105</v>
      </c>
      <c r="F55">
        <v>283.53332999999998</v>
      </c>
      <c r="G55">
        <v>198.4</v>
      </c>
      <c r="H55">
        <v>1.4290993999999999</v>
      </c>
      <c r="I55">
        <v>-0.42909946999999998</v>
      </c>
      <c r="J55">
        <v>0.41167517999999997</v>
      </c>
    </row>
    <row r="56" spans="1:10" x14ac:dyDescent="0.3">
      <c r="A56">
        <v>54</v>
      </c>
      <c r="B56">
        <v>1172</v>
      </c>
      <c r="C56" t="b">
        <v>1</v>
      </c>
      <c r="D56">
        <v>8117</v>
      </c>
      <c r="E56">
        <v>8111</v>
      </c>
      <c r="F56">
        <v>283.13333</v>
      </c>
      <c r="G56">
        <v>198</v>
      </c>
      <c r="H56">
        <v>1.4299663</v>
      </c>
      <c r="I56">
        <v>-0.42996633000000001</v>
      </c>
      <c r="J56">
        <v>0.41152834999999999</v>
      </c>
    </row>
    <row r="57" spans="1:10" x14ac:dyDescent="0.3">
      <c r="A57">
        <v>55</v>
      </c>
      <c r="B57">
        <v>1188</v>
      </c>
      <c r="C57" t="b">
        <v>1</v>
      </c>
      <c r="D57">
        <v>8123</v>
      </c>
      <c r="E57">
        <v>8129</v>
      </c>
      <c r="F57">
        <v>282.73334</v>
      </c>
      <c r="G57">
        <v>197.6</v>
      </c>
      <c r="H57">
        <v>1.4308367</v>
      </c>
      <c r="I57">
        <v>-0.43083668000000003</v>
      </c>
      <c r="J57">
        <v>0.41138098000000001</v>
      </c>
    </row>
    <row r="58" spans="1:10" x14ac:dyDescent="0.3">
      <c r="A58">
        <v>56</v>
      </c>
      <c r="B58">
        <v>1221</v>
      </c>
      <c r="C58" t="b">
        <v>1</v>
      </c>
      <c r="D58">
        <v>8135</v>
      </c>
      <c r="E58">
        <v>8105</v>
      </c>
      <c r="F58">
        <v>282.73334</v>
      </c>
      <c r="G58">
        <v>197.2</v>
      </c>
      <c r="H58">
        <v>1.4337390999999999</v>
      </c>
      <c r="I58">
        <v>-0.43373907</v>
      </c>
      <c r="J58">
        <v>0.41089037</v>
      </c>
    </row>
    <row r="59" spans="1:10" x14ac:dyDescent="0.3">
      <c r="A59">
        <v>57</v>
      </c>
      <c r="B59">
        <v>1252</v>
      </c>
      <c r="C59" t="b">
        <v>1</v>
      </c>
      <c r="D59">
        <v>8106</v>
      </c>
      <c r="E59">
        <v>8093</v>
      </c>
      <c r="F59">
        <v>282.33334000000002</v>
      </c>
      <c r="G59">
        <v>196.4</v>
      </c>
      <c r="H59">
        <v>1.4375426</v>
      </c>
      <c r="I59">
        <v>-0.43754252999999999</v>
      </c>
      <c r="J59">
        <v>0.41024926</v>
      </c>
    </row>
    <row r="60" spans="1:10" x14ac:dyDescent="0.3">
      <c r="A60">
        <v>58</v>
      </c>
      <c r="B60">
        <v>1283</v>
      </c>
      <c r="C60" t="b">
        <v>1</v>
      </c>
      <c r="D60">
        <v>8129</v>
      </c>
      <c r="E60">
        <v>8117</v>
      </c>
      <c r="F60">
        <v>281.93331999999998</v>
      </c>
      <c r="G60">
        <v>196</v>
      </c>
      <c r="H60">
        <v>1.4384353000000001</v>
      </c>
      <c r="I60">
        <v>-0.43843532000000002</v>
      </c>
      <c r="J60">
        <v>0.41009906000000002</v>
      </c>
    </row>
    <row r="61" spans="1:10" x14ac:dyDescent="0.3">
      <c r="A61">
        <v>59</v>
      </c>
      <c r="B61">
        <v>1314</v>
      </c>
      <c r="C61" t="b">
        <v>1</v>
      </c>
      <c r="D61">
        <v>8111</v>
      </c>
      <c r="E61">
        <v>8087</v>
      </c>
      <c r="F61">
        <v>281.93331999999998</v>
      </c>
      <c r="G61">
        <v>195.2</v>
      </c>
      <c r="H61">
        <v>1.4443306</v>
      </c>
      <c r="I61">
        <v>-0.44433054</v>
      </c>
      <c r="J61">
        <v>0.40910997999999998</v>
      </c>
    </row>
    <row r="62" spans="1:10" x14ac:dyDescent="0.3">
      <c r="A62">
        <v>60</v>
      </c>
      <c r="B62">
        <v>1345</v>
      </c>
      <c r="C62" t="b">
        <v>1</v>
      </c>
      <c r="D62">
        <v>8106</v>
      </c>
      <c r="E62">
        <v>8099</v>
      </c>
      <c r="F62">
        <v>281.53332999999998</v>
      </c>
      <c r="G62">
        <v>194.4</v>
      </c>
      <c r="H62">
        <v>1.4482168</v>
      </c>
      <c r="I62">
        <v>-0.44821674</v>
      </c>
      <c r="J62">
        <v>0.40846055999999997</v>
      </c>
    </row>
    <row r="63" spans="1:10" x14ac:dyDescent="0.3">
      <c r="A63">
        <v>61</v>
      </c>
      <c r="B63">
        <v>1361</v>
      </c>
      <c r="C63" t="b">
        <v>1</v>
      </c>
      <c r="D63">
        <v>8106</v>
      </c>
      <c r="E63">
        <v>8123</v>
      </c>
      <c r="F63">
        <v>280.8</v>
      </c>
      <c r="G63">
        <v>194</v>
      </c>
      <c r="H63">
        <v>1.4474225999999999</v>
      </c>
      <c r="I63">
        <v>-0.44742261999999999</v>
      </c>
      <c r="J63">
        <v>0.40859309999999999</v>
      </c>
    </row>
    <row r="64" spans="1:10" x14ac:dyDescent="0.3">
      <c r="A64">
        <v>62</v>
      </c>
      <c r="B64">
        <v>1377</v>
      </c>
      <c r="C64" t="b">
        <v>1</v>
      </c>
      <c r="D64">
        <v>8117</v>
      </c>
      <c r="E64">
        <v>8105</v>
      </c>
      <c r="F64">
        <v>281.13333</v>
      </c>
      <c r="G64">
        <v>193.6</v>
      </c>
      <c r="H64">
        <v>1.452135</v>
      </c>
      <c r="I64">
        <v>-0.45213493999999999</v>
      </c>
      <c r="J64">
        <v>0.40780791999999999</v>
      </c>
    </row>
    <row r="65" spans="1:10" x14ac:dyDescent="0.3">
      <c r="A65">
        <v>63</v>
      </c>
      <c r="B65">
        <v>1392</v>
      </c>
      <c r="C65" t="b">
        <v>1</v>
      </c>
      <c r="D65">
        <v>8111</v>
      </c>
      <c r="E65">
        <v>8111</v>
      </c>
      <c r="F65">
        <v>281.46667000000002</v>
      </c>
      <c r="G65">
        <v>193.2</v>
      </c>
      <c r="H65">
        <v>1.4568669000000001</v>
      </c>
      <c r="I65">
        <v>-0.45686685999999999</v>
      </c>
      <c r="J65">
        <v>0.40702244999999998</v>
      </c>
    </row>
    <row r="66" spans="1:10" x14ac:dyDescent="0.3">
      <c r="A66">
        <v>64</v>
      </c>
      <c r="B66">
        <v>1409</v>
      </c>
      <c r="C66" t="b">
        <v>1</v>
      </c>
      <c r="D66">
        <v>8100</v>
      </c>
      <c r="E66">
        <v>8123</v>
      </c>
      <c r="F66">
        <v>279.53332999999998</v>
      </c>
      <c r="G66">
        <v>193.2</v>
      </c>
      <c r="H66">
        <v>1.4468597999999999</v>
      </c>
      <c r="I66">
        <v>-0.44685989999999998</v>
      </c>
      <c r="J66">
        <v>0.40868705999999999</v>
      </c>
    </row>
    <row r="67" spans="1:10" x14ac:dyDescent="0.3">
      <c r="A67">
        <v>65</v>
      </c>
      <c r="B67">
        <v>1440</v>
      </c>
      <c r="C67" t="b">
        <v>1</v>
      </c>
      <c r="D67">
        <v>8140</v>
      </c>
      <c r="E67">
        <v>8117</v>
      </c>
      <c r="F67">
        <v>277.93331999999998</v>
      </c>
      <c r="G67">
        <v>193.6</v>
      </c>
      <c r="H67">
        <v>1.4356059000000001</v>
      </c>
      <c r="I67">
        <v>-0.43560594000000002</v>
      </c>
      <c r="J67">
        <v>0.41057545000000001</v>
      </c>
    </row>
    <row r="68" spans="1:10" x14ac:dyDescent="0.3">
      <c r="A68">
        <v>66</v>
      </c>
      <c r="B68">
        <v>1456</v>
      </c>
      <c r="C68" t="b">
        <v>1</v>
      </c>
      <c r="D68">
        <v>8129</v>
      </c>
      <c r="E68">
        <v>8117</v>
      </c>
      <c r="F68">
        <v>277.13333</v>
      </c>
      <c r="G68">
        <v>193.6</v>
      </c>
      <c r="H68">
        <v>1.4314737</v>
      </c>
      <c r="I68">
        <v>-0.43147375999999998</v>
      </c>
      <c r="J68">
        <v>0.41127320000000001</v>
      </c>
    </row>
    <row r="69" spans="1:10" x14ac:dyDescent="0.3">
      <c r="A69">
        <v>67</v>
      </c>
      <c r="B69">
        <v>1488</v>
      </c>
      <c r="C69" t="b">
        <v>1</v>
      </c>
      <c r="D69">
        <v>8111</v>
      </c>
      <c r="E69">
        <v>8105</v>
      </c>
      <c r="F69">
        <v>275.93331999999998</v>
      </c>
      <c r="G69">
        <v>194</v>
      </c>
      <c r="H69">
        <v>1.4223367</v>
      </c>
      <c r="I69">
        <v>-0.42233670000000001</v>
      </c>
      <c r="J69">
        <v>0.41282454000000002</v>
      </c>
    </row>
    <row r="70" spans="1:10" x14ac:dyDescent="0.3">
      <c r="A70">
        <v>68</v>
      </c>
      <c r="B70">
        <v>1519</v>
      </c>
      <c r="C70" t="b">
        <v>1</v>
      </c>
      <c r="D70">
        <v>8129</v>
      </c>
      <c r="E70">
        <v>8105</v>
      </c>
      <c r="F70">
        <v>275.93331999999998</v>
      </c>
      <c r="G70">
        <v>194.4</v>
      </c>
      <c r="H70">
        <v>1.4194100999999999</v>
      </c>
      <c r="I70">
        <v>-0.41941010000000001</v>
      </c>
      <c r="J70">
        <v>0.41332387999999998</v>
      </c>
    </row>
    <row r="71" spans="1:10" x14ac:dyDescent="0.3">
      <c r="A71">
        <v>69</v>
      </c>
      <c r="B71">
        <v>1551</v>
      </c>
      <c r="C71" t="b">
        <v>1</v>
      </c>
      <c r="D71">
        <v>8111</v>
      </c>
      <c r="E71">
        <v>8111</v>
      </c>
      <c r="F71">
        <v>276.73334</v>
      </c>
      <c r="G71">
        <v>194.4</v>
      </c>
      <c r="H71">
        <v>1.4235255</v>
      </c>
      <c r="I71">
        <v>-0.42352545000000003</v>
      </c>
      <c r="J71">
        <v>0.41262202999999997</v>
      </c>
    </row>
    <row r="72" spans="1:10" x14ac:dyDescent="0.3">
      <c r="A72">
        <v>70</v>
      </c>
      <c r="B72">
        <v>1583</v>
      </c>
      <c r="C72" t="b">
        <v>1</v>
      </c>
      <c r="D72">
        <v>8111</v>
      </c>
      <c r="E72">
        <v>8105</v>
      </c>
      <c r="F72">
        <v>276.33334000000002</v>
      </c>
      <c r="G72">
        <v>194</v>
      </c>
      <c r="H72">
        <v>1.4243987</v>
      </c>
      <c r="I72">
        <v>-0.42439870000000002</v>
      </c>
      <c r="J72">
        <v>0.41247339999999999</v>
      </c>
    </row>
    <row r="73" spans="1:10" x14ac:dyDescent="0.3">
      <c r="A73">
        <v>71</v>
      </c>
      <c r="B73">
        <v>1599</v>
      </c>
      <c r="C73" t="b">
        <v>1</v>
      </c>
      <c r="D73">
        <v>8123</v>
      </c>
      <c r="E73">
        <v>8093</v>
      </c>
      <c r="F73">
        <v>275.53332999999998</v>
      </c>
      <c r="G73">
        <v>193.6</v>
      </c>
      <c r="H73">
        <v>1.4232092999999999</v>
      </c>
      <c r="I73">
        <v>-0.42320928000000002</v>
      </c>
      <c r="J73">
        <v>0.41267586000000001</v>
      </c>
    </row>
    <row r="74" spans="1:10" x14ac:dyDescent="0.3">
      <c r="A74">
        <v>72</v>
      </c>
      <c r="B74">
        <v>1614</v>
      </c>
      <c r="C74" t="b">
        <v>1</v>
      </c>
      <c r="D74">
        <v>8129</v>
      </c>
      <c r="E74">
        <v>8099</v>
      </c>
      <c r="F74">
        <v>275.53332999999998</v>
      </c>
      <c r="G74">
        <v>193.6</v>
      </c>
      <c r="H74">
        <v>1.4232092999999999</v>
      </c>
      <c r="I74">
        <v>-0.42320928000000002</v>
      </c>
      <c r="J74">
        <v>0.41267586000000001</v>
      </c>
    </row>
    <row r="75" spans="1:10" x14ac:dyDescent="0.3">
      <c r="A75">
        <v>73</v>
      </c>
      <c r="B75">
        <v>1630</v>
      </c>
      <c r="C75" t="b">
        <v>1</v>
      </c>
      <c r="D75">
        <v>8106</v>
      </c>
      <c r="E75">
        <v>8117</v>
      </c>
      <c r="F75">
        <v>274.73334</v>
      </c>
      <c r="G75">
        <v>193.2</v>
      </c>
      <c r="H75">
        <v>1.4220151999999999</v>
      </c>
      <c r="I75">
        <v>-0.42201522000000002</v>
      </c>
      <c r="J75">
        <v>0.41287931999999999</v>
      </c>
    </row>
    <row r="76" spans="1:10" x14ac:dyDescent="0.3">
      <c r="A76">
        <v>74</v>
      </c>
      <c r="B76">
        <v>1647</v>
      </c>
      <c r="C76" t="b">
        <v>1</v>
      </c>
      <c r="D76">
        <v>8106</v>
      </c>
      <c r="E76">
        <v>8105</v>
      </c>
      <c r="F76">
        <v>273.93331999999998</v>
      </c>
      <c r="G76">
        <v>193.2</v>
      </c>
      <c r="H76">
        <v>1.4178743</v>
      </c>
      <c r="I76">
        <v>-0.41787434000000001</v>
      </c>
      <c r="J76">
        <v>0.41358644</v>
      </c>
    </row>
    <row r="77" spans="1:10" x14ac:dyDescent="0.3">
      <c r="A77">
        <v>75</v>
      </c>
      <c r="B77">
        <v>1662</v>
      </c>
      <c r="C77" t="b">
        <v>1</v>
      </c>
      <c r="D77">
        <v>8146</v>
      </c>
      <c r="E77">
        <v>8099</v>
      </c>
      <c r="F77">
        <v>274.73334</v>
      </c>
      <c r="G77">
        <v>193.2</v>
      </c>
      <c r="H77">
        <v>1.4220151999999999</v>
      </c>
      <c r="I77">
        <v>-0.42201522000000002</v>
      </c>
      <c r="J77">
        <v>0.41287931999999999</v>
      </c>
    </row>
    <row r="78" spans="1:10" x14ac:dyDescent="0.3">
      <c r="A78">
        <v>76</v>
      </c>
      <c r="B78">
        <v>1694</v>
      </c>
      <c r="C78" t="b">
        <v>1</v>
      </c>
      <c r="D78">
        <v>8140</v>
      </c>
      <c r="E78">
        <v>8111</v>
      </c>
      <c r="F78">
        <v>276.26666</v>
      </c>
      <c r="G78">
        <v>193.6</v>
      </c>
      <c r="H78">
        <v>1.4269972</v>
      </c>
      <c r="I78">
        <v>-0.42699717999999998</v>
      </c>
      <c r="J78">
        <v>0.4120318</v>
      </c>
    </row>
    <row r="79" spans="1:10" x14ac:dyDescent="0.3">
      <c r="A79">
        <v>77</v>
      </c>
      <c r="B79">
        <v>1710</v>
      </c>
      <c r="C79" t="b">
        <v>1</v>
      </c>
      <c r="D79">
        <v>8111</v>
      </c>
      <c r="E79">
        <v>8105</v>
      </c>
      <c r="F79">
        <v>276.26666</v>
      </c>
      <c r="G79">
        <v>193.6</v>
      </c>
      <c r="H79">
        <v>1.4269972</v>
      </c>
      <c r="I79">
        <v>-0.42699717999999998</v>
      </c>
      <c r="J79">
        <v>0.4120318</v>
      </c>
    </row>
    <row r="80" spans="1:10" x14ac:dyDescent="0.3">
      <c r="A80">
        <v>78</v>
      </c>
      <c r="B80">
        <v>1726</v>
      </c>
      <c r="C80" t="b">
        <v>1</v>
      </c>
      <c r="D80">
        <v>8146</v>
      </c>
      <c r="E80">
        <v>8093</v>
      </c>
      <c r="F80">
        <v>278.2</v>
      </c>
      <c r="G80">
        <v>193.6</v>
      </c>
      <c r="H80">
        <v>1.4369835</v>
      </c>
      <c r="I80">
        <v>-0.43698350000000002</v>
      </c>
      <c r="J80">
        <v>0.41034335</v>
      </c>
    </row>
    <row r="81" spans="1:10" x14ac:dyDescent="0.3">
      <c r="A81">
        <v>79</v>
      </c>
      <c r="B81">
        <v>1742</v>
      </c>
      <c r="C81" t="b">
        <v>1</v>
      </c>
      <c r="D81">
        <v>8100</v>
      </c>
      <c r="E81">
        <v>8117</v>
      </c>
      <c r="F81">
        <v>280.46667000000002</v>
      </c>
      <c r="G81">
        <v>193.2</v>
      </c>
      <c r="H81">
        <v>1.4516909</v>
      </c>
      <c r="I81">
        <v>-0.45169088000000002</v>
      </c>
      <c r="J81">
        <v>0.40788173999999999</v>
      </c>
    </row>
    <row r="82" spans="1:10" x14ac:dyDescent="0.3">
      <c r="A82">
        <v>80</v>
      </c>
      <c r="B82">
        <v>1757</v>
      </c>
      <c r="C82" t="b">
        <v>1</v>
      </c>
      <c r="D82">
        <v>8106</v>
      </c>
      <c r="E82">
        <v>8081</v>
      </c>
      <c r="F82">
        <v>280.46667000000002</v>
      </c>
      <c r="G82">
        <v>192.4</v>
      </c>
      <c r="H82">
        <v>1.4577271000000001</v>
      </c>
      <c r="I82">
        <v>-0.45772703999999997</v>
      </c>
      <c r="J82">
        <v>0.40688002000000001</v>
      </c>
    </row>
    <row r="83" spans="1:10" x14ac:dyDescent="0.3">
      <c r="A83">
        <v>81</v>
      </c>
      <c r="B83">
        <v>1773</v>
      </c>
      <c r="C83" t="b">
        <v>1</v>
      </c>
      <c r="D83">
        <v>8117</v>
      </c>
      <c r="E83">
        <v>8099</v>
      </c>
      <c r="F83">
        <v>280.06668000000002</v>
      </c>
      <c r="G83">
        <v>191.2</v>
      </c>
      <c r="H83">
        <v>1.4647839</v>
      </c>
      <c r="I83">
        <v>-0.46478390000000003</v>
      </c>
      <c r="J83">
        <v>0.40571508000000001</v>
      </c>
    </row>
    <row r="84" spans="1:10" x14ac:dyDescent="0.3">
      <c r="A84">
        <v>82</v>
      </c>
      <c r="B84">
        <v>1789</v>
      </c>
      <c r="C84" t="b">
        <v>1</v>
      </c>
      <c r="D84">
        <v>8111</v>
      </c>
      <c r="E84">
        <v>8117</v>
      </c>
      <c r="F84">
        <v>280.06668000000002</v>
      </c>
      <c r="G84">
        <v>190</v>
      </c>
      <c r="H84">
        <v>1.4740351</v>
      </c>
      <c r="I84">
        <v>-0.47403517000000001</v>
      </c>
      <c r="J84">
        <v>0.40419796000000002</v>
      </c>
    </row>
    <row r="85" spans="1:10" x14ac:dyDescent="0.3">
      <c r="A85">
        <v>83</v>
      </c>
      <c r="B85">
        <v>1805</v>
      </c>
      <c r="C85" t="b">
        <v>1</v>
      </c>
      <c r="D85">
        <v>8111</v>
      </c>
      <c r="E85">
        <v>8099</v>
      </c>
      <c r="F85">
        <v>278.86667</v>
      </c>
      <c r="G85">
        <v>188.8</v>
      </c>
      <c r="H85">
        <v>1.4770479999999999</v>
      </c>
      <c r="I85">
        <v>-0.47704800000000003</v>
      </c>
      <c r="J85">
        <v>0.40370634</v>
      </c>
    </row>
    <row r="86" spans="1:10" x14ac:dyDescent="0.3">
      <c r="A86">
        <v>84</v>
      </c>
      <c r="B86">
        <v>1837</v>
      </c>
      <c r="C86" t="b">
        <v>1</v>
      </c>
      <c r="D86">
        <v>8129</v>
      </c>
      <c r="E86">
        <v>8105</v>
      </c>
      <c r="F86">
        <v>277.66665999999998</v>
      </c>
      <c r="G86">
        <v>188</v>
      </c>
      <c r="H86">
        <v>1.4769502999999999</v>
      </c>
      <c r="I86">
        <v>-0.47695029999999999</v>
      </c>
      <c r="J86">
        <v>0.40372226</v>
      </c>
    </row>
    <row r="87" spans="1:10" x14ac:dyDescent="0.3">
      <c r="A87">
        <v>85</v>
      </c>
      <c r="B87">
        <v>1869</v>
      </c>
      <c r="C87" t="b">
        <v>1</v>
      </c>
      <c r="D87">
        <v>8100</v>
      </c>
      <c r="E87">
        <v>8117</v>
      </c>
      <c r="F87">
        <v>277.66665999999998</v>
      </c>
      <c r="G87">
        <v>188</v>
      </c>
      <c r="H87">
        <v>1.4769502999999999</v>
      </c>
      <c r="I87">
        <v>-0.47695029999999999</v>
      </c>
      <c r="J87">
        <v>0.40372226</v>
      </c>
    </row>
    <row r="88" spans="1:10" x14ac:dyDescent="0.3">
      <c r="A88">
        <v>86</v>
      </c>
      <c r="B88">
        <v>1900</v>
      </c>
      <c r="C88" t="b">
        <v>1</v>
      </c>
      <c r="D88">
        <v>8088</v>
      </c>
      <c r="E88">
        <v>8081</v>
      </c>
      <c r="F88">
        <v>277.66665999999998</v>
      </c>
      <c r="G88">
        <v>188</v>
      </c>
      <c r="H88">
        <v>1.4769502999999999</v>
      </c>
      <c r="I88">
        <v>-0.47695029999999999</v>
      </c>
      <c r="J88">
        <v>0.40372226</v>
      </c>
    </row>
    <row r="89" spans="1:10" x14ac:dyDescent="0.3">
      <c r="A89">
        <v>87</v>
      </c>
      <c r="B89">
        <v>1932</v>
      </c>
      <c r="C89" t="b">
        <v>1</v>
      </c>
      <c r="D89">
        <v>8129</v>
      </c>
      <c r="E89">
        <v>8117</v>
      </c>
      <c r="F89">
        <v>276.86667</v>
      </c>
      <c r="G89">
        <v>188</v>
      </c>
      <c r="H89">
        <v>1.4726950000000001</v>
      </c>
      <c r="I89">
        <v>-0.47269505000000001</v>
      </c>
      <c r="J89">
        <v>0.40441704000000001</v>
      </c>
    </row>
    <row r="90" spans="1:10" x14ac:dyDescent="0.3">
      <c r="A90">
        <v>88</v>
      </c>
      <c r="B90">
        <v>1948</v>
      </c>
      <c r="C90" t="b">
        <v>1</v>
      </c>
      <c r="D90">
        <v>8117</v>
      </c>
      <c r="E90">
        <v>8105</v>
      </c>
      <c r="F90">
        <v>277.26666</v>
      </c>
      <c r="G90">
        <v>188</v>
      </c>
      <c r="H90">
        <v>1.4748226</v>
      </c>
      <c r="I90">
        <v>-0.47482267</v>
      </c>
      <c r="J90">
        <v>0.40406935999999999</v>
      </c>
    </row>
    <row r="91" spans="1:10" x14ac:dyDescent="0.3">
      <c r="A91">
        <v>89</v>
      </c>
      <c r="B91">
        <v>1964</v>
      </c>
      <c r="C91" t="b">
        <v>1</v>
      </c>
      <c r="D91">
        <v>8135</v>
      </c>
      <c r="E91">
        <v>8099</v>
      </c>
      <c r="F91">
        <v>277.66665999999998</v>
      </c>
      <c r="G91">
        <v>188</v>
      </c>
      <c r="H91">
        <v>1.4769502999999999</v>
      </c>
      <c r="I91">
        <v>-0.47695029999999999</v>
      </c>
      <c r="J91">
        <v>0.40372226</v>
      </c>
    </row>
    <row r="92" spans="1:10" x14ac:dyDescent="0.3">
      <c r="A92">
        <v>90</v>
      </c>
      <c r="B92">
        <v>1996</v>
      </c>
      <c r="C92" t="b">
        <v>1</v>
      </c>
      <c r="D92">
        <v>8123</v>
      </c>
      <c r="E92">
        <v>8129</v>
      </c>
      <c r="F92">
        <v>277.66665999999998</v>
      </c>
      <c r="G92">
        <v>188.4</v>
      </c>
      <c r="H92">
        <v>1.4738146000000001</v>
      </c>
      <c r="I92">
        <v>-0.47381457999999999</v>
      </c>
      <c r="J92">
        <v>0.40423402000000003</v>
      </c>
    </row>
    <row r="93" spans="1:10" x14ac:dyDescent="0.3">
      <c r="A93">
        <v>91</v>
      </c>
      <c r="B93">
        <v>2012</v>
      </c>
      <c r="C93" t="b">
        <v>1</v>
      </c>
      <c r="D93">
        <v>8100</v>
      </c>
      <c r="E93">
        <v>8099</v>
      </c>
      <c r="F93">
        <v>277.26666</v>
      </c>
      <c r="G93">
        <v>188.4</v>
      </c>
      <c r="H93">
        <v>1.4716914999999999</v>
      </c>
      <c r="I93">
        <v>-0.47169146000000001</v>
      </c>
      <c r="J93">
        <v>0.40458125</v>
      </c>
    </row>
    <row r="94" spans="1:10" x14ac:dyDescent="0.3">
      <c r="A94">
        <v>92</v>
      </c>
      <c r="B94">
        <v>2027</v>
      </c>
      <c r="C94" t="b">
        <v>1</v>
      </c>
      <c r="D94">
        <v>8135</v>
      </c>
      <c r="E94">
        <v>8099</v>
      </c>
      <c r="F94">
        <v>278.06668000000002</v>
      </c>
      <c r="G94">
        <v>188</v>
      </c>
      <c r="H94">
        <v>1.4790779999999999</v>
      </c>
      <c r="I94">
        <v>-0.47907808000000002</v>
      </c>
      <c r="J94">
        <v>0.40337573999999998</v>
      </c>
    </row>
    <row r="95" spans="1:10" x14ac:dyDescent="0.3">
      <c r="A95">
        <v>93</v>
      </c>
      <c r="B95">
        <v>2044</v>
      </c>
      <c r="C95" t="b">
        <v>1</v>
      </c>
      <c r="D95">
        <v>8117</v>
      </c>
      <c r="E95">
        <v>8105</v>
      </c>
      <c r="F95">
        <v>276.93331999999998</v>
      </c>
      <c r="G95">
        <v>187.6</v>
      </c>
      <c r="H95">
        <v>1.4761903000000001</v>
      </c>
      <c r="I95">
        <v>-0.47619035999999998</v>
      </c>
      <c r="J95">
        <v>0.40384617</v>
      </c>
    </row>
    <row r="96" spans="1:10" x14ac:dyDescent="0.3">
      <c r="A96">
        <v>94</v>
      </c>
      <c r="B96">
        <v>2060</v>
      </c>
      <c r="C96" t="b">
        <v>1</v>
      </c>
      <c r="D96">
        <v>8129</v>
      </c>
      <c r="E96">
        <v>8093</v>
      </c>
      <c r="F96">
        <v>275.8</v>
      </c>
      <c r="G96">
        <v>187.2</v>
      </c>
      <c r="H96">
        <v>1.4732905999999999</v>
      </c>
      <c r="I96">
        <v>-0.47329056000000003</v>
      </c>
      <c r="J96">
        <v>0.40431963999999998</v>
      </c>
    </row>
    <row r="97" spans="1:10" x14ac:dyDescent="0.3">
      <c r="A97">
        <v>95</v>
      </c>
      <c r="B97">
        <v>2075</v>
      </c>
      <c r="C97" t="b">
        <v>1</v>
      </c>
      <c r="D97">
        <v>8106</v>
      </c>
      <c r="E97">
        <v>8105</v>
      </c>
      <c r="F97">
        <v>276.2</v>
      </c>
      <c r="G97">
        <v>186.8</v>
      </c>
      <c r="H97">
        <v>1.4785868</v>
      </c>
      <c r="I97">
        <v>-0.47858676</v>
      </c>
      <c r="J97">
        <v>0.40345573000000001</v>
      </c>
    </row>
    <row r="98" spans="1:10" x14ac:dyDescent="0.3">
      <c r="A98">
        <v>96</v>
      </c>
      <c r="B98">
        <v>2091</v>
      </c>
      <c r="C98" t="b">
        <v>1</v>
      </c>
      <c r="D98">
        <v>8117</v>
      </c>
      <c r="E98">
        <v>8117</v>
      </c>
      <c r="F98">
        <v>276.60000000000002</v>
      </c>
      <c r="G98">
        <v>187.2</v>
      </c>
      <c r="H98">
        <v>1.4775642</v>
      </c>
      <c r="I98">
        <v>-0.47756416000000002</v>
      </c>
      <c r="J98">
        <v>0.40362227000000001</v>
      </c>
    </row>
    <row r="99" spans="1:10" x14ac:dyDescent="0.3">
      <c r="A99">
        <v>97</v>
      </c>
      <c r="B99">
        <v>2107</v>
      </c>
      <c r="C99" t="b">
        <v>1</v>
      </c>
      <c r="D99">
        <v>8117</v>
      </c>
      <c r="E99">
        <v>8111</v>
      </c>
      <c r="F99">
        <v>277</v>
      </c>
      <c r="G99">
        <v>187.6</v>
      </c>
      <c r="H99">
        <v>1.4765458</v>
      </c>
      <c r="I99">
        <v>-0.47654577999999997</v>
      </c>
      <c r="J99">
        <v>0.40378819999999999</v>
      </c>
    </row>
    <row r="100" spans="1:10" x14ac:dyDescent="0.3">
      <c r="A100">
        <v>98</v>
      </c>
      <c r="B100">
        <v>2123</v>
      </c>
      <c r="C100" t="b">
        <v>1</v>
      </c>
      <c r="D100">
        <v>8129</v>
      </c>
      <c r="E100">
        <v>8105</v>
      </c>
      <c r="F100">
        <v>277.39999999999998</v>
      </c>
      <c r="G100">
        <v>188</v>
      </c>
      <c r="H100">
        <v>1.4755319</v>
      </c>
      <c r="I100">
        <v>-0.47553188000000002</v>
      </c>
      <c r="J100">
        <v>0.40395357999999998</v>
      </c>
    </row>
    <row r="101" spans="1:10" x14ac:dyDescent="0.3">
      <c r="A101">
        <v>99</v>
      </c>
      <c r="B101">
        <v>2139</v>
      </c>
      <c r="C101" t="b">
        <v>1</v>
      </c>
      <c r="D101">
        <v>8135</v>
      </c>
      <c r="E101">
        <v>8093</v>
      </c>
      <c r="F101">
        <v>277.8</v>
      </c>
      <c r="G101">
        <v>188.4</v>
      </c>
      <c r="H101">
        <v>1.4745222</v>
      </c>
      <c r="I101">
        <v>-0.47452225999999997</v>
      </c>
      <c r="J101">
        <v>0.40411841999999998</v>
      </c>
    </row>
    <row r="102" spans="1:10" x14ac:dyDescent="0.3">
      <c r="A102">
        <v>100</v>
      </c>
      <c r="B102">
        <v>2155</v>
      </c>
      <c r="C102" t="b">
        <v>1</v>
      </c>
      <c r="D102">
        <v>8135</v>
      </c>
      <c r="E102">
        <v>8111</v>
      </c>
      <c r="F102">
        <v>279</v>
      </c>
      <c r="G102">
        <v>188.8</v>
      </c>
      <c r="H102">
        <v>1.4777541999999999</v>
      </c>
      <c r="I102">
        <v>-0.47775420000000002</v>
      </c>
      <c r="J102">
        <v>0.40359129999999999</v>
      </c>
    </row>
    <row r="103" spans="1:10" x14ac:dyDescent="0.3">
      <c r="A103">
        <v>101</v>
      </c>
      <c r="B103">
        <v>2187</v>
      </c>
      <c r="C103" t="b">
        <v>1</v>
      </c>
      <c r="D103">
        <v>8117</v>
      </c>
      <c r="E103">
        <v>8105</v>
      </c>
      <c r="F103">
        <v>280.2</v>
      </c>
      <c r="G103">
        <v>188.8</v>
      </c>
      <c r="H103">
        <v>1.4841101999999999</v>
      </c>
      <c r="I103">
        <v>-0.48411019999999999</v>
      </c>
      <c r="J103">
        <v>0.40255865000000002</v>
      </c>
    </row>
    <row r="104" spans="1:10" x14ac:dyDescent="0.3">
      <c r="A104">
        <v>102</v>
      </c>
      <c r="B104">
        <v>2219</v>
      </c>
      <c r="C104" t="b">
        <v>1</v>
      </c>
      <c r="D104">
        <v>8123</v>
      </c>
      <c r="E104">
        <v>8099</v>
      </c>
      <c r="F104">
        <v>281.39999999999998</v>
      </c>
      <c r="G104">
        <v>188.8</v>
      </c>
      <c r="H104">
        <v>1.4904660000000001</v>
      </c>
      <c r="I104">
        <v>-0.49046605999999998</v>
      </c>
      <c r="J104">
        <v>0.40153125000000001</v>
      </c>
    </row>
    <row r="105" spans="1:10" x14ac:dyDescent="0.3">
      <c r="A105">
        <v>103</v>
      </c>
      <c r="B105">
        <v>2235</v>
      </c>
      <c r="C105" t="b">
        <v>1</v>
      </c>
      <c r="D105">
        <v>8123</v>
      </c>
      <c r="E105">
        <v>8105</v>
      </c>
      <c r="F105">
        <v>281.8</v>
      </c>
      <c r="G105">
        <v>188.8</v>
      </c>
      <c r="H105">
        <v>1.4925847000000001</v>
      </c>
      <c r="I105">
        <v>-0.49258465000000001</v>
      </c>
      <c r="J105">
        <v>0.40118998</v>
      </c>
    </row>
    <row r="106" spans="1:10" x14ac:dyDescent="0.3">
      <c r="A106">
        <v>104</v>
      </c>
      <c r="B106">
        <v>2251</v>
      </c>
      <c r="C106" t="b">
        <v>1</v>
      </c>
      <c r="D106">
        <v>8135</v>
      </c>
      <c r="E106">
        <v>8105</v>
      </c>
      <c r="F106">
        <v>282.2</v>
      </c>
      <c r="G106">
        <v>188.8</v>
      </c>
      <c r="H106">
        <v>1.4947033999999999</v>
      </c>
      <c r="I106">
        <v>-0.49470343999999999</v>
      </c>
      <c r="J106">
        <v>0.40084924999999999</v>
      </c>
    </row>
    <row r="107" spans="1:10" x14ac:dyDescent="0.3">
      <c r="A107">
        <v>105</v>
      </c>
      <c r="B107">
        <v>2267</v>
      </c>
      <c r="C107" t="b">
        <v>1</v>
      </c>
      <c r="D107">
        <v>8140</v>
      </c>
      <c r="E107">
        <v>8111</v>
      </c>
      <c r="F107">
        <v>282.2</v>
      </c>
      <c r="G107">
        <v>188.8</v>
      </c>
      <c r="H107">
        <v>1.4947033999999999</v>
      </c>
      <c r="I107">
        <v>-0.49470343999999999</v>
      </c>
      <c r="J107">
        <v>0.40084924999999999</v>
      </c>
    </row>
    <row r="108" spans="1:10" x14ac:dyDescent="0.3">
      <c r="A108">
        <v>106</v>
      </c>
      <c r="B108">
        <v>2283</v>
      </c>
      <c r="C108" t="b">
        <v>1</v>
      </c>
      <c r="D108">
        <v>8135</v>
      </c>
      <c r="E108">
        <v>8099</v>
      </c>
      <c r="F108">
        <v>283</v>
      </c>
      <c r="G108">
        <v>188.8</v>
      </c>
      <c r="H108">
        <v>1.4989406999999999</v>
      </c>
      <c r="I108">
        <v>-0.49894064999999999</v>
      </c>
      <c r="J108">
        <v>0.40016958000000002</v>
      </c>
    </row>
    <row r="109" spans="1:10" x14ac:dyDescent="0.3">
      <c r="A109">
        <v>107</v>
      </c>
      <c r="B109">
        <v>2298</v>
      </c>
      <c r="C109" t="b">
        <v>1</v>
      </c>
      <c r="D109">
        <v>8146</v>
      </c>
      <c r="E109">
        <v>8111</v>
      </c>
      <c r="F109">
        <v>283.8</v>
      </c>
      <c r="G109">
        <v>189.2</v>
      </c>
      <c r="H109">
        <v>1.5</v>
      </c>
      <c r="I109">
        <v>-0.49999997000000002</v>
      </c>
      <c r="J109">
        <v>0.4</v>
      </c>
    </row>
    <row r="110" spans="1:10" x14ac:dyDescent="0.3">
      <c r="A110">
        <v>108</v>
      </c>
      <c r="B110">
        <v>2314</v>
      </c>
      <c r="C110" t="b">
        <v>1</v>
      </c>
      <c r="D110">
        <v>8129</v>
      </c>
      <c r="E110">
        <v>8099</v>
      </c>
      <c r="F110">
        <v>284.60000000000002</v>
      </c>
      <c r="G110">
        <v>189.6</v>
      </c>
      <c r="H110">
        <v>1.5010549</v>
      </c>
      <c r="I110">
        <v>-0.50105480000000002</v>
      </c>
      <c r="J110">
        <v>0.3998313</v>
      </c>
    </row>
    <row r="111" spans="1:10" x14ac:dyDescent="0.3">
      <c r="A111">
        <v>109</v>
      </c>
      <c r="B111">
        <v>2330</v>
      </c>
      <c r="C111" t="b">
        <v>1</v>
      </c>
      <c r="D111">
        <v>8106</v>
      </c>
      <c r="E111">
        <v>8111</v>
      </c>
      <c r="F111">
        <v>285.39999999999998</v>
      </c>
      <c r="G111">
        <v>190.4</v>
      </c>
      <c r="H111">
        <v>1.4989496</v>
      </c>
      <c r="I111">
        <v>-0.49894959999999999</v>
      </c>
      <c r="J111">
        <v>0.40016812000000002</v>
      </c>
    </row>
    <row r="112" spans="1:10" x14ac:dyDescent="0.3">
      <c r="A112">
        <v>110</v>
      </c>
      <c r="B112">
        <v>2346</v>
      </c>
      <c r="C112" t="b">
        <v>1</v>
      </c>
      <c r="D112">
        <v>8100</v>
      </c>
      <c r="E112">
        <v>8111</v>
      </c>
      <c r="F112">
        <v>286.2</v>
      </c>
      <c r="G112">
        <v>191.2</v>
      </c>
      <c r="H112">
        <v>1.4968619999999999</v>
      </c>
      <c r="I112">
        <v>-0.49686202000000002</v>
      </c>
      <c r="J112">
        <v>0.40050268</v>
      </c>
    </row>
    <row r="113" spans="1:10" x14ac:dyDescent="0.3">
      <c r="A113">
        <v>111</v>
      </c>
      <c r="B113">
        <v>2361</v>
      </c>
      <c r="C113" t="b">
        <v>1</v>
      </c>
      <c r="D113">
        <v>8111</v>
      </c>
      <c r="E113">
        <v>8099</v>
      </c>
      <c r="F113">
        <v>285.8</v>
      </c>
      <c r="G113">
        <v>191.6</v>
      </c>
      <c r="H113">
        <v>1.4916491999999999</v>
      </c>
      <c r="I113">
        <v>-0.49164914999999998</v>
      </c>
      <c r="J113">
        <v>0.40134059999999999</v>
      </c>
    </row>
    <row r="114" spans="1:10" x14ac:dyDescent="0.3">
      <c r="A114">
        <v>112</v>
      </c>
      <c r="B114">
        <v>2377</v>
      </c>
      <c r="C114" t="b">
        <v>1</v>
      </c>
      <c r="D114">
        <v>8135</v>
      </c>
      <c r="E114">
        <v>8093</v>
      </c>
      <c r="F114">
        <v>285.39999999999998</v>
      </c>
      <c r="G114">
        <v>191.2</v>
      </c>
      <c r="H114">
        <v>1.4926778000000001</v>
      </c>
      <c r="I114">
        <v>-0.4926778</v>
      </c>
      <c r="J114">
        <v>0.401175</v>
      </c>
    </row>
    <row r="115" spans="1:10" x14ac:dyDescent="0.3">
      <c r="A115">
        <v>113</v>
      </c>
      <c r="B115">
        <v>2393</v>
      </c>
      <c r="C115" t="b">
        <v>1</v>
      </c>
      <c r="D115">
        <v>8088</v>
      </c>
      <c r="E115">
        <v>8081</v>
      </c>
      <c r="F115">
        <v>284.66665999999998</v>
      </c>
      <c r="G115">
        <v>190.8</v>
      </c>
      <c r="H115">
        <v>1.4919636000000001</v>
      </c>
      <c r="I115">
        <v>-0.4919636</v>
      </c>
      <c r="J115">
        <v>0.40128997</v>
      </c>
    </row>
    <row r="116" spans="1:10" x14ac:dyDescent="0.3">
      <c r="A116">
        <v>114</v>
      </c>
      <c r="B116">
        <v>2425</v>
      </c>
      <c r="C116" t="b">
        <v>1</v>
      </c>
      <c r="D116">
        <v>8111</v>
      </c>
      <c r="E116">
        <v>8105</v>
      </c>
      <c r="F116">
        <v>284.26666</v>
      </c>
      <c r="G116">
        <v>190.4</v>
      </c>
      <c r="H116">
        <v>1.4929972</v>
      </c>
      <c r="I116">
        <v>-0.49299723000000001</v>
      </c>
      <c r="J116">
        <v>0.40112357999999998</v>
      </c>
    </row>
    <row r="117" spans="1:10" x14ac:dyDescent="0.3">
      <c r="A117">
        <v>115</v>
      </c>
      <c r="B117">
        <v>2441</v>
      </c>
      <c r="C117" t="b">
        <v>1</v>
      </c>
      <c r="D117">
        <v>8123</v>
      </c>
      <c r="E117">
        <v>8105</v>
      </c>
      <c r="F117">
        <v>283.06668000000002</v>
      </c>
      <c r="G117">
        <v>189.6</v>
      </c>
      <c r="H117">
        <v>1.4929676999999999</v>
      </c>
      <c r="I117">
        <v>-0.49296767000000002</v>
      </c>
      <c r="J117">
        <v>0.40112835000000002</v>
      </c>
    </row>
    <row r="118" spans="1:10" x14ac:dyDescent="0.3">
      <c r="A118">
        <v>116</v>
      </c>
      <c r="B118">
        <v>2456</v>
      </c>
      <c r="C118" t="b">
        <v>1</v>
      </c>
      <c r="D118">
        <v>8135</v>
      </c>
      <c r="E118">
        <v>8099</v>
      </c>
      <c r="F118">
        <v>282.66665999999998</v>
      </c>
      <c r="G118">
        <v>189.2</v>
      </c>
      <c r="H118">
        <v>1.4940099</v>
      </c>
      <c r="I118">
        <v>-0.49400981999999999</v>
      </c>
      <c r="J118">
        <v>0.40096073999999998</v>
      </c>
    </row>
    <row r="119" spans="1:10" x14ac:dyDescent="0.3">
      <c r="A119">
        <v>117</v>
      </c>
      <c r="B119">
        <v>2472</v>
      </c>
      <c r="C119" t="b">
        <v>1</v>
      </c>
      <c r="D119">
        <v>8100</v>
      </c>
      <c r="E119">
        <v>8111</v>
      </c>
      <c r="F119">
        <v>281.46667000000002</v>
      </c>
      <c r="G119">
        <v>189.2</v>
      </c>
      <c r="H119">
        <v>1.4876674000000001</v>
      </c>
      <c r="I119">
        <v>-0.48766744000000001</v>
      </c>
      <c r="J119">
        <v>0.40198299999999998</v>
      </c>
    </row>
    <row r="120" spans="1:10" x14ac:dyDescent="0.3">
      <c r="A120">
        <v>118</v>
      </c>
      <c r="B120">
        <v>2488</v>
      </c>
      <c r="C120" t="b">
        <v>1</v>
      </c>
      <c r="D120">
        <v>8135</v>
      </c>
      <c r="E120">
        <v>8099</v>
      </c>
      <c r="F120">
        <v>281.46667000000002</v>
      </c>
      <c r="G120">
        <v>189.2</v>
      </c>
      <c r="H120">
        <v>1.4876674000000001</v>
      </c>
      <c r="I120">
        <v>-0.48766744000000001</v>
      </c>
      <c r="J120">
        <v>0.40198299999999998</v>
      </c>
    </row>
    <row r="121" spans="1:10" x14ac:dyDescent="0.3">
      <c r="A121">
        <v>119</v>
      </c>
      <c r="B121">
        <v>2505</v>
      </c>
      <c r="C121" t="b">
        <v>1</v>
      </c>
      <c r="D121">
        <v>8094</v>
      </c>
      <c r="E121">
        <v>8087</v>
      </c>
      <c r="F121">
        <v>281.46667000000002</v>
      </c>
      <c r="G121">
        <v>188.8</v>
      </c>
      <c r="H121">
        <v>1.4908192</v>
      </c>
      <c r="I121">
        <v>-0.49081922</v>
      </c>
      <c r="J121">
        <v>0.40147435999999997</v>
      </c>
    </row>
    <row r="122" spans="1:10" x14ac:dyDescent="0.3">
      <c r="A122">
        <v>120</v>
      </c>
      <c r="B122">
        <v>2536</v>
      </c>
      <c r="C122" t="b">
        <v>1</v>
      </c>
      <c r="D122">
        <v>8123</v>
      </c>
      <c r="E122">
        <v>8099</v>
      </c>
      <c r="F122">
        <v>281.46667000000002</v>
      </c>
      <c r="G122">
        <v>188.4</v>
      </c>
      <c r="H122">
        <v>1.4939846000000001</v>
      </c>
      <c r="I122">
        <v>-0.49398451999999998</v>
      </c>
      <c r="J122">
        <v>0.40096480000000001</v>
      </c>
    </row>
    <row r="123" spans="1:10" x14ac:dyDescent="0.3">
      <c r="A123">
        <v>121</v>
      </c>
      <c r="B123">
        <v>2552</v>
      </c>
      <c r="C123" t="b">
        <v>1</v>
      </c>
      <c r="D123">
        <v>8117</v>
      </c>
      <c r="E123">
        <v>8093</v>
      </c>
      <c r="F123">
        <v>280.26666</v>
      </c>
      <c r="G123">
        <v>188</v>
      </c>
      <c r="H123">
        <v>1.4907801000000001</v>
      </c>
      <c r="I123">
        <v>-0.49078011999999999</v>
      </c>
      <c r="J123">
        <v>0.40148064</v>
      </c>
    </row>
    <row r="124" spans="1:10" x14ac:dyDescent="0.3">
      <c r="A124">
        <v>122</v>
      </c>
      <c r="B124">
        <v>2584</v>
      </c>
      <c r="C124" t="b">
        <v>1</v>
      </c>
      <c r="D124">
        <v>8111</v>
      </c>
      <c r="E124">
        <v>8093</v>
      </c>
      <c r="F124">
        <v>279.06668000000002</v>
      </c>
      <c r="G124">
        <v>187.2</v>
      </c>
      <c r="H124">
        <v>1.4907409</v>
      </c>
      <c r="I124">
        <v>-0.49074084000000001</v>
      </c>
      <c r="J124">
        <v>0.40148699999999998</v>
      </c>
    </row>
    <row r="125" spans="1:10" x14ac:dyDescent="0.3">
      <c r="A125">
        <v>123</v>
      </c>
      <c r="B125">
        <v>2616</v>
      </c>
      <c r="C125" t="b">
        <v>1</v>
      </c>
      <c r="D125">
        <v>8117</v>
      </c>
      <c r="E125">
        <v>8129</v>
      </c>
      <c r="F125">
        <v>277.86667</v>
      </c>
      <c r="G125">
        <v>186.4</v>
      </c>
      <c r="H125">
        <v>1.4907010999999999</v>
      </c>
      <c r="I125">
        <v>-0.49070105000000003</v>
      </c>
      <c r="J125">
        <v>0.40149337000000002</v>
      </c>
    </row>
    <row r="126" spans="1:10" x14ac:dyDescent="0.3">
      <c r="A126">
        <v>124</v>
      </c>
      <c r="B126">
        <v>2631</v>
      </c>
      <c r="C126" t="b">
        <v>1</v>
      </c>
      <c r="D126">
        <v>8123</v>
      </c>
      <c r="E126">
        <v>8105</v>
      </c>
      <c r="F126">
        <v>276.66665999999998</v>
      </c>
      <c r="G126">
        <v>185.6</v>
      </c>
      <c r="H126">
        <v>1.4906607999999999</v>
      </c>
      <c r="I126">
        <v>-0.49066082</v>
      </c>
      <c r="J126">
        <v>0.40149986999999998</v>
      </c>
    </row>
    <row r="127" spans="1:10" x14ac:dyDescent="0.3">
      <c r="A127">
        <v>125</v>
      </c>
      <c r="B127">
        <v>2647</v>
      </c>
      <c r="C127" t="b">
        <v>1</v>
      </c>
      <c r="D127">
        <v>8140</v>
      </c>
      <c r="E127">
        <v>8134</v>
      </c>
      <c r="F127">
        <v>275.86667</v>
      </c>
      <c r="G127">
        <v>185.2</v>
      </c>
      <c r="H127">
        <v>1.4895608</v>
      </c>
      <c r="I127">
        <v>-0.48956086999999998</v>
      </c>
      <c r="J127">
        <v>0.40167728000000003</v>
      </c>
    </row>
    <row r="128" spans="1:10" x14ac:dyDescent="0.3">
      <c r="A128">
        <v>126</v>
      </c>
      <c r="B128">
        <v>2663</v>
      </c>
      <c r="C128" t="b">
        <v>1</v>
      </c>
      <c r="D128">
        <v>8135</v>
      </c>
      <c r="E128">
        <v>8099</v>
      </c>
      <c r="F128">
        <v>276.66665999999998</v>
      </c>
      <c r="G128">
        <v>184.8</v>
      </c>
      <c r="H128">
        <v>1.4971140000000001</v>
      </c>
      <c r="I128">
        <v>-0.4971139</v>
      </c>
      <c r="J128">
        <v>0.40046229999999999</v>
      </c>
    </row>
    <row r="129" spans="1:10" x14ac:dyDescent="0.3">
      <c r="A129">
        <v>127</v>
      </c>
      <c r="B129">
        <v>2679</v>
      </c>
      <c r="C129" t="b">
        <v>1</v>
      </c>
      <c r="D129">
        <v>8146</v>
      </c>
      <c r="E129">
        <v>8105</v>
      </c>
      <c r="F129">
        <v>278.26666</v>
      </c>
      <c r="G129">
        <v>185.2</v>
      </c>
      <c r="H129">
        <v>1.5025198</v>
      </c>
      <c r="I129">
        <v>-0.50251979999999996</v>
      </c>
      <c r="J129">
        <v>0.39959723000000003</v>
      </c>
    </row>
    <row r="130" spans="1:10" x14ac:dyDescent="0.3">
      <c r="A130">
        <v>128</v>
      </c>
      <c r="B130">
        <v>2695</v>
      </c>
      <c r="C130" t="b">
        <v>1</v>
      </c>
      <c r="D130">
        <v>8135</v>
      </c>
      <c r="E130">
        <v>8105</v>
      </c>
      <c r="F130">
        <v>280.2</v>
      </c>
      <c r="G130">
        <v>185.6</v>
      </c>
      <c r="H130">
        <v>1.5096982999999999</v>
      </c>
      <c r="I130">
        <v>-0.50969830000000005</v>
      </c>
      <c r="J130">
        <v>0.39845427999999999</v>
      </c>
    </row>
    <row r="131" spans="1:10" x14ac:dyDescent="0.3">
      <c r="A131">
        <v>129</v>
      </c>
      <c r="B131">
        <v>2726</v>
      </c>
      <c r="C131" t="b">
        <v>1</v>
      </c>
      <c r="D131">
        <v>8129</v>
      </c>
      <c r="E131">
        <v>8105</v>
      </c>
      <c r="F131">
        <v>281.8</v>
      </c>
      <c r="G131">
        <v>186</v>
      </c>
      <c r="H131">
        <v>1.5150536999999999</v>
      </c>
      <c r="I131">
        <v>-0.51505369999999995</v>
      </c>
      <c r="J131">
        <v>0.39760583999999999</v>
      </c>
    </row>
    <row r="132" spans="1:10" x14ac:dyDescent="0.3">
      <c r="A132">
        <v>130</v>
      </c>
      <c r="B132">
        <v>2742</v>
      </c>
      <c r="C132" t="b">
        <v>1</v>
      </c>
      <c r="D132">
        <v>8106</v>
      </c>
      <c r="E132">
        <v>8111</v>
      </c>
      <c r="F132">
        <v>283.39999999999998</v>
      </c>
      <c r="G132">
        <v>186.4</v>
      </c>
      <c r="H132">
        <v>1.5203863</v>
      </c>
      <c r="I132">
        <v>-0.52038629999999997</v>
      </c>
      <c r="J132">
        <v>0.39676457999999998</v>
      </c>
    </row>
    <row r="133" spans="1:10" x14ac:dyDescent="0.3">
      <c r="A133">
        <v>131</v>
      </c>
      <c r="B133">
        <v>2758</v>
      </c>
      <c r="C133" t="b">
        <v>1</v>
      </c>
      <c r="D133">
        <v>8135</v>
      </c>
      <c r="E133">
        <v>8111</v>
      </c>
      <c r="F133">
        <v>284.2</v>
      </c>
      <c r="G133">
        <v>186.8</v>
      </c>
      <c r="H133">
        <v>1.5214133000000001</v>
      </c>
      <c r="I133">
        <v>-0.52141329999999997</v>
      </c>
      <c r="J133">
        <v>0.39660299999999998</v>
      </c>
    </row>
    <row r="134" spans="1:10" x14ac:dyDescent="0.3">
      <c r="A134">
        <v>132</v>
      </c>
      <c r="B134">
        <v>2774</v>
      </c>
      <c r="C134" t="b">
        <v>1</v>
      </c>
      <c r="D134">
        <v>8117</v>
      </c>
      <c r="E134">
        <v>8111</v>
      </c>
      <c r="F134">
        <v>285.39999999999998</v>
      </c>
      <c r="G134">
        <v>187.2</v>
      </c>
      <c r="H134">
        <v>1.5245725999999999</v>
      </c>
      <c r="I134">
        <v>-0.5245727</v>
      </c>
      <c r="J134">
        <v>0.39610666</v>
      </c>
    </row>
    <row r="135" spans="1:10" x14ac:dyDescent="0.3">
      <c r="A135">
        <v>133</v>
      </c>
      <c r="B135">
        <v>2790</v>
      </c>
      <c r="C135" t="b">
        <v>1</v>
      </c>
      <c r="D135">
        <v>8111</v>
      </c>
      <c r="E135">
        <v>8111</v>
      </c>
      <c r="F135">
        <v>285</v>
      </c>
      <c r="G135">
        <v>187.6</v>
      </c>
      <c r="H135">
        <v>1.5191897000000001</v>
      </c>
      <c r="I135">
        <v>-0.51918969999999998</v>
      </c>
      <c r="J135">
        <v>0.39695304999999997</v>
      </c>
    </row>
    <row r="136" spans="1:10" x14ac:dyDescent="0.3">
      <c r="A136">
        <v>134</v>
      </c>
      <c r="B136">
        <v>2806</v>
      </c>
      <c r="C136" t="b">
        <v>1</v>
      </c>
      <c r="D136">
        <v>8146</v>
      </c>
      <c r="E136">
        <v>8117</v>
      </c>
      <c r="F136">
        <v>284.60000000000002</v>
      </c>
      <c r="G136">
        <v>188.4</v>
      </c>
      <c r="H136">
        <v>1.5106158000000001</v>
      </c>
      <c r="I136">
        <v>-0.51061577000000002</v>
      </c>
      <c r="J136">
        <v>0.39830865999999998</v>
      </c>
    </row>
    <row r="137" spans="1:10" x14ac:dyDescent="0.3">
      <c r="A137">
        <v>135</v>
      </c>
      <c r="B137">
        <v>2838</v>
      </c>
      <c r="C137" t="b">
        <v>1</v>
      </c>
      <c r="D137">
        <v>8140</v>
      </c>
      <c r="E137">
        <v>8099</v>
      </c>
      <c r="F137">
        <v>285.39999999999998</v>
      </c>
      <c r="G137">
        <v>189.2</v>
      </c>
      <c r="H137">
        <v>1.5084567</v>
      </c>
      <c r="I137">
        <v>-0.50845664999999995</v>
      </c>
      <c r="J137">
        <v>0.39865149999999999</v>
      </c>
    </row>
    <row r="138" spans="1:10" x14ac:dyDescent="0.3">
      <c r="A138">
        <v>136</v>
      </c>
      <c r="B138">
        <v>2869</v>
      </c>
      <c r="C138" t="b">
        <v>1</v>
      </c>
      <c r="D138">
        <v>8111</v>
      </c>
      <c r="E138">
        <v>8105</v>
      </c>
      <c r="F138">
        <v>285.39999999999998</v>
      </c>
      <c r="G138">
        <v>190</v>
      </c>
      <c r="H138">
        <v>1.5021051999999999</v>
      </c>
      <c r="I138">
        <v>-0.50210524000000001</v>
      </c>
      <c r="J138">
        <v>0.39966344999999998</v>
      </c>
    </row>
    <row r="139" spans="1:10" x14ac:dyDescent="0.3">
      <c r="A139">
        <v>137</v>
      </c>
      <c r="B139">
        <v>2901</v>
      </c>
      <c r="C139" t="b">
        <v>1</v>
      </c>
      <c r="D139">
        <v>8111</v>
      </c>
      <c r="E139">
        <v>8105</v>
      </c>
      <c r="F139">
        <v>285</v>
      </c>
      <c r="G139">
        <v>190.8</v>
      </c>
      <c r="H139">
        <v>1.4937106</v>
      </c>
      <c r="I139">
        <v>-0.49371067000000002</v>
      </c>
      <c r="J139">
        <v>0.40100883999999998</v>
      </c>
    </row>
    <row r="140" spans="1:10" x14ac:dyDescent="0.3">
      <c r="A140">
        <v>138</v>
      </c>
      <c r="B140">
        <v>2917</v>
      </c>
      <c r="C140" t="b">
        <v>1</v>
      </c>
      <c r="D140">
        <v>8123</v>
      </c>
      <c r="E140">
        <v>8099</v>
      </c>
      <c r="F140">
        <v>285.39999999999998</v>
      </c>
      <c r="G140">
        <v>191.6</v>
      </c>
      <c r="H140">
        <v>1.4895616</v>
      </c>
      <c r="I140">
        <v>-0.48956149999999998</v>
      </c>
      <c r="J140">
        <v>0.40167715999999998</v>
      </c>
    </row>
    <row r="141" spans="1:10" x14ac:dyDescent="0.3">
      <c r="A141">
        <v>139</v>
      </c>
      <c r="B141">
        <v>2933</v>
      </c>
      <c r="C141" t="b">
        <v>1</v>
      </c>
      <c r="D141">
        <v>8123</v>
      </c>
      <c r="E141">
        <v>8111</v>
      </c>
      <c r="F141">
        <v>285.8</v>
      </c>
      <c r="G141">
        <v>192</v>
      </c>
      <c r="H141">
        <v>1.4885416</v>
      </c>
      <c r="I141">
        <v>-0.48854160000000002</v>
      </c>
      <c r="J141">
        <v>0.40184180000000003</v>
      </c>
    </row>
    <row r="142" spans="1:10" x14ac:dyDescent="0.3">
      <c r="A142">
        <v>140</v>
      </c>
      <c r="B142">
        <v>2965</v>
      </c>
      <c r="C142" t="b">
        <v>1</v>
      </c>
      <c r="D142">
        <v>8111</v>
      </c>
      <c r="E142">
        <v>8111</v>
      </c>
      <c r="F142">
        <v>285.39999999999998</v>
      </c>
      <c r="G142">
        <v>192</v>
      </c>
      <c r="H142">
        <v>1.4864583</v>
      </c>
      <c r="I142">
        <v>-0.48645830000000001</v>
      </c>
      <c r="J142">
        <v>0.40217847000000001</v>
      </c>
    </row>
    <row r="143" spans="1:10" x14ac:dyDescent="0.3">
      <c r="A143">
        <v>141</v>
      </c>
      <c r="B143">
        <v>2981</v>
      </c>
      <c r="C143" t="b">
        <v>1</v>
      </c>
      <c r="D143">
        <v>8111</v>
      </c>
      <c r="E143">
        <v>8140</v>
      </c>
      <c r="F143">
        <v>284.60000000000002</v>
      </c>
      <c r="G143">
        <v>192.4</v>
      </c>
      <c r="H143">
        <v>1.4792099999999999</v>
      </c>
      <c r="I143">
        <v>-0.47921005</v>
      </c>
      <c r="J143">
        <v>0.4033543</v>
      </c>
    </row>
    <row r="144" spans="1:10" x14ac:dyDescent="0.3">
      <c r="A144">
        <v>142</v>
      </c>
      <c r="B144">
        <v>3013</v>
      </c>
      <c r="C144" t="b">
        <v>1</v>
      </c>
      <c r="D144">
        <v>8111</v>
      </c>
      <c r="E144">
        <v>8123</v>
      </c>
      <c r="F144">
        <v>283</v>
      </c>
      <c r="G144">
        <v>192.8</v>
      </c>
      <c r="H144">
        <v>1.4678423</v>
      </c>
      <c r="I144">
        <v>-0.46784229999999999</v>
      </c>
      <c r="J144">
        <v>0.40521227999999998</v>
      </c>
    </row>
    <row r="145" spans="1:10" x14ac:dyDescent="0.3">
      <c r="A145">
        <v>143</v>
      </c>
      <c r="B145">
        <v>3044</v>
      </c>
      <c r="C145" t="b">
        <v>1</v>
      </c>
      <c r="D145">
        <v>8117</v>
      </c>
      <c r="E145">
        <v>8105</v>
      </c>
      <c r="F145">
        <v>281.39999999999998</v>
      </c>
      <c r="G145">
        <v>193.2</v>
      </c>
      <c r="H145">
        <v>1.4565216999999999</v>
      </c>
      <c r="I145">
        <v>-0.45652172000000002</v>
      </c>
      <c r="J145">
        <v>0.40707967</v>
      </c>
    </row>
    <row r="146" spans="1:10" x14ac:dyDescent="0.3">
      <c r="A146">
        <v>144</v>
      </c>
      <c r="B146">
        <v>3060</v>
      </c>
      <c r="C146" t="b">
        <v>1</v>
      </c>
      <c r="D146">
        <v>8117</v>
      </c>
      <c r="E146">
        <v>8105</v>
      </c>
      <c r="F146">
        <v>279.8</v>
      </c>
      <c r="G146">
        <v>193.6</v>
      </c>
      <c r="H146">
        <v>1.4452478</v>
      </c>
      <c r="I146">
        <v>-0.44524783000000001</v>
      </c>
      <c r="J146">
        <v>0.4089565</v>
      </c>
    </row>
    <row r="147" spans="1:10" x14ac:dyDescent="0.3">
      <c r="A147">
        <v>145</v>
      </c>
      <c r="B147">
        <v>3076</v>
      </c>
      <c r="C147" t="b">
        <v>1</v>
      </c>
      <c r="D147">
        <v>8111</v>
      </c>
      <c r="E147">
        <v>8117</v>
      </c>
      <c r="F147">
        <v>278.2</v>
      </c>
      <c r="G147">
        <v>194.4</v>
      </c>
      <c r="H147">
        <v>1.4310700999999999</v>
      </c>
      <c r="I147">
        <v>-0.43107005999999998</v>
      </c>
      <c r="J147">
        <v>0.41134150000000003</v>
      </c>
    </row>
    <row r="148" spans="1:10" x14ac:dyDescent="0.3">
      <c r="A148">
        <v>146</v>
      </c>
      <c r="B148">
        <v>3092</v>
      </c>
      <c r="C148" t="b">
        <v>1</v>
      </c>
      <c r="D148">
        <v>8129</v>
      </c>
      <c r="E148">
        <v>8111</v>
      </c>
      <c r="F148">
        <v>277</v>
      </c>
      <c r="G148">
        <v>194.8</v>
      </c>
      <c r="H148">
        <v>1.4219712</v>
      </c>
      <c r="I148">
        <v>-0.42197122999999997</v>
      </c>
      <c r="J148">
        <v>0.41288682999999998</v>
      </c>
    </row>
    <row r="149" spans="1:10" x14ac:dyDescent="0.3">
      <c r="A149">
        <v>147</v>
      </c>
      <c r="B149">
        <v>3108</v>
      </c>
      <c r="C149" t="b">
        <v>1</v>
      </c>
      <c r="D149">
        <v>8111</v>
      </c>
      <c r="E149">
        <v>8099</v>
      </c>
      <c r="F149">
        <v>276.2</v>
      </c>
      <c r="G149">
        <v>194.4</v>
      </c>
      <c r="H149">
        <v>1.420782</v>
      </c>
      <c r="I149">
        <v>-0.42078199999999999</v>
      </c>
      <c r="J149">
        <v>0.41308966000000003</v>
      </c>
    </row>
    <row r="150" spans="1:10" x14ac:dyDescent="0.3">
      <c r="A150">
        <v>148</v>
      </c>
      <c r="B150">
        <v>3123</v>
      </c>
      <c r="C150" t="b">
        <v>1</v>
      </c>
      <c r="D150">
        <v>8123</v>
      </c>
      <c r="E150">
        <v>8111</v>
      </c>
      <c r="F150">
        <v>276.2</v>
      </c>
      <c r="G150">
        <v>194.4</v>
      </c>
      <c r="H150">
        <v>1.420782</v>
      </c>
      <c r="I150">
        <v>-0.42078199999999999</v>
      </c>
      <c r="J150">
        <v>0.41308966000000003</v>
      </c>
    </row>
    <row r="151" spans="1:10" x14ac:dyDescent="0.3">
      <c r="A151">
        <v>149</v>
      </c>
      <c r="B151">
        <v>3139</v>
      </c>
      <c r="C151" t="b">
        <v>1</v>
      </c>
      <c r="D151">
        <v>8117</v>
      </c>
      <c r="E151">
        <v>8117</v>
      </c>
      <c r="F151">
        <v>276.2</v>
      </c>
      <c r="G151">
        <v>194.4</v>
      </c>
      <c r="H151">
        <v>1.420782</v>
      </c>
      <c r="I151">
        <v>-0.42078199999999999</v>
      </c>
      <c r="J151">
        <v>0.41308966000000003</v>
      </c>
    </row>
    <row r="152" spans="1:10" x14ac:dyDescent="0.3">
      <c r="A152">
        <v>150</v>
      </c>
      <c r="B152">
        <v>3155</v>
      </c>
      <c r="C152" t="b">
        <v>1</v>
      </c>
      <c r="D152">
        <v>8106</v>
      </c>
      <c r="E152">
        <v>8111</v>
      </c>
      <c r="F152">
        <v>275</v>
      </c>
      <c r="G152">
        <v>194.4</v>
      </c>
      <c r="H152">
        <v>1.4146091000000001</v>
      </c>
      <c r="I152">
        <v>-0.41460910000000001</v>
      </c>
      <c r="J152">
        <v>0.41414570000000001</v>
      </c>
    </row>
    <row r="153" spans="1:10" x14ac:dyDescent="0.3">
      <c r="A153">
        <v>151</v>
      </c>
      <c r="B153">
        <v>3188</v>
      </c>
      <c r="C153" t="b">
        <v>1</v>
      </c>
      <c r="D153">
        <v>8123</v>
      </c>
      <c r="E153">
        <v>8117</v>
      </c>
      <c r="F153">
        <v>275</v>
      </c>
      <c r="G153">
        <v>194.4</v>
      </c>
      <c r="H153">
        <v>1.4146091000000001</v>
      </c>
      <c r="I153">
        <v>-0.41460910000000001</v>
      </c>
      <c r="J153">
        <v>0.41414570000000001</v>
      </c>
    </row>
    <row r="154" spans="1:10" x14ac:dyDescent="0.3">
      <c r="A154">
        <v>152</v>
      </c>
      <c r="B154">
        <v>3219</v>
      </c>
      <c r="C154" t="b">
        <v>1</v>
      </c>
      <c r="D154">
        <v>8100</v>
      </c>
      <c r="E154">
        <v>8099</v>
      </c>
      <c r="F154">
        <v>275.39999999999998</v>
      </c>
      <c r="G154">
        <v>194.8</v>
      </c>
      <c r="H154">
        <v>1.4137576999999999</v>
      </c>
      <c r="I154">
        <v>-0.41375764999999998</v>
      </c>
      <c r="J154">
        <v>0.41429179999999999</v>
      </c>
    </row>
    <row r="155" spans="1:10" x14ac:dyDescent="0.3">
      <c r="A155">
        <v>153</v>
      </c>
      <c r="B155">
        <v>3251</v>
      </c>
      <c r="C155" t="b">
        <v>1</v>
      </c>
      <c r="D155">
        <v>8123</v>
      </c>
      <c r="E155">
        <v>8111</v>
      </c>
      <c r="F155">
        <v>275</v>
      </c>
      <c r="G155">
        <v>195.2</v>
      </c>
      <c r="H155">
        <v>1.4088115000000001</v>
      </c>
      <c r="I155">
        <v>-0.40881149999999999</v>
      </c>
      <c r="J155">
        <v>0.41514247999999998</v>
      </c>
    </row>
    <row r="156" spans="1:10" x14ac:dyDescent="0.3">
      <c r="A156">
        <v>154</v>
      </c>
      <c r="B156">
        <v>3283</v>
      </c>
      <c r="C156" t="b">
        <v>1</v>
      </c>
      <c r="D156">
        <v>8140</v>
      </c>
      <c r="E156">
        <v>8087</v>
      </c>
      <c r="F156">
        <v>275</v>
      </c>
      <c r="G156">
        <v>195.6</v>
      </c>
      <c r="H156">
        <v>1.4059303999999999</v>
      </c>
      <c r="I156">
        <v>-0.40593043000000001</v>
      </c>
      <c r="J156">
        <v>0.4156396</v>
      </c>
    </row>
    <row r="157" spans="1:10" x14ac:dyDescent="0.3">
      <c r="A157">
        <v>155</v>
      </c>
      <c r="B157">
        <v>3298</v>
      </c>
      <c r="C157" t="b">
        <v>1</v>
      </c>
      <c r="D157">
        <v>8094</v>
      </c>
      <c r="E157">
        <v>8099</v>
      </c>
      <c r="F157">
        <v>275.8</v>
      </c>
      <c r="G157">
        <v>195.2</v>
      </c>
      <c r="H157">
        <v>1.4129096999999999</v>
      </c>
      <c r="I157">
        <v>-0.41290979999999999</v>
      </c>
      <c r="J157">
        <v>0.41443734999999998</v>
      </c>
    </row>
    <row r="158" spans="1:10" x14ac:dyDescent="0.3">
      <c r="A158">
        <v>156</v>
      </c>
      <c r="B158">
        <v>3315</v>
      </c>
      <c r="C158" t="b">
        <v>1</v>
      </c>
      <c r="D158">
        <v>8117</v>
      </c>
      <c r="E158">
        <v>8087</v>
      </c>
      <c r="F158">
        <v>276.2</v>
      </c>
      <c r="G158">
        <v>194.4</v>
      </c>
      <c r="H158">
        <v>1.420782</v>
      </c>
      <c r="I158">
        <v>-0.42078199999999999</v>
      </c>
      <c r="J158">
        <v>0.41308966000000003</v>
      </c>
    </row>
    <row r="159" spans="1:10" x14ac:dyDescent="0.3">
      <c r="A159">
        <v>157</v>
      </c>
      <c r="B159">
        <v>3331</v>
      </c>
      <c r="C159" t="b">
        <v>1</v>
      </c>
      <c r="D159">
        <v>8135</v>
      </c>
      <c r="E159">
        <v>8117</v>
      </c>
      <c r="F159">
        <v>277</v>
      </c>
      <c r="G159">
        <v>193.6</v>
      </c>
      <c r="H159">
        <v>1.4307851</v>
      </c>
      <c r="I159">
        <v>-0.43078509999999998</v>
      </c>
      <c r="J159">
        <v>0.41138970000000002</v>
      </c>
    </row>
    <row r="160" spans="1:10" x14ac:dyDescent="0.3">
      <c r="A160">
        <v>158</v>
      </c>
      <c r="B160">
        <v>3363</v>
      </c>
      <c r="C160" t="b">
        <v>1</v>
      </c>
      <c r="D160">
        <v>8117</v>
      </c>
      <c r="E160">
        <v>8123</v>
      </c>
      <c r="F160">
        <v>277.39999999999998</v>
      </c>
      <c r="G160">
        <v>192.8</v>
      </c>
      <c r="H160">
        <v>1.4387966000000001</v>
      </c>
      <c r="I160">
        <v>-0.43879664000000002</v>
      </c>
      <c r="J160">
        <v>0.41003825999999999</v>
      </c>
    </row>
    <row r="161" spans="1:10" x14ac:dyDescent="0.3">
      <c r="A161">
        <v>159</v>
      </c>
      <c r="B161">
        <v>3378</v>
      </c>
      <c r="C161" t="b">
        <v>1</v>
      </c>
      <c r="D161">
        <v>8129</v>
      </c>
      <c r="E161">
        <v>8099</v>
      </c>
      <c r="F161">
        <v>277.8</v>
      </c>
      <c r="G161">
        <v>192</v>
      </c>
      <c r="H161">
        <v>1.4468749999999999</v>
      </c>
      <c r="I161">
        <v>-0.44687494999999999</v>
      </c>
      <c r="J161">
        <v>0.40868454999999998</v>
      </c>
    </row>
    <row r="162" spans="1:10" x14ac:dyDescent="0.3">
      <c r="A162">
        <v>160</v>
      </c>
      <c r="B162">
        <v>3394</v>
      </c>
      <c r="C162" t="b">
        <v>1</v>
      </c>
      <c r="D162">
        <v>8123</v>
      </c>
      <c r="E162">
        <v>8111</v>
      </c>
      <c r="F162">
        <v>278.60000000000002</v>
      </c>
      <c r="G162">
        <v>191.6</v>
      </c>
      <c r="H162">
        <v>1.4540709000000001</v>
      </c>
      <c r="I162">
        <v>-0.45407096000000002</v>
      </c>
      <c r="J162">
        <v>0.40748616999999998</v>
      </c>
    </row>
    <row r="163" spans="1:10" x14ac:dyDescent="0.3">
      <c r="A163">
        <v>161</v>
      </c>
      <c r="B163">
        <v>3427</v>
      </c>
      <c r="C163" t="b">
        <v>1</v>
      </c>
      <c r="D163">
        <v>8146</v>
      </c>
      <c r="E163">
        <v>8099</v>
      </c>
      <c r="F163">
        <v>279.39999999999998</v>
      </c>
      <c r="G163">
        <v>191.6</v>
      </c>
      <c r="H163">
        <v>1.4582462</v>
      </c>
      <c r="I163">
        <v>-0.45824626000000002</v>
      </c>
      <c r="J163">
        <v>0.40679407000000001</v>
      </c>
    </row>
    <row r="164" spans="1:10" x14ac:dyDescent="0.3">
      <c r="A164">
        <v>162</v>
      </c>
      <c r="B164">
        <v>3457</v>
      </c>
      <c r="C164" t="b">
        <v>1</v>
      </c>
      <c r="D164">
        <v>8111</v>
      </c>
      <c r="E164">
        <v>8087</v>
      </c>
      <c r="F164">
        <v>279.8</v>
      </c>
      <c r="G164">
        <v>191.2</v>
      </c>
      <c r="H164">
        <v>1.4633890000000001</v>
      </c>
      <c r="I164">
        <v>-0.46338907000000001</v>
      </c>
      <c r="J164">
        <v>0.40594479999999999</v>
      </c>
    </row>
    <row r="165" spans="1:10" x14ac:dyDescent="0.3">
      <c r="A165">
        <v>163</v>
      </c>
      <c r="B165">
        <v>3473</v>
      </c>
      <c r="C165" t="b">
        <v>1</v>
      </c>
      <c r="D165">
        <v>8146</v>
      </c>
      <c r="E165">
        <v>8111</v>
      </c>
      <c r="F165">
        <v>280.60000000000002</v>
      </c>
      <c r="G165">
        <v>190.4</v>
      </c>
      <c r="H165">
        <v>1.4737396</v>
      </c>
      <c r="I165">
        <v>-0.47373956</v>
      </c>
      <c r="J165">
        <v>0.40424627000000002</v>
      </c>
    </row>
    <row r="166" spans="1:10" x14ac:dyDescent="0.3">
      <c r="A166">
        <v>164</v>
      </c>
      <c r="B166">
        <v>3489</v>
      </c>
      <c r="C166" t="b">
        <v>1</v>
      </c>
      <c r="D166">
        <v>8163</v>
      </c>
      <c r="E166">
        <v>8146</v>
      </c>
      <c r="F166">
        <v>282.53332999999998</v>
      </c>
      <c r="G166">
        <v>190.4</v>
      </c>
      <c r="H166">
        <v>1.4838935</v>
      </c>
      <c r="I166">
        <v>-0.48389357</v>
      </c>
      <c r="J166">
        <v>0.40259372999999998</v>
      </c>
    </row>
    <row r="167" spans="1:10" x14ac:dyDescent="0.3">
      <c r="A167">
        <v>165</v>
      </c>
      <c r="B167">
        <v>3505</v>
      </c>
      <c r="C167" t="b">
        <v>1</v>
      </c>
      <c r="D167">
        <v>8135</v>
      </c>
      <c r="E167">
        <v>8105</v>
      </c>
      <c r="F167">
        <v>284.46667000000002</v>
      </c>
      <c r="G167">
        <v>190</v>
      </c>
      <c r="H167">
        <v>1.497193</v>
      </c>
      <c r="I167">
        <v>-0.49719303999999998</v>
      </c>
      <c r="J167">
        <v>0.40044963</v>
      </c>
    </row>
    <row r="168" spans="1:10" x14ac:dyDescent="0.3">
      <c r="A168">
        <v>166</v>
      </c>
      <c r="B168">
        <v>3537</v>
      </c>
      <c r="C168" t="b">
        <v>1</v>
      </c>
      <c r="D168">
        <v>8158</v>
      </c>
      <c r="E168">
        <v>8105</v>
      </c>
      <c r="F168">
        <v>286.39999999999998</v>
      </c>
      <c r="G168">
        <v>189.6</v>
      </c>
      <c r="H168">
        <v>1.5105485000000001</v>
      </c>
      <c r="I168">
        <v>-0.51054840000000001</v>
      </c>
      <c r="J168">
        <v>0.39831933000000003</v>
      </c>
    </row>
    <row r="169" spans="1:10" x14ac:dyDescent="0.3">
      <c r="A169">
        <v>167</v>
      </c>
      <c r="B169">
        <v>3569</v>
      </c>
      <c r="C169" t="b">
        <v>1</v>
      </c>
      <c r="D169">
        <v>8129</v>
      </c>
      <c r="E169">
        <v>8134</v>
      </c>
      <c r="F169">
        <v>288.33334000000002</v>
      </c>
      <c r="G169">
        <v>189.6</v>
      </c>
      <c r="H169">
        <v>1.5207454</v>
      </c>
      <c r="I169">
        <v>-0.52074545999999999</v>
      </c>
      <c r="J169">
        <v>0.39670803999999998</v>
      </c>
    </row>
    <row r="170" spans="1:10" x14ac:dyDescent="0.3">
      <c r="A170">
        <v>168</v>
      </c>
      <c r="B170">
        <v>3600</v>
      </c>
      <c r="C170" t="b">
        <v>1</v>
      </c>
      <c r="D170">
        <v>8129</v>
      </c>
      <c r="E170">
        <v>8123</v>
      </c>
      <c r="F170">
        <v>289.53332999999998</v>
      </c>
      <c r="G170">
        <v>190.4</v>
      </c>
      <c r="H170">
        <v>1.5206583</v>
      </c>
      <c r="I170">
        <v>-0.52065824999999999</v>
      </c>
      <c r="J170">
        <v>0.39672178000000002</v>
      </c>
    </row>
    <row r="171" spans="1:10" x14ac:dyDescent="0.3">
      <c r="A171">
        <v>169</v>
      </c>
      <c r="B171">
        <v>3632</v>
      </c>
      <c r="C171" t="b">
        <v>1</v>
      </c>
      <c r="D171">
        <v>8100</v>
      </c>
      <c r="E171">
        <v>8111</v>
      </c>
      <c r="F171">
        <v>289.93331999999998</v>
      </c>
      <c r="G171">
        <v>190.4</v>
      </c>
      <c r="H171">
        <v>1.5227591</v>
      </c>
      <c r="I171">
        <v>-0.52275910000000003</v>
      </c>
      <c r="J171">
        <v>0.3963914</v>
      </c>
    </row>
    <row r="172" spans="1:10" x14ac:dyDescent="0.3">
      <c r="A172">
        <v>170</v>
      </c>
      <c r="B172">
        <v>3664</v>
      </c>
      <c r="C172" t="b">
        <v>1</v>
      </c>
      <c r="D172">
        <v>8117</v>
      </c>
      <c r="E172">
        <v>8099</v>
      </c>
      <c r="F172">
        <v>290.33334000000002</v>
      </c>
      <c r="G172">
        <v>191.2</v>
      </c>
      <c r="H172">
        <v>1.5184797999999999</v>
      </c>
      <c r="I172">
        <v>-0.51847989999999999</v>
      </c>
      <c r="J172">
        <v>0.39706491999999999</v>
      </c>
    </row>
    <row r="173" spans="1:10" x14ac:dyDescent="0.3">
      <c r="A173">
        <v>171</v>
      </c>
      <c r="B173">
        <v>3680</v>
      </c>
      <c r="C173" t="b">
        <v>1</v>
      </c>
      <c r="D173">
        <v>8140</v>
      </c>
      <c r="E173">
        <v>8105</v>
      </c>
      <c r="F173">
        <v>291.13333</v>
      </c>
      <c r="G173">
        <v>192</v>
      </c>
      <c r="H173">
        <v>1.5163194</v>
      </c>
      <c r="I173">
        <v>-0.51631945000000001</v>
      </c>
      <c r="J173">
        <v>0.39740583000000002</v>
      </c>
    </row>
    <row r="174" spans="1:10" x14ac:dyDescent="0.3">
      <c r="A174">
        <v>172</v>
      </c>
      <c r="B174">
        <v>3695</v>
      </c>
      <c r="C174" t="b">
        <v>1</v>
      </c>
      <c r="D174">
        <v>8129</v>
      </c>
      <c r="E174">
        <v>8105</v>
      </c>
      <c r="F174">
        <v>291.53332999999998</v>
      </c>
      <c r="G174">
        <v>192.4</v>
      </c>
      <c r="H174">
        <v>1.5152460000000001</v>
      </c>
      <c r="I174">
        <v>-0.51524603000000002</v>
      </c>
      <c r="J174">
        <v>0.39757540000000002</v>
      </c>
    </row>
    <row r="175" spans="1:10" x14ac:dyDescent="0.3">
      <c r="A175">
        <v>173</v>
      </c>
      <c r="B175">
        <v>3711</v>
      </c>
      <c r="C175" t="b">
        <v>1</v>
      </c>
      <c r="D175">
        <v>8129</v>
      </c>
      <c r="E175">
        <v>8111</v>
      </c>
      <c r="F175">
        <v>292.33334000000002</v>
      </c>
      <c r="G175">
        <v>192.8</v>
      </c>
      <c r="H175">
        <v>1.5162518</v>
      </c>
      <c r="I175">
        <v>-0.51625173999999996</v>
      </c>
      <c r="J175">
        <v>0.39741650000000001</v>
      </c>
    </row>
    <row r="176" spans="1:10" x14ac:dyDescent="0.3">
      <c r="A176">
        <v>174</v>
      </c>
      <c r="B176">
        <v>3727</v>
      </c>
      <c r="C176" t="b">
        <v>1</v>
      </c>
      <c r="D176">
        <v>8135</v>
      </c>
      <c r="E176">
        <v>8099</v>
      </c>
      <c r="F176">
        <v>293.13333</v>
      </c>
      <c r="G176">
        <v>193.2</v>
      </c>
      <c r="H176">
        <v>1.5172532999999999</v>
      </c>
      <c r="I176">
        <v>-0.51725330000000003</v>
      </c>
      <c r="J176">
        <v>0.39725840000000001</v>
      </c>
    </row>
    <row r="177" spans="1:10" x14ac:dyDescent="0.3">
      <c r="A177">
        <v>175</v>
      </c>
      <c r="B177">
        <v>3743</v>
      </c>
      <c r="C177" t="b">
        <v>1</v>
      </c>
      <c r="D177">
        <v>8146</v>
      </c>
      <c r="E177">
        <v>8099</v>
      </c>
      <c r="F177">
        <v>293.93331999999998</v>
      </c>
      <c r="G177">
        <v>192.8</v>
      </c>
      <c r="H177">
        <v>1.5245504000000001</v>
      </c>
      <c r="I177">
        <v>-0.52455039999999997</v>
      </c>
      <c r="J177">
        <v>0.39611012000000001</v>
      </c>
    </row>
    <row r="178" spans="1:10" x14ac:dyDescent="0.3">
      <c r="A178">
        <v>176</v>
      </c>
      <c r="B178">
        <v>3759</v>
      </c>
      <c r="C178" t="b">
        <v>1</v>
      </c>
      <c r="D178">
        <v>8129</v>
      </c>
      <c r="E178">
        <v>8099</v>
      </c>
      <c r="F178">
        <v>293.93331999999998</v>
      </c>
      <c r="G178">
        <v>192</v>
      </c>
      <c r="H178">
        <v>1.5309026999999999</v>
      </c>
      <c r="I178">
        <v>-0.53090269999999995</v>
      </c>
      <c r="J178">
        <v>0.39511594</v>
      </c>
    </row>
    <row r="179" spans="1:10" x14ac:dyDescent="0.3">
      <c r="A179">
        <v>177</v>
      </c>
      <c r="B179">
        <v>3775</v>
      </c>
      <c r="C179" t="b">
        <v>1</v>
      </c>
      <c r="D179">
        <v>8094</v>
      </c>
      <c r="E179">
        <v>8099</v>
      </c>
      <c r="F179">
        <v>294.33334000000002</v>
      </c>
      <c r="G179">
        <v>192</v>
      </c>
      <c r="H179">
        <v>1.5329862000000001</v>
      </c>
      <c r="I179">
        <v>-0.53298615999999999</v>
      </c>
      <c r="J179">
        <v>0.39479094999999997</v>
      </c>
    </row>
    <row r="180" spans="1:10" x14ac:dyDescent="0.3">
      <c r="A180">
        <v>178</v>
      </c>
      <c r="B180">
        <v>3790</v>
      </c>
      <c r="C180" t="b">
        <v>1</v>
      </c>
      <c r="D180">
        <v>8117</v>
      </c>
      <c r="E180">
        <v>8111</v>
      </c>
      <c r="F180">
        <v>294.33334000000002</v>
      </c>
      <c r="G180">
        <v>192</v>
      </c>
      <c r="H180">
        <v>1.5329862000000001</v>
      </c>
      <c r="I180">
        <v>-0.53298615999999999</v>
      </c>
      <c r="J180">
        <v>0.39479094999999997</v>
      </c>
    </row>
    <row r="181" spans="1:10" x14ac:dyDescent="0.3">
      <c r="A181">
        <v>179</v>
      </c>
      <c r="B181">
        <v>3806</v>
      </c>
      <c r="C181" t="b">
        <v>1</v>
      </c>
      <c r="D181">
        <v>8123</v>
      </c>
      <c r="E181">
        <v>8093</v>
      </c>
      <c r="F181">
        <v>292.8</v>
      </c>
      <c r="G181">
        <v>191.2</v>
      </c>
      <c r="H181">
        <v>1.5313808</v>
      </c>
      <c r="I181">
        <v>-0.53138070000000004</v>
      </c>
      <c r="J181">
        <v>0.39504131999999997</v>
      </c>
    </row>
    <row r="182" spans="1:10" x14ac:dyDescent="0.3">
      <c r="A182">
        <v>180</v>
      </c>
      <c r="B182">
        <v>3822</v>
      </c>
      <c r="C182" t="b">
        <v>1</v>
      </c>
      <c r="D182">
        <v>8129</v>
      </c>
      <c r="E182">
        <v>8117</v>
      </c>
      <c r="F182">
        <v>291.26666</v>
      </c>
      <c r="G182">
        <v>190.8</v>
      </c>
      <c r="H182">
        <v>1.5265548</v>
      </c>
      <c r="I182">
        <v>-0.52655479999999999</v>
      </c>
      <c r="J182">
        <v>0.39579589999999998</v>
      </c>
    </row>
    <row r="183" spans="1:10" x14ac:dyDescent="0.3">
      <c r="A183">
        <v>181</v>
      </c>
      <c r="B183">
        <v>3838</v>
      </c>
      <c r="C183" t="b">
        <v>1</v>
      </c>
      <c r="D183">
        <v>8111</v>
      </c>
      <c r="E183">
        <v>8117</v>
      </c>
      <c r="F183">
        <v>289.33334000000002</v>
      </c>
      <c r="G183">
        <v>191.2</v>
      </c>
      <c r="H183">
        <v>1.5132498000000001</v>
      </c>
      <c r="I183">
        <v>-0.51324974999999995</v>
      </c>
      <c r="J183">
        <v>0.39789121999999999</v>
      </c>
    </row>
    <row r="184" spans="1:10" x14ac:dyDescent="0.3">
      <c r="A184">
        <v>182</v>
      </c>
      <c r="B184">
        <v>3854</v>
      </c>
      <c r="C184" t="b">
        <v>1</v>
      </c>
      <c r="D184">
        <v>8117</v>
      </c>
      <c r="E184">
        <v>8105</v>
      </c>
      <c r="F184">
        <v>287.39999999999998</v>
      </c>
      <c r="G184">
        <v>191.2</v>
      </c>
      <c r="H184">
        <v>1.5031380999999999</v>
      </c>
      <c r="I184">
        <v>-0.50313806999999999</v>
      </c>
      <c r="J184">
        <v>0.39949855000000001</v>
      </c>
    </row>
    <row r="185" spans="1:10" x14ac:dyDescent="0.3">
      <c r="A185">
        <v>183</v>
      </c>
      <c r="B185">
        <v>3885</v>
      </c>
      <c r="C185" t="b">
        <v>1</v>
      </c>
      <c r="D185">
        <v>8100</v>
      </c>
      <c r="E185">
        <v>8099</v>
      </c>
      <c r="F185">
        <v>286.2</v>
      </c>
      <c r="G185">
        <v>190</v>
      </c>
      <c r="H185">
        <v>1.5063158000000001</v>
      </c>
      <c r="I185">
        <v>-0.50631579999999998</v>
      </c>
      <c r="J185">
        <v>0.39899200000000001</v>
      </c>
    </row>
    <row r="186" spans="1:10" x14ac:dyDescent="0.3">
      <c r="A186">
        <v>184</v>
      </c>
      <c r="B186">
        <v>3917</v>
      </c>
      <c r="C186" t="b">
        <v>1</v>
      </c>
      <c r="D186">
        <v>8094</v>
      </c>
      <c r="E186">
        <v>8099</v>
      </c>
      <c r="F186">
        <v>285</v>
      </c>
      <c r="G186">
        <v>189.6</v>
      </c>
      <c r="H186">
        <v>1.5031645</v>
      </c>
      <c r="I186">
        <v>-0.50316450000000001</v>
      </c>
      <c r="J186">
        <v>0.39949432000000001</v>
      </c>
    </row>
    <row r="187" spans="1:10" x14ac:dyDescent="0.3">
      <c r="A187">
        <v>185</v>
      </c>
      <c r="B187">
        <v>3949</v>
      </c>
      <c r="C187" t="b">
        <v>1</v>
      </c>
      <c r="D187">
        <v>8094</v>
      </c>
      <c r="E187">
        <v>8105</v>
      </c>
      <c r="F187">
        <v>283.06668000000002</v>
      </c>
      <c r="G187">
        <v>189.2</v>
      </c>
      <c r="H187">
        <v>1.4961241000000001</v>
      </c>
      <c r="I187">
        <v>-0.49612412</v>
      </c>
      <c r="J187">
        <v>0.40062112</v>
      </c>
    </row>
    <row r="188" spans="1:10" x14ac:dyDescent="0.3">
      <c r="A188">
        <v>186</v>
      </c>
      <c r="B188">
        <v>3965</v>
      </c>
      <c r="C188" t="b">
        <v>1</v>
      </c>
      <c r="D188">
        <v>8117</v>
      </c>
      <c r="E188">
        <v>8117</v>
      </c>
      <c r="F188">
        <v>281.13333</v>
      </c>
      <c r="G188">
        <v>188.8</v>
      </c>
      <c r="H188">
        <v>1.4890536000000001</v>
      </c>
      <c r="I188">
        <v>-0.48905364000000001</v>
      </c>
      <c r="J188">
        <v>0.40175912000000003</v>
      </c>
    </row>
    <row r="189" spans="1:10" x14ac:dyDescent="0.3">
      <c r="A189">
        <v>187</v>
      </c>
      <c r="B189">
        <v>3981</v>
      </c>
      <c r="C189" t="b">
        <v>1</v>
      </c>
      <c r="D189">
        <v>8111</v>
      </c>
      <c r="E189">
        <v>8134</v>
      </c>
      <c r="F189">
        <v>279.2</v>
      </c>
      <c r="G189">
        <v>188.8</v>
      </c>
      <c r="H189">
        <v>1.4788136000000001</v>
      </c>
      <c r="I189">
        <v>-0.47881360000000001</v>
      </c>
      <c r="J189">
        <v>0.40341880000000002</v>
      </c>
    </row>
    <row r="190" spans="1:10" x14ac:dyDescent="0.3">
      <c r="A190">
        <v>188</v>
      </c>
      <c r="B190">
        <v>4013</v>
      </c>
      <c r="C190" t="b">
        <v>1</v>
      </c>
      <c r="D190">
        <v>8146</v>
      </c>
      <c r="E190">
        <v>8111</v>
      </c>
      <c r="F190">
        <v>278</v>
      </c>
      <c r="G190">
        <v>189.2</v>
      </c>
      <c r="H190">
        <v>1.4693445999999999</v>
      </c>
      <c r="I190">
        <v>-0.46934464999999997</v>
      </c>
      <c r="J190">
        <v>0.40496573000000002</v>
      </c>
    </row>
    <row r="191" spans="1:10" x14ac:dyDescent="0.3">
      <c r="A191">
        <v>189</v>
      </c>
      <c r="B191">
        <v>4044</v>
      </c>
      <c r="C191" t="b">
        <v>1</v>
      </c>
      <c r="D191">
        <v>8100</v>
      </c>
      <c r="E191">
        <v>8093</v>
      </c>
      <c r="F191">
        <v>276.8</v>
      </c>
      <c r="G191">
        <v>189.6</v>
      </c>
      <c r="H191">
        <v>1.4599154999999999</v>
      </c>
      <c r="I191">
        <v>-0.45991549999999998</v>
      </c>
      <c r="J191">
        <v>0.40651804000000002</v>
      </c>
    </row>
    <row r="192" spans="1:10" x14ac:dyDescent="0.3">
      <c r="A192">
        <v>190</v>
      </c>
      <c r="B192">
        <v>4061</v>
      </c>
      <c r="C192" t="b">
        <v>1</v>
      </c>
      <c r="D192">
        <v>8129</v>
      </c>
      <c r="E192">
        <v>8099</v>
      </c>
      <c r="F192">
        <v>275.60000000000002</v>
      </c>
      <c r="G192">
        <v>190</v>
      </c>
      <c r="H192">
        <v>1.4505264</v>
      </c>
      <c r="I192">
        <v>-0.45052636000000001</v>
      </c>
      <c r="J192">
        <v>0.40807559999999998</v>
      </c>
    </row>
    <row r="193" spans="1:10" x14ac:dyDescent="0.3">
      <c r="A193">
        <v>191</v>
      </c>
      <c r="B193">
        <v>4091</v>
      </c>
      <c r="C193" t="b">
        <v>1</v>
      </c>
      <c r="D193">
        <v>8100</v>
      </c>
      <c r="E193">
        <v>8129</v>
      </c>
      <c r="F193">
        <v>274.39999999999998</v>
      </c>
      <c r="G193">
        <v>190.8</v>
      </c>
      <c r="H193">
        <v>1.4381550000000001</v>
      </c>
      <c r="I193">
        <v>-0.43815507999999997</v>
      </c>
      <c r="J193">
        <v>0.41014618000000003</v>
      </c>
    </row>
    <row r="194" spans="1:10" x14ac:dyDescent="0.3">
      <c r="A194">
        <v>192</v>
      </c>
      <c r="B194">
        <v>4107</v>
      </c>
      <c r="C194" t="b">
        <v>1</v>
      </c>
      <c r="D194">
        <v>8106</v>
      </c>
      <c r="E194">
        <v>8111</v>
      </c>
      <c r="F194">
        <v>272.86667</v>
      </c>
      <c r="G194">
        <v>191.6</v>
      </c>
      <c r="H194">
        <v>1.4241474999999999</v>
      </c>
      <c r="I194">
        <v>-0.42414750000000001</v>
      </c>
      <c r="J194">
        <v>0.41251615000000003</v>
      </c>
    </row>
    <row r="195" spans="1:10" x14ac:dyDescent="0.3">
      <c r="A195">
        <v>193</v>
      </c>
      <c r="B195">
        <v>4123</v>
      </c>
      <c r="C195" t="b">
        <v>1</v>
      </c>
      <c r="D195">
        <v>8094</v>
      </c>
      <c r="E195">
        <v>8099</v>
      </c>
      <c r="F195">
        <v>270.93331999999998</v>
      </c>
      <c r="G195">
        <v>191.6</v>
      </c>
      <c r="H195">
        <v>1.4140569000000001</v>
      </c>
      <c r="I195">
        <v>-0.41405695999999997</v>
      </c>
      <c r="J195">
        <v>0.41424044999999998</v>
      </c>
    </row>
    <row r="196" spans="1:10" x14ac:dyDescent="0.3">
      <c r="A196">
        <v>194</v>
      </c>
      <c r="B196">
        <v>4139</v>
      </c>
      <c r="C196" t="b">
        <v>1</v>
      </c>
      <c r="D196">
        <v>8135</v>
      </c>
      <c r="E196">
        <v>8105</v>
      </c>
      <c r="F196">
        <v>269.8</v>
      </c>
      <c r="G196">
        <v>192</v>
      </c>
      <c r="H196">
        <v>1.4052081999999999</v>
      </c>
      <c r="I196">
        <v>-0.40520825999999999</v>
      </c>
      <c r="J196">
        <v>0.41576442000000002</v>
      </c>
    </row>
    <row r="197" spans="1:10" x14ac:dyDescent="0.3">
      <c r="A197">
        <v>195</v>
      </c>
      <c r="B197">
        <v>4154</v>
      </c>
      <c r="C197" t="b">
        <v>1</v>
      </c>
      <c r="D197">
        <v>8140</v>
      </c>
      <c r="E197">
        <v>8099</v>
      </c>
      <c r="F197">
        <v>268.66665999999998</v>
      </c>
      <c r="G197">
        <v>192.4</v>
      </c>
      <c r="H197">
        <v>1.3963964</v>
      </c>
      <c r="I197">
        <v>-0.39639639999999998</v>
      </c>
      <c r="J197">
        <v>0.41729322000000002</v>
      </c>
    </row>
    <row r="198" spans="1:10" x14ac:dyDescent="0.3">
      <c r="A198">
        <v>196</v>
      </c>
      <c r="B198">
        <v>4187</v>
      </c>
      <c r="C198" t="b">
        <v>1</v>
      </c>
      <c r="D198">
        <v>8094</v>
      </c>
      <c r="E198">
        <v>8111</v>
      </c>
      <c r="F198">
        <v>267.93331999999998</v>
      </c>
      <c r="G198">
        <v>192</v>
      </c>
      <c r="H198">
        <v>1.395486</v>
      </c>
      <c r="I198">
        <v>-0.39548602999999999</v>
      </c>
      <c r="J198">
        <v>0.41745183000000002</v>
      </c>
    </row>
    <row r="199" spans="1:10" x14ac:dyDescent="0.3">
      <c r="A199">
        <v>197</v>
      </c>
      <c r="B199">
        <v>4219</v>
      </c>
      <c r="C199" t="b">
        <v>1</v>
      </c>
      <c r="D199">
        <v>8135</v>
      </c>
      <c r="E199">
        <v>8123</v>
      </c>
      <c r="F199">
        <v>269.13333</v>
      </c>
      <c r="G199">
        <v>191.6</v>
      </c>
      <c r="H199">
        <v>1.4046624999999999</v>
      </c>
      <c r="I199">
        <v>-0.40466243000000002</v>
      </c>
      <c r="J199">
        <v>0.41585877999999998</v>
      </c>
    </row>
    <row r="200" spans="1:10" x14ac:dyDescent="0.3">
      <c r="A200">
        <v>198</v>
      </c>
      <c r="B200">
        <v>4251</v>
      </c>
      <c r="C200" t="b">
        <v>1</v>
      </c>
      <c r="D200">
        <v>8106</v>
      </c>
      <c r="E200">
        <v>8105</v>
      </c>
      <c r="F200">
        <v>270.33334000000002</v>
      </c>
      <c r="G200">
        <v>191.6</v>
      </c>
      <c r="H200">
        <v>1.4109255000000001</v>
      </c>
      <c r="I200">
        <v>-0.41092553999999998</v>
      </c>
      <c r="J200">
        <v>0.41477847000000001</v>
      </c>
    </row>
    <row r="201" spans="1:10" x14ac:dyDescent="0.3">
      <c r="A201">
        <v>199</v>
      </c>
      <c r="B201">
        <v>4267</v>
      </c>
      <c r="C201" t="b">
        <v>1</v>
      </c>
      <c r="D201">
        <v>8123</v>
      </c>
      <c r="E201">
        <v>8117</v>
      </c>
      <c r="F201">
        <v>271.13333</v>
      </c>
      <c r="G201">
        <v>192</v>
      </c>
      <c r="H201">
        <v>1.4121528000000001</v>
      </c>
      <c r="I201">
        <v>-0.41215277</v>
      </c>
      <c r="J201">
        <v>0.41456744000000001</v>
      </c>
    </row>
    <row r="202" spans="1:10" x14ac:dyDescent="0.3">
      <c r="A202">
        <v>200</v>
      </c>
      <c r="B202">
        <v>4298</v>
      </c>
      <c r="C202" t="b">
        <v>1</v>
      </c>
      <c r="D202">
        <v>8111</v>
      </c>
      <c r="E202">
        <v>8111</v>
      </c>
      <c r="F202">
        <v>271.86667</v>
      </c>
      <c r="G202">
        <v>192.4</v>
      </c>
      <c r="H202">
        <v>1.4130285</v>
      </c>
      <c r="I202">
        <v>-0.41302847999999998</v>
      </c>
      <c r="J202">
        <v>0.41441699999999998</v>
      </c>
    </row>
    <row r="203" spans="1:10" x14ac:dyDescent="0.3">
      <c r="A203">
        <v>201</v>
      </c>
      <c r="B203">
        <v>4314</v>
      </c>
      <c r="C203" t="b">
        <v>1</v>
      </c>
      <c r="D203">
        <v>8100</v>
      </c>
      <c r="E203">
        <v>8117</v>
      </c>
      <c r="F203">
        <v>272.60000000000002</v>
      </c>
      <c r="G203">
        <v>193.2</v>
      </c>
      <c r="H203">
        <v>1.4109731999999999</v>
      </c>
      <c r="I203">
        <v>-0.41097313000000002</v>
      </c>
      <c r="J203">
        <v>0.41477029999999998</v>
      </c>
    </row>
    <row r="204" spans="1:10" x14ac:dyDescent="0.3">
      <c r="A204">
        <v>202</v>
      </c>
      <c r="B204">
        <v>4330</v>
      </c>
      <c r="C204" t="b">
        <v>1</v>
      </c>
      <c r="D204">
        <v>8117</v>
      </c>
      <c r="E204">
        <v>8111</v>
      </c>
      <c r="F204">
        <v>273.33334000000002</v>
      </c>
      <c r="G204">
        <v>193.6</v>
      </c>
      <c r="H204">
        <v>1.4118457</v>
      </c>
      <c r="I204">
        <v>-0.41184574000000002</v>
      </c>
      <c r="J204">
        <v>0.41462021999999998</v>
      </c>
    </row>
    <row r="205" spans="1:10" x14ac:dyDescent="0.3">
      <c r="A205">
        <v>203</v>
      </c>
      <c r="B205">
        <v>4346</v>
      </c>
      <c r="C205" t="b">
        <v>1</v>
      </c>
      <c r="D205">
        <v>8140</v>
      </c>
      <c r="E205">
        <v>8105</v>
      </c>
      <c r="F205">
        <v>273.73334</v>
      </c>
      <c r="G205">
        <v>193.6</v>
      </c>
      <c r="H205">
        <v>1.4139117999999999</v>
      </c>
      <c r="I205">
        <v>-0.41391181999999999</v>
      </c>
      <c r="J205">
        <v>0.41426532999999999</v>
      </c>
    </row>
    <row r="206" spans="1:10" x14ac:dyDescent="0.3">
      <c r="A206">
        <v>204</v>
      </c>
      <c r="B206">
        <v>4362</v>
      </c>
      <c r="C206" t="b">
        <v>1</v>
      </c>
      <c r="D206">
        <v>8100</v>
      </c>
      <c r="E206">
        <v>8099</v>
      </c>
      <c r="F206">
        <v>273.73334</v>
      </c>
      <c r="G206">
        <v>193.6</v>
      </c>
      <c r="H206">
        <v>1.4139117999999999</v>
      </c>
      <c r="I206">
        <v>-0.41391181999999999</v>
      </c>
      <c r="J206">
        <v>0.41426532999999999</v>
      </c>
    </row>
    <row r="207" spans="1:10" x14ac:dyDescent="0.3">
      <c r="A207">
        <v>205</v>
      </c>
      <c r="B207">
        <v>4378</v>
      </c>
      <c r="C207" t="b">
        <v>1</v>
      </c>
      <c r="D207">
        <v>8106</v>
      </c>
      <c r="E207">
        <v>8105</v>
      </c>
      <c r="F207">
        <v>273</v>
      </c>
      <c r="G207">
        <v>193.2</v>
      </c>
      <c r="H207">
        <v>1.4130434999999999</v>
      </c>
      <c r="I207">
        <v>-0.41304350000000001</v>
      </c>
      <c r="J207">
        <v>0.41441440000000002</v>
      </c>
    </row>
    <row r="208" spans="1:10" x14ac:dyDescent="0.3">
      <c r="A208">
        <v>206</v>
      </c>
      <c r="B208">
        <v>4394</v>
      </c>
      <c r="C208" t="b">
        <v>1</v>
      </c>
      <c r="D208">
        <v>8129</v>
      </c>
      <c r="E208">
        <v>8111</v>
      </c>
      <c r="F208">
        <v>273.39999999999998</v>
      </c>
      <c r="G208">
        <v>192.8</v>
      </c>
      <c r="H208">
        <v>1.4180497000000001</v>
      </c>
      <c r="I208">
        <v>-0.41804975</v>
      </c>
      <c r="J208">
        <v>0.41355639999999999</v>
      </c>
    </row>
    <row r="209" spans="1:10" x14ac:dyDescent="0.3">
      <c r="A209">
        <v>207</v>
      </c>
      <c r="B209">
        <v>4425</v>
      </c>
      <c r="C209" t="b">
        <v>1</v>
      </c>
      <c r="D209">
        <v>8123</v>
      </c>
      <c r="E209">
        <v>8087</v>
      </c>
      <c r="F209">
        <v>274.53332999999998</v>
      </c>
      <c r="G209">
        <v>192.4</v>
      </c>
      <c r="H209">
        <v>1.4268885</v>
      </c>
      <c r="I209">
        <v>-0.42688843999999998</v>
      </c>
      <c r="J209">
        <v>0.41205025000000001</v>
      </c>
    </row>
    <row r="210" spans="1:10" x14ac:dyDescent="0.3">
      <c r="A210">
        <v>208</v>
      </c>
      <c r="B210">
        <v>4441</v>
      </c>
      <c r="C210" t="b">
        <v>1</v>
      </c>
      <c r="D210">
        <v>8117</v>
      </c>
      <c r="E210">
        <v>8117</v>
      </c>
      <c r="F210">
        <v>275.66665999999998</v>
      </c>
      <c r="G210">
        <v>192.8</v>
      </c>
      <c r="H210">
        <v>1.4298062</v>
      </c>
      <c r="I210">
        <v>-0.42980629999999997</v>
      </c>
      <c r="J210">
        <v>0.41155543999999999</v>
      </c>
    </row>
    <row r="211" spans="1:10" x14ac:dyDescent="0.3">
      <c r="A211">
        <v>209</v>
      </c>
      <c r="B211">
        <v>4457</v>
      </c>
      <c r="C211" t="b">
        <v>1</v>
      </c>
      <c r="D211">
        <v>8111</v>
      </c>
      <c r="E211">
        <v>8099</v>
      </c>
      <c r="F211">
        <v>276.39999999999998</v>
      </c>
      <c r="G211">
        <v>192.8</v>
      </c>
      <c r="H211">
        <v>1.4336100000000001</v>
      </c>
      <c r="I211">
        <v>-0.43360989999999999</v>
      </c>
      <c r="J211">
        <v>0.41091220000000001</v>
      </c>
    </row>
    <row r="212" spans="1:10" x14ac:dyDescent="0.3">
      <c r="A212">
        <v>210</v>
      </c>
      <c r="B212">
        <v>4473</v>
      </c>
      <c r="C212" t="b">
        <v>1</v>
      </c>
      <c r="D212">
        <v>8117</v>
      </c>
      <c r="E212">
        <v>8111</v>
      </c>
      <c r="F212">
        <v>277.13333</v>
      </c>
      <c r="G212">
        <v>193.2</v>
      </c>
      <c r="H212">
        <v>1.4344375</v>
      </c>
      <c r="I212">
        <v>-0.43443754000000001</v>
      </c>
      <c r="J212">
        <v>0.41077249999999998</v>
      </c>
    </row>
    <row r="213" spans="1:10" x14ac:dyDescent="0.3">
      <c r="A213">
        <v>211</v>
      </c>
      <c r="B213">
        <v>4505</v>
      </c>
      <c r="C213" t="b">
        <v>1</v>
      </c>
      <c r="D213">
        <v>8106</v>
      </c>
      <c r="E213">
        <v>8099</v>
      </c>
      <c r="F213">
        <v>277.86667</v>
      </c>
      <c r="G213">
        <v>192.8</v>
      </c>
      <c r="H213">
        <v>1.4412172000000001</v>
      </c>
      <c r="I213">
        <v>-0.44121712000000002</v>
      </c>
      <c r="J213">
        <v>0.40963173000000003</v>
      </c>
    </row>
    <row r="214" spans="1:10" x14ac:dyDescent="0.3">
      <c r="A214">
        <v>212</v>
      </c>
      <c r="B214">
        <v>4521</v>
      </c>
      <c r="C214" t="b">
        <v>1</v>
      </c>
      <c r="D214">
        <v>8111</v>
      </c>
      <c r="E214">
        <v>8105</v>
      </c>
      <c r="F214">
        <v>276.26666</v>
      </c>
      <c r="G214">
        <v>192.8</v>
      </c>
      <c r="H214">
        <v>1.4329183000000001</v>
      </c>
      <c r="I214">
        <v>-0.43291834000000001</v>
      </c>
      <c r="J214">
        <v>0.41102899999999998</v>
      </c>
    </row>
    <row r="215" spans="1:10" x14ac:dyDescent="0.3">
      <c r="A215">
        <v>213</v>
      </c>
      <c r="B215">
        <v>4536</v>
      </c>
      <c r="C215" t="b">
        <v>1</v>
      </c>
      <c r="D215">
        <v>8129</v>
      </c>
      <c r="E215">
        <v>8105</v>
      </c>
      <c r="F215">
        <v>274.66665999999998</v>
      </c>
      <c r="G215">
        <v>192.8</v>
      </c>
      <c r="H215">
        <v>1.4246196</v>
      </c>
      <c r="I215">
        <v>-0.42461956000000001</v>
      </c>
      <c r="J215">
        <v>0.41243583</v>
      </c>
    </row>
    <row r="216" spans="1:10" x14ac:dyDescent="0.3">
      <c r="A216">
        <v>214</v>
      </c>
      <c r="B216">
        <v>4568</v>
      </c>
      <c r="C216" t="b">
        <v>1</v>
      </c>
      <c r="D216">
        <v>8129</v>
      </c>
      <c r="E216">
        <v>8087</v>
      </c>
      <c r="F216">
        <v>274.26666</v>
      </c>
      <c r="G216">
        <v>192.4</v>
      </c>
      <c r="H216">
        <v>1.4255024000000001</v>
      </c>
      <c r="I216">
        <v>-0.42550244999999998</v>
      </c>
      <c r="J216">
        <v>0.41228572000000002</v>
      </c>
    </row>
    <row r="217" spans="1:10" x14ac:dyDescent="0.3">
      <c r="A217">
        <v>215</v>
      </c>
      <c r="B217">
        <v>4600</v>
      </c>
      <c r="C217" t="b">
        <v>1</v>
      </c>
      <c r="D217">
        <v>8094</v>
      </c>
      <c r="E217">
        <v>8123</v>
      </c>
      <c r="F217">
        <v>274.26666</v>
      </c>
      <c r="G217">
        <v>192</v>
      </c>
      <c r="H217">
        <v>1.4284722000000001</v>
      </c>
      <c r="I217">
        <v>-0.42847220000000003</v>
      </c>
      <c r="J217">
        <v>0.41178152000000001</v>
      </c>
    </row>
    <row r="218" spans="1:10" x14ac:dyDescent="0.3">
      <c r="A218">
        <v>216</v>
      </c>
      <c r="B218">
        <v>4631</v>
      </c>
      <c r="C218" t="b">
        <v>1</v>
      </c>
      <c r="D218">
        <v>8117</v>
      </c>
      <c r="E218">
        <v>8099</v>
      </c>
      <c r="F218">
        <v>274.66665999999998</v>
      </c>
      <c r="G218">
        <v>191.2</v>
      </c>
      <c r="H218">
        <v>1.4365410999999999</v>
      </c>
      <c r="I218">
        <v>-0.43654110000000002</v>
      </c>
      <c r="J218">
        <v>0.41041788000000001</v>
      </c>
    </row>
    <row r="219" spans="1:10" x14ac:dyDescent="0.3">
      <c r="A219">
        <v>217</v>
      </c>
      <c r="B219">
        <v>4647</v>
      </c>
      <c r="C219" t="b">
        <v>1</v>
      </c>
      <c r="D219">
        <v>8117</v>
      </c>
      <c r="E219">
        <v>8111</v>
      </c>
      <c r="F219">
        <v>275.06668000000002</v>
      </c>
      <c r="G219">
        <v>190.8</v>
      </c>
      <c r="H219">
        <v>1.4416492000000001</v>
      </c>
      <c r="I219">
        <v>-0.44164925999999999</v>
      </c>
      <c r="J219">
        <v>0.40955922</v>
      </c>
    </row>
    <row r="220" spans="1:10" x14ac:dyDescent="0.3">
      <c r="A220">
        <v>218</v>
      </c>
      <c r="B220">
        <v>4663</v>
      </c>
      <c r="C220" t="b">
        <v>1</v>
      </c>
      <c r="D220">
        <v>8146</v>
      </c>
      <c r="E220">
        <v>8099</v>
      </c>
      <c r="F220">
        <v>275.06668000000002</v>
      </c>
      <c r="G220">
        <v>190</v>
      </c>
      <c r="H220">
        <v>1.4477192999999999</v>
      </c>
      <c r="I220">
        <v>-0.44771937000000001</v>
      </c>
      <c r="J220">
        <v>0.40854355999999997</v>
      </c>
    </row>
    <row r="221" spans="1:10" x14ac:dyDescent="0.3">
      <c r="A221">
        <v>219</v>
      </c>
      <c r="B221">
        <v>4679</v>
      </c>
      <c r="C221" t="b">
        <v>1</v>
      </c>
      <c r="D221">
        <v>8117</v>
      </c>
      <c r="E221">
        <v>8105</v>
      </c>
      <c r="F221">
        <v>275.46667000000002</v>
      </c>
      <c r="G221">
        <v>189.6</v>
      </c>
      <c r="H221">
        <v>1.4528832</v>
      </c>
      <c r="I221">
        <v>-0.45288327</v>
      </c>
      <c r="J221">
        <v>0.40768349999999998</v>
      </c>
    </row>
    <row r="222" spans="1:10" x14ac:dyDescent="0.3">
      <c r="A222">
        <v>220</v>
      </c>
      <c r="B222">
        <v>4695</v>
      </c>
      <c r="C222" t="b">
        <v>1</v>
      </c>
      <c r="D222">
        <v>8100</v>
      </c>
      <c r="E222">
        <v>8111</v>
      </c>
      <c r="F222">
        <v>276.2</v>
      </c>
      <c r="G222">
        <v>189.6</v>
      </c>
      <c r="H222">
        <v>1.4567511</v>
      </c>
      <c r="I222">
        <v>-0.45675107999999998</v>
      </c>
      <c r="J222">
        <v>0.40704163999999998</v>
      </c>
    </row>
    <row r="223" spans="1:10" x14ac:dyDescent="0.3">
      <c r="A223">
        <v>221</v>
      </c>
      <c r="B223">
        <v>4726</v>
      </c>
      <c r="C223" t="b">
        <v>1</v>
      </c>
      <c r="D223">
        <v>8123</v>
      </c>
      <c r="E223">
        <v>8099</v>
      </c>
      <c r="F223">
        <v>276.2</v>
      </c>
      <c r="G223">
        <v>189.6</v>
      </c>
      <c r="H223">
        <v>1.4567511</v>
      </c>
      <c r="I223">
        <v>-0.45675107999999998</v>
      </c>
      <c r="J223">
        <v>0.40704163999999998</v>
      </c>
    </row>
    <row r="224" spans="1:10" x14ac:dyDescent="0.3">
      <c r="A224">
        <v>222</v>
      </c>
      <c r="B224">
        <v>4742</v>
      </c>
      <c r="C224" t="b">
        <v>1</v>
      </c>
      <c r="D224">
        <v>8123</v>
      </c>
      <c r="E224">
        <v>8105</v>
      </c>
      <c r="F224">
        <v>276.2</v>
      </c>
      <c r="G224">
        <v>189.6</v>
      </c>
      <c r="H224">
        <v>1.4567511</v>
      </c>
      <c r="I224">
        <v>-0.45675107999999998</v>
      </c>
      <c r="J224">
        <v>0.40704163999999998</v>
      </c>
    </row>
    <row r="225" spans="1:10" x14ac:dyDescent="0.3">
      <c r="A225">
        <v>223</v>
      </c>
      <c r="B225">
        <v>4758</v>
      </c>
      <c r="C225" t="b">
        <v>1</v>
      </c>
      <c r="D225">
        <v>8135</v>
      </c>
      <c r="E225">
        <v>8111</v>
      </c>
      <c r="F225">
        <v>276.60000000000002</v>
      </c>
      <c r="G225">
        <v>189.6</v>
      </c>
      <c r="H225">
        <v>1.4588608000000001</v>
      </c>
      <c r="I225">
        <v>-0.45886074999999998</v>
      </c>
      <c r="J225">
        <v>0.40669242</v>
      </c>
    </row>
    <row r="226" spans="1:10" x14ac:dyDescent="0.3">
      <c r="A226">
        <v>224</v>
      </c>
      <c r="B226">
        <v>4774</v>
      </c>
      <c r="C226" t="b">
        <v>1</v>
      </c>
      <c r="D226">
        <v>8117</v>
      </c>
      <c r="E226">
        <v>8099</v>
      </c>
      <c r="F226">
        <v>277</v>
      </c>
      <c r="G226">
        <v>189.6</v>
      </c>
      <c r="H226">
        <v>1.4609703999999999</v>
      </c>
      <c r="I226">
        <v>-0.46097042999999999</v>
      </c>
      <c r="J226">
        <v>0.40634376</v>
      </c>
    </row>
    <row r="227" spans="1:10" x14ac:dyDescent="0.3">
      <c r="A227">
        <v>225</v>
      </c>
      <c r="B227">
        <v>4790</v>
      </c>
      <c r="C227" t="b">
        <v>1</v>
      </c>
      <c r="D227">
        <v>8111</v>
      </c>
      <c r="E227">
        <v>8129</v>
      </c>
      <c r="F227">
        <v>277.39999999999998</v>
      </c>
      <c r="G227">
        <v>189.2</v>
      </c>
      <c r="H227">
        <v>1.4661734</v>
      </c>
      <c r="I227">
        <v>-0.46617334999999999</v>
      </c>
      <c r="J227">
        <v>0.40548652000000002</v>
      </c>
    </row>
    <row r="228" spans="1:10" x14ac:dyDescent="0.3">
      <c r="A228">
        <v>226</v>
      </c>
      <c r="B228">
        <v>4805</v>
      </c>
      <c r="C228" t="b">
        <v>1</v>
      </c>
      <c r="D228">
        <v>8117</v>
      </c>
      <c r="E228">
        <v>8093</v>
      </c>
      <c r="F228">
        <v>277.39999999999998</v>
      </c>
      <c r="G228">
        <v>189.6</v>
      </c>
      <c r="H228">
        <v>1.4630799999999999</v>
      </c>
      <c r="I228">
        <v>-0.46308008000000001</v>
      </c>
      <c r="J228">
        <v>0.40599573</v>
      </c>
    </row>
    <row r="229" spans="1:10" x14ac:dyDescent="0.3">
      <c r="A229">
        <v>227</v>
      </c>
      <c r="B229">
        <v>4821</v>
      </c>
      <c r="C229" t="b">
        <v>1</v>
      </c>
      <c r="D229">
        <v>8106</v>
      </c>
      <c r="E229">
        <v>8117</v>
      </c>
      <c r="F229">
        <v>277.8</v>
      </c>
      <c r="G229">
        <v>190</v>
      </c>
      <c r="H229">
        <v>1.4621052000000001</v>
      </c>
      <c r="I229">
        <v>-0.46210518</v>
      </c>
      <c r="J229">
        <v>0.40615647999999999</v>
      </c>
    </row>
    <row r="230" spans="1:10" x14ac:dyDescent="0.3">
      <c r="A230">
        <v>228</v>
      </c>
      <c r="B230">
        <v>4837</v>
      </c>
      <c r="C230" t="b">
        <v>1</v>
      </c>
      <c r="D230">
        <v>8152</v>
      </c>
      <c r="E230">
        <v>8105</v>
      </c>
      <c r="F230">
        <v>278.2</v>
      </c>
      <c r="G230">
        <v>190</v>
      </c>
      <c r="H230">
        <v>1.4642105999999999</v>
      </c>
      <c r="I230">
        <v>-0.46421059999999997</v>
      </c>
      <c r="J230">
        <v>0.40580946000000001</v>
      </c>
    </row>
    <row r="231" spans="1:10" x14ac:dyDescent="0.3">
      <c r="A231">
        <v>229</v>
      </c>
      <c r="B231">
        <v>4853</v>
      </c>
      <c r="C231" t="b">
        <v>1</v>
      </c>
      <c r="D231">
        <v>8111</v>
      </c>
      <c r="E231">
        <v>8093</v>
      </c>
      <c r="F231">
        <v>277.8</v>
      </c>
      <c r="G231">
        <v>190</v>
      </c>
      <c r="H231">
        <v>1.4621052000000001</v>
      </c>
      <c r="I231">
        <v>-0.46210518</v>
      </c>
      <c r="J231">
        <v>0.40615647999999999</v>
      </c>
    </row>
    <row r="232" spans="1:10" x14ac:dyDescent="0.3">
      <c r="A232">
        <v>230</v>
      </c>
      <c r="B232">
        <v>4884</v>
      </c>
      <c r="C232" t="b">
        <v>1</v>
      </c>
      <c r="D232">
        <v>8117</v>
      </c>
      <c r="E232">
        <v>8093</v>
      </c>
      <c r="F232">
        <v>278.2</v>
      </c>
      <c r="G232">
        <v>189.2</v>
      </c>
      <c r="H232">
        <v>1.4704018000000001</v>
      </c>
      <c r="I232">
        <v>-0.47040179999999998</v>
      </c>
      <c r="J232">
        <v>0.40479242999999998</v>
      </c>
    </row>
    <row r="233" spans="1:10" x14ac:dyDescent="0.3">
      <c r="A233">
        <v>231</v>
      </c>
      <c r="B233">
        <v>4917</v>
      </c>
      <c r="C233" t="b">
        <v>1</v>
      </c>
      <c r="D233">
        <v>8100</v>
      </c>
      <c r="E233">
        <v>8117</v>
      </c>
      <c r="F233">
        <v>277.8</v>
      </c>
      <c r="G233">
        <v>189.2</v>
      </c>
      <c r="H233">
        <v>1.4682875</v>
      </c>
      <c r="I233">
        <v>-0.46828750000000002</v>
      </c>
      <c r="J233">
        <v>0.40513917999999999</v>
      </c>
    </row>
    <row r="234" spans="1:10" x14ac:dyDescent="0.3">
      <c r="A234">
        <v>232</v>
      </c>
      <c r="B234">
        <v>4949</v>
      </c>
      <c r="C234" t="b">
        <v>1</v>
      </c>
      <c r="D234">
        <v>8071</v>
      </c>
      <c r="E234">
        <v>8105</v>
      </c>
      <c r="F234">
        <v>277.39999999999998</v>
      </c>
      <c r="G234">
        <v>189.2</v>
      </c>
      <c r="H234">
        <v>1.4661734</v>
      </c>
      <c r="I234">
        <v>-0.46617334999999999</v>
      </c>
      <c r="J234">
        <v>0.40548652000000002</v>
      </c>
    </row>
    <row r="235" spans="1:10" x14ac:dyDescent="0.3">
      <c r="A235">
        <v>233</v>
      </c>
      <c r="B235">
        <v>4964</v>
      </c>
      <c r="C235" t="b">
        <v>1</v>
      </c>
      <c r="D235">
        <v>8077</v>
      </c>
      <c r="E235">
        <v>8123</v>
      </c>
      <c r="F235">
        <v>276.26666</v>
      </c>
      <c r="G235">
        <v>189.6</v>
      </c>
      <c r="H235">
        <v>1.4571027000000001</v>
      </c>
      <c r="I235">
        <v>-0.45710260000000003</v>
      </c>
      <c r="J235">
        <v>0.4069834</v>
      </c>
    </row>
    <row r="236" spans="1:10" x14ac:dyDescent="0.3">
      <c r="A236">
        <v>234</v>
      </c>
      <c r="B236">
        <v>4980</v>
      </c>
      <c r="C236" t="b">
        <v>1</v>
      </c>
      <c r="D236">
        <v>8117</v>
      </c>
      <c r="E236">
        <v>8081</v>
      </c>
      <c r="F236">
        <v>275.13333</v>
      </c>
      <c r="G236">
        <v>189.6</v>
      </c>
      <c r="H236">
        <v>1.4511251000000001</v>
      </c>
      <c r="I236">
        <v>-0.45112511999999999</v>
      </c>
      <c r="J236">
        <v>0.4079759</v>
      </c>
    </row>
    <row r="237" spans="1:10" x14ac:dyDescent="0.3">
      <c r="A237">
        <v>235</v>
      </c>
      <c r="B237">
        <v>4996</v>
      </c>
      <c r="C237" t="b">
        <v>1</v>
      </c>
      <c r="D237">
        <v>8100</v>
      </c>
      <c r="E237">
        <v>8105</v>
      </c>
      <c r="F237">
        <v>274</v>
      </c>
      <c r="G237">
        <v>189.6</v>
      </c>
      <c r="H237">
        <v>1.4451476000000001</v>
      </c>
      <c r="I237">
        <v>-0.44514763000000002</v>
      </c>
      <c r="J237">
        <v>0.40897325000000001</v>
      </c>
    </row>
    <row r="238" spans="1:10" x14ac:dyDescent="0.3">
      <c r="A238">
        <v>236</v>
      </c>
      <c r="B238">
        <v>5012</v>
      </c>
      <c r="C238" t="b">
        <v>1</v>
      </c>
      <c r="D238">
        <v>8111</v>
      </c>
      <c r="E238">
        <v>8099</v>
      </c>
      <c r="F238">
        <v>272.86667</v>
      </c>
      <c r="G238">
        <v>189.6</v>
      </c>
      <c r="H238">
        <v>1.4391700999999999</v>
      </c>
      <c r="I238">
        <v>-0.43917014999999998</v>
      </c>
      <c r="J238">
        <v>0.40997549999999999</v>
      </c>
    </row>
    <row r="239" spans="1:10" x14ac:dyDescent="0.3">
      <c r="A239">
        <v>237</v>
      </c>
      <c r="B239">
        <v>5043</v>
      </c>
      <c r="C239" t="b">
        <v>1</v>
      </c>
      <c r="D239">
        <v>8123</v>
      </c>
      <c r="E239">
        <v>8105</v>
      </c>
      <c r="F239">
        <v>272.06668000000002</v>
      </c>
      <c r="G239">
        <v>189.6</v>
      </c>
      <c r="H239">
        <v>1.4349508</v>
      </c>
      <c r="I239">
        <v>-0.43495080000000003</v>
      </c>
      <c r="J239">
        <v>0.41068592999999998</v>
      </c>
    </row>
    <row r="240" spans="1:10" x14ac:dyDescent="0.3">
      <c r="A240">
        <v>238</v>
      </c>
      <c r="B240">
        <v>5059</v>
      </c>
      <c r="C240" t="b">
        <v>1</v>
      </c>
      <c r="D240">
        <v>8135</v>
      </c>
      <c r="E240">
        <v>8093</v>
      </c>
      <c r="F240">
        <v>271.66665999999998</v>
      </c>
      <c r="G240">
        <v>189.2</v>
      </c>
      <c r="H240">
        <v>1.4358702999999999</v>
      </c>
      <c r="I240">
        <v>-0.43587029999999999</v>
      </c>
      <c r="J240">
        <v>0.41053089999999998</v>
      </c>
    </row>
    <row r="241" spans="1:10" x14ac:dyDescent="0.3">
      <c r="A241">
        <v>239</v>
      </c>
      <c r="B241">
        <v>5075</v>
      </c>
      <c r="C241" t="b">
        <v>1</v>
      </c>
      <c r="D241">
        <v>8135</v>
      </c>
      <c r="E241">
        <v>8129</v>
      </c>
      <c r="F241">
        <v>271.66665999999998</v>
      </c>
      <c r="G241">
        <v>189.2</v>
      </c>
      <c r="H241">
        <v>1.4358702999999999</v>
      </c>
      <c r="I241">
        <v>-0.43587029999999999</v>
      </c>
      <c r="J241">
        <v>0.41053089999999998</v>
      </c>
    </row>
    <row r="242" spans="1:10" x14ac:dyDescent="0.3">
      <c r="A242">
        <v>240</v>
      </c>
      <c r="B242">
        <v>5091</v>
      </c>
      <c r="C242" t="b">
        <v>1</v>
      </c>
      <c r="D242">
        <v>8111</v>
      </c>
      <c r="E242">
        <v>8105</v>
      </c>
      <c r="F242">
        <v>271.66665999999998</v>
      </c>
      <c r="G242">
        <v>189.2</v>
      </c>
      <c r="H242">
        <v>1.4358702999999999</v>
      </c>
      <c r="I242">
        <v>-0.43587029999999999</v>
      </c>
      <c r="J242">
        <v>0.41053089999999998</v>
      </c>
    </row>
    <row r="243" spans="1:10" x14ac:dyDescent="0.3">
      <c r="A243">
        <v>241</v>
      </c>
      <c r="B243">
        <v>5106</v>
      </c>
      <c r="C243" t="b">
        <v>1</v>
      </c>
      <c r="D243">
        <v>8083</v>
      </c>
      <c r="E243">
        <v>8075</v>
      </c>
      <c r="F243">
        <v>272.06668000000002</v>
      </c>
      <c r="G243">
        <v>189.2</v>
      </c>
      <c r="H243">
        <v>1.4379846000000001</v>
      </c>
      <c r="I243">
        <v>-0.4379846</v>
      </c>
      <c r="J243">
        <v>0.41017488000000002</v>
      </c>
    </row>
    <row r="244" spans="1:10" x14ac:dyDescent="0.3">
      <c r="A244">
        <v>242</v>
      </c>
      <c r="B244">
        <v>5122</v>
      </c>
      <c r="C244" t="b">
        <v>1</v>
      </c>
      <c r="D244">
        <v>8123</v>
      </c>
      <c r="E244">
        <v>8105</v>
      </c>
      <c r="F244">
        <v>272.46667000000002</v>
      </c>
      <c r="G244">
        <v>188.8</v>
      </c>
      <c r="H244">
        <v>1.4431497</v>
      </c>
      <c r="I244">
        <v>-0.44314975000000001</v>
      </c>
      <c r="J244">
        <v>0.40930771999999999</v>
      </c>
    </row>
    <row r="245" spans="1:10" x14ac:dyDescent="0.3">
      <c r="A245">
        <v>243</v>
      </c>
      <c r="B245">
        <v>5138</v>
      </c>
      <c r="C245" t="b">
        <v>1</v>
      </c>
      <c r="D245">
        <v>8106</v>
      </c>
      <c r="E245">
        <v>8129</v>
      </c>
      <c r="F245">
        <v>272.06668000000002</v>
      </c>
      <c r="G245">
        <v>188.8</v>
      </c>
      <c r="H245">
        <v>1.4410311</v>
      </c>
      <c r="I245">
        <v>-0.44103112999999999</v>
      </c>
      <c r="J245">
        <v>0.40966292999999998</v>
      </c>
    </row>
    <row r="246" spans="1:10" x14ac:dyDescent="0.3">
      <c r="A246">
        <v>244</v>
      </c>
      <c r="B246">
        <v>5154</v>
      </c>
      <c r="C246" t="b">
        <v>1</v>
      </c>
      <c r="D246">
        <v>8123</v>
      </c>
      <c r="E246">
        <v>8105</v>
      </c>
      <c r="F246">
        <v>272.06668000000002</v>
      </c>
      <c r="G246">
        <v>188.8</v>
      </c>
      <c r="H246">
        <v>1.4410311</v>
      </c>
      <c r="I246">
        <v>-0.44103112999999999</v>
      </c>
      <c r="J246">
        <v>0.40966292999999998</v>
      </c>
    </row>
    <row r="247" spans="1:10" x14ac:dyDescent="0.3">
      <c r="A247">
        <v>245</v>
      </c>
      <c r="B247">
        <v>5171</v>
      </c>
      <c r="C247" t="b">
        <v>1</v>
      </c>
      <c r="D247">
        <v>8129</v>
      </c>
      <c r="E247">
        <v>8093</v>
      </c>
      <c r="F247">
        <v>272.46667000000002</v>
      </c>
      <c r="G247">
        <v>189.6</v>
      </c>
      <c r="H247">
        <v>1.4370605000000001</v>
      </c>
      <c r="I247">
        <v>-0.43706047999999997</v>
      </c>
      <c r="J247">
        <v>0.41033039999999998</v>
      </c>
    </row>
    <row r="248" spans="1:10" x14ac:dyDescent="0.3">
      <c r="A248">
        <v>246</v>
      </c>
      <c r="B248">
        <v>5202</v>
      </c>
      <c r="C248" t="b">
        <v>1</v>
      </c>
      <c r="D248">
        <v>8106</v>
      </c>
      <c r="E248">
        <v>8123</v>
      </c>
      <c r="F248">
        <v>273.26666</v>
      </c>
      <c r="G248">
        <v>189.6</v>
      </c>
      <c r="H248">
        <v>1.4412798</v>
      </c>
      <c r="I248">
        <v>-0.44127982999999998</v>
      </c>
      <c r="J248">
        <v>0.40962120000000002</v>
      </c>
    </row>
    <row r="249" spans="1:10" x14ac:dyDescent="0.3">
      <c r="A249">
        <v>247</v>
      </c>
      <c r="B249">
        <v>5234</v>
      </c>
      <c r="C249" t="b">
        <v>1</v>
      </c>
      <c r="D249">
        <v>8129</v>
      </c>
      <c r="E249">
        <v>8111</v>
      </c>
      <c r="F249">
        <v>274.06668000000002</v>
      </c>
      <c r="G249">
        <v>190</v>
      </c>
      <c r="H249">
        <v>1.4424562000000001</v>
      </c>
      <c r="I249">
        <v>-0.44245622000000001</v>
      </c>
      <c r="J249">
        <v>0.40942392</v>
      </c>
    </row>
    <row r="250" spans="1:10" x14ac:dyDescent="0.3">
      <c r="A250">
        <v>248</v>
      </c>
      <c r="B250">
        <v>5266</v>
      </c>
      <c r="C250" t="b">
        <v>1</v>
      </c>
      <c r="D250">
        <v>8117</v>
      </c>
      <c r="E250">
        <v>8087</v>
      </c>
      <c r="F250">
        <v>275.60000000000002</v>
      </c>
      <c r="G250">
        <v>190</v>
      </c>
      <c r="H250">
        <v>1.4505264</v>
      </c>
      <c r="I250">
        <v>-0.45052636000000001</v>
      </c>
      <c r="J250">
        <v>0.40807559999999998</v>
      </c>
    </row>
    <row r="251" spans="1:10" x14ac:dyDescent="0.3">
      <c r="A251">
        <v>249</v>
      </c>
      <c r="B251">
        <v>5299</v>
      </c>
      <c r="C251" t="b">
        <v>1</v>
      </c>
      <c r="D251">
        <v>8094</v>
      </c>
      <c r="E251">
        <v>8123</v>
      </c>
      <c r="F251">
        <v>276.73334</v>
      </c>
      <c r="G251">
        <v>190.4</v>
      </c>
      <c r="H251">
        <v>1.4534315</v>
      </c>
      <c r="I251">
        <v>-0.45343143000000002</v>
      </c>
      <c r="J251">
        <v>0.40759240000000002</v>
      </c>
    </row>
    <row r="252" spans="1:10" x14ac:dyDescent="0.3">
      <c r="A252">
        <v>250</v>
      </c>
      <c r="B252">
        <v>5315</v>
      </c>
      <c r="C252" t="b">
        <v>1</v>
      </c>
      <c r="D252">
        <v>8100</v>
      </c>
      <c r="E252">
        <v>8117</v>
      </c>
      <c r="F252">
        <v>277.13333</v>
      </c>
      <c r="G252">
        <v>191.2</v>
      </c>
      <c r="H252">
        <v>1.4494421</v>
      </c>
      <c r="I252">
        <v>-0.44944212</v>
      </c>
      <c r="J252">
        <v>0.40825623</v>
      </c>
    </row>
    <row r="253" spans="1:10" x14ac:dyDescent="0.3">
      <c r="A253">
        <v>251</v>
      </c>
      <c r="B253">
        <v>5331</v>
      </c>
      <c r="C253" t="b">
        <v>1</v>
      </c>
      <c r="D253">
        <v>8077</v>
      </c>
      <c r="E253">
        <v>8123</v>
      </c>
      <c r="F253">
        <v>277.13333</v>
      </c>
      <c r="G253">
        <v>192</v>
      </c>
      <c r="H253">
        <v>1.4434028000000001</v>
      </c>
      <c r="I253">
        <v>-0.44340277</v>
      </c>
      <c r="J253">
        <v>0.4092653</v>
      </c>
    </row>
    <row r="254" spans="1:10" x14ac:dyDescent="0.3">
      <c r="A254">
        <v>252</v>
      </c>
      <c r="B254">
        <v>5347</v>
      </c>
      <c r="C254" t="b">
        <v>1</v>
      </c>
      <c r="D254">
        <v>8135</v>
      </c>
      <c r="E254">
        <v>8123</v>
      </c>
      <c r="F254">
        <v>276.39999999999998</v>
      </c>
      <c r="G254">
        <v>193.2</v>
      </c>
      <c r="H254">
        <v>1.4306418000000001</v>
      </c>
      <c r="I254">
        <v>-0.43064180000000002</v>
      </c>
      <c r="J254">
        <v>0.411414</v>
      </c>
    </row>
    <row r="255" spans="1:10" x14ac:dyDescent="0.3">
      <c r="A255">
        <v>253</v>
      </c>
      <c r="B255">
        <v>5364</v>
      </c>
      <c r="C255" t="b">
        <v>1</v>
      </c>
      <c r="D255">
        <v>8140</v>
      </c>
      <c r="E255">
        <v>8099</v>
      </c>
      <c r="F255">
        <v>275.26666</v>
      </c>
      <c r="G255">
        <v>194.8</v>
      </c>
      <c r="H255">
        <v>1.4130731999999999</v>
      </c>
      <c r="I255">
        <v>-0.41307317999999998</v>
      </c>
      <c r="J255">
        <v>0.41440929999999998</v>
      </c>
    </row>
    <row r="256" spans="1:10" x14ac:dyDescent="0.3">
      <c r="A256">
        <v>254</v>
      </c>
      <c r="B256">
        <v>5380</v>
      </c>
      <c r="C256" t="b">
        <v>1</v>
      </c>
      <c r="D256">
        <v>8129</v>
      </c>
      <c r="E256">
        <v>8111</v>
      </c>
      <c r="F256">
        <v>275.66665999999998</v>
      </c>
      <c r="G256">
        <v>195.6</v>
      </c>
      <c r="H256">
        <v>1.4093386999999999</v>
      </c>
      <c r="I256">
        <v>-0.40933868000000001</v>
      </c>
      <c r="J256">
        <v>0.41505164</v>
      </c>
    </row>
    <row r="257" spans="1:10" x14ac:dyDescent="0.3">
      <c r="A257">
        <v>255</v>
      </c>
      <c r="B257">
        <v>5395</v>
      </c>
      <c r="C257" t="b">
        <v>1</v>
      </c>
      <c r="D257">
        <v>8129</v>
      </c>
      <c r="E257">
        <v>8111</v>
      </c>
      <c r="F257">
        <v>276.06668000000002</v>
      </c>
      <c r="G257">
        <v>196</v>
      </c>
      <c r="H257">
        <v>1.4085034999999999</v>
      </c>
      <c r="I257">
        <v>-0.40850346999999998</v>
      </c>
      <c r="J257">
        <v>0.41519558000000001</v>
      </c>
    </row>
    <row r="258" spans="1:10" x14ac:dyDescent="0.3">
      <c r="A258">
        <v>256</v>
      </c>
      <c r="B258">
        <v>5427</v>
      </c>
      <c r="C258" t="b">
        <v>1</v>
      </c>
      <c r="D258">
        <v>8123</v>
      </c>
      <c r="E258">
        <v>8093</v>
      </c>
      <c r="F258">
        <v>276.46667000000002</v>
      </c>
      <c r="G258">
        <v>196.4</v>
      </c>
      <c r="H258">
        <v>1.4076715</v>
      </c>
      <c r="I258">
        <v>-0.40767150000000002</v>
      </c>
      <c r="J258">
        <v>0.41533904999999999</v>
      </c>
    </row>
    <row r="259" spans="1:10" x14ac:dyDescent="0.3">
      <c r="A259">
        <v>257</v>
      </c>
      <c r="B259">
        <v>5443</v>
      </c>
      <c r="C259" t="b">
        <v>1</v>
      </c>
      <c r="D259">
        <v>8140</v>
      </c>
      <c r="E259">
        <v>8111</v>
      </c>
      <c r="F259">
        <v>276.86667</v>
      </c>
      <c r="G259">
        <v>196.8</v>
      </c>
      <c r="H259">
        <v>1.4068427999999999</v>
      </c>
      <c r="I259">
        <v>-0.4068428</v>
      </c>
      <c r="J259">
        <v>0.41548204</v>
      </c>
    </row>
    <row r="260" spans="1:10" x14ac:dyDescent="0.3">
      <c r="A260">
        <v>258</v>
      </c>
      <c r="B260">
        <v>5459</v>
      </c>
      <c r="C260" t="b">
        <v>1</v>
      </c>
      <c r="D260">
        <v>8140</v>
      </c>
      <c r="E260">
        <v>8146</v>
      </c>
      <c r="F260">
        <v>278.06668000000002</v>
      </c>
      <c r="G260">
        <v>197.2</v>
      </c>
      <c r="H260">
        <v>1.4100744999999999</v>
      </c>
      <c r="I260">
        <v>-0.41007447000000002</v>
      </c>
      <c r="J260">
        <v>0.41492495000000001</v>
      </c>
    </row>
    <row r="261" spans="1:10" x14ac:dyDescent="0.3">
      <c r="A261">
        <v>259</v>
      </c>
      <c r="B261">
        <v>5490</v>
      </c>
      <c r="C261" t="b">
        <v>1</v>
      </c>
      <c r="D261">
        <v>8140</v>
      </c>
      <c r="E261">
        <v>8105</v>
      </c>
      <c r="F261">
        <v>280</v>
      </c>
      <c r="G261">
        <v>197.6</v>
      </c>
      <c r="H261">
        <v>1.4170039999999999</v>
      </c>
      <c r="I261">
        <v>-0.41700401999999998</v>
      </c>
      <c r="J261">
        <v>0.41373536</v>
      </c>
    </row>
    <row r="262" spans="1:10" x14ac:dyDescent="0.3">
      <c r="A262">
        <v>260</v>
      </c>
      <c r="B262">
        <v>5506</v>
      </c>
      <c r="C262" t="b">
        <v>1</v>
      </c>
      <c r="D262">
        <v>8152</v>
      </c>
      <c r="E262">
        <v>8129</v>
      </c>
      <c r="F262">
        <v>281.13333</v>
      </c>
      <c r="G262">
        <v>198</v>
      </c>
      <c r="H262">
        <v>1.4198653000000001</v>
      </c>
      <c r="I262">
        <v>-0.4198653</v>
      </c>
      <c r="J262">
        <v>0.41324614999999998</v>
      </c>
    </row>
    <row r="263" spans="1:10" x14ac:dyDescent="0.3">
      <c r="A263">
        <v>261</v>
      </c>
      <c r="B263">
        <v>5538</v>
      </c>
      <c r="C263" t="b">
        <v>1</v>
      </c>
      <c r="D263">
        <v>8135</v>
      </c>
      <c r="E263">
        <v>8105</v>
      </c>
      <c r="F263">
        <v>282.26666</v>
      </c>
      <c r="G263">
        <v>198.4</v>
      </c>
      <c r="H263">
        <v>1.4227151</v>
      </c>
      <c r="I263">
        <v>-0.42271507000000003</v>
      </c>
      <c r="J263">
        <v>0.41276004999999999</v>
      </c>
    </row>
    <row r="264" spans="1:10" x14ac:dyDescent="0.3">
      <c r="A264">
        <v>262</v>
      </c>
      <c r="B264">
        <v>5570</v>
      </c>
      <c r="C264" t="b">
        <v>1</v>
      </c>
      <c r="D264">
        <v>8106</v>
      </c>
      <c r="E264">
        <v>8123</v>
      </c>
      <c r="F264">
        <v>283.39999999999998</v>
      </c>
      <c r="G264">
        <v>199.2</v>
      </c>
      <c r="H264">
        <v>1.4226907</v>
      </c>
      <c r="I264">
        <v>-0.42269075</v>
      </c>
      <c r="J264">
        <v>0.41276422000000001</v>
      </c>
    </row>
    <row r="265" spans="1:10" x14ac:dyDescent="0.3">
      <c r="A265">
        <v>263</v>
      </c>
      <c r="B265">
        <v>5601</v>
      </c>
      <c r="C265" t="b">
        <v>1</v>
      </c>
      <c r="D265">
        <v>8106</v>
      </c>
      <c r="E265">
        <v>8111</v>
      </c>
      <c r="F265">
        <v>284.2</v>
      </c>
      <c r="G265">
        <v>199.6</v>
      </c>
      <c r="H265">
        <v>1.4238477</v>
      </c>
      <c r="I265">
        <v>-0.42384769999999999</v>
      </c>
      <c r="J265">
        <v>0.41256716999999998</v>
      </c>
    </row>
    <row r="266" spans="1:10" x14ac:dyDescent="0.3">
      <c r="A266">
        <v>264</v>
      </c>
      <c r="B266">
        <v>5633</v>
      </c>
      <c r="C266" t="b">
        <v>1</v>
      </c>
      <c r="D266">
        <v>8117</v>
      </c>
      <c r="E266">
        <v>8105</v>
      </c>
      <c r="F266">
        <v>284.2</v>
      </c>
      <c r="G266">
        <v>199.6</v>
      </c>
      <c r="H266">
        <v>1.4238477</v>
      </c>
      <c r="I266">
        <v>-0.42384769999999999</v>
      </c>
      <c r="J266">
        <v>0.41256716999999998</v>
      </c>
    </row>
    <row r="267" spans="1:10" x14ac:dyDescent="0.3">
      <c r="A267">
        <v>265</v>
      </c>
      <c r="B267">
        <v>5665</v>
      </c>
      <c r="C267" t="b">
        <v>1</v>
      </c>
      <c r="D267">
        <v>8094</v>
      </c>
      <c r="E267">
        <v>8099</v>
      </c>
      <c r="F267">
        <v>284.2</v>
      </c>
      <c r="G267">
        <v>198.8</v>
      </c>
      <c r="H267">
        <v>1.4295774999999999</v>
      </c>
      <c r="I267">
        <v>-0.4295775</v>
      </c>
      <c r="J267">
        <v>0.41159420000000002</v>
      </c>
    </row>
    <row r="268" spans="1:10" x14ac:dyDescent="0.3">
      <c r="A268">
        <v>266</v>
      </c>
      <c r="B268">
        <v>5697</v>
      </c>
      <c r="C268" t="b">
        <v>1</v>
      </c>
      <c r="D268">
        <v>8129</v>
      </c>
      <c r="E268">
        <v>8099</v>
      </c>
      <c r="F268">
        <v>284.60000000000002</v>
      </c>
      <c r="G268">
        <v>198</v>
      </c>
      <c r="H268">
        <v>1.4373738</v>
      </c>
      <c r="I268">
        <v>-0.43737376</v>
      </c>
      <c r="J268">
        <v>0.41027765999999999</v>
      </c>
    </row>
    <row r="269" spans="1:10" x14ac:dyDescent="0.3">
      <c r="A269">
        <v>267</v>
      </c>
      <c r="B269">
        <v>5728</v>
      </c>
      <c r="C269" t="b">
        <v>1</v>
      </c>
      <c r="D269">
        <v>8140</v>
      </c>
      <c r="E269">
        <v>8134</v>
      </c>
      <c r="F269">
        <v>285.73334</v>
      </c>
      <c r="G269">
        <v>196.8</v>
      </c>
      <c r="H269">
        <v>1.451897</v>
      </c>
      <c r="I269">
        <v>-0.45189702999999998</v>
      </c>
      <c r="J269">
        <v>0.40784749999999997</v>
      </c>
    </row>
    <row r="270" spans="1:10" x14ac:dyDescent="0.3">
      <c r="A270">
        <v>268</v>
      </c>
      <c r="B270">
        <v>5760</v>
      </c>
      <c r="C270" t="b">
        <v>1</v>
      </c>
      <c r="D270">
        <v>8135</v>
      </c>
      <c r="E270">
        <v>8117</v>
      </c>
      <c r="F270">
        <v>287.66665999999998</v>
      </c>
      <c r="G270">
        <v>195.6</v>
      </c>
      <c r="H270">
        <v>1.4706882999999999</v>
      </c>
      <c r="I270">
        <v>-0.47068837000000002</v>
      </c>
      <c r="J270">
        <v>0.40474549999999998</v>
      </c>
    </row>
    <row r="271" spans="1:10" x14ac:dyDescent="0.3">
      <c r="A271">
        <v>269</v>
      </c>
      <c r="B271">
        <v>5791</v>
      </c>
      <c r="C271" t="b">
        <v>1</v>
      </c>
      <c r="D271">
        <v>8129</v>
      </c>
      <c r="E271">
        <v>8111</v>
      </c>
      <c r="F271">
        <v>287.66665999999998</v>
      </c>
      <c r="G271">
        <v>195.2</v>
      </c>
      <c r="H271">
        <v>1.4737022</v>
      </c>
      <c r="I271">
        <v>-0.47370215999999998</v>
      </c>
      <c r="J271">
        <v>0.40425240000000001</v>
      </c>
    </row>
    <row r="272" spans="1:10" x14ac:dyDescent="0.3">
      <c r="A272">
        <v>270</v>
      </c>
      <c r="B272">
        <v>5822</v>
      </c>
      <c r="C272" t="b">
        <v>1</v>
      </c>
      <c r="D272">
        <v>8123</v>
      </c>
      <c r="E272">
        <v>8146</v>
      </c>
      <c r="F272">
        <v>287.66665999999998</v>
      </c>
      <c r="G272">
        <v>195.6</v>
      </c>
      <c r="H272">
        <v>1.4706882999999999</v>
      </c>
      <c r="I272">
        <v>-0.47068837000000002</v>
      </c>
      <c r="J272">
        <v>0.40474549999999998</v>
      </c>
    </row>
    <row r="273" spans="1:10" x14ac:dyDescent="0.3">
      <c r="A273">
        <v>271</v>
      </c>
      <c r="B273">
        <v>5854</v>
      </c>
      <c r="C273" t="b">
        <v>1</v>
      </c>
      <c r="D273">
        <v>8129</v>
      </c>
      <c r="E273">
        <v>8099</v>
      </c>
      <c r="F273">
        <v>287.66665999999998</v>
      </c>
      <c r="G273">
        <v>196</v>
      </c>
      <c r="H273">
        <v>1.467687</v>
      </c>
      <c r="I273">
        <v>-0.46768700000000002</v>
      </c>
      <c r="J273">
        <v>0.40523776</v>
      </c>
    </row>
    <row r="274" spans="1:10" x14ac:dyDescent="0.3">
      <c r="A274">
        <v>272</v>
      </c>
      <c r="B274">
        <v>5885</v>
      </c>
      <c r="C274" t="b">
        <v>1</v>
      </c>
      <c r="D274">
        <v>8106</v>
      </c>
      <c r="E274">
        <v>8117</v>
      </c>
      <c r="F274">
        <v>287.66665999999998</v>
      </c>
      <c r="G274">
        <v>196.4</v>
      </c>
      <c r="H274">
        <v>1.4646977999999999</v>
      </c>
      <c r="I274">
        <v>-0.4646979</v>
      </c>
      <c r="J274">
        <v>0.40572923</v>
      </c>
    </row>
    <row r="275" spans="1:10" x14ac:dyDescent="0.3">
      <c r="A275">
        <v>273</v>
      </c>
      <c r="B275">
        <v>5917</v>
      </c>
      <c r="C275" t="b">
        <v>1</v>
      </c>
      <c r="D275">
        <v>8117</v>
      </c>
      <c r="E275">
        <v>8129</v>
      </c>
      <c r="F275">
        <v>287.26666</v>
      </c>
      <c r="G275">
        <v>196.8</v>
      </c>
      <c r="H275">
        <v>1.4596883</v>
      </c>
      <c r="I275">
        <v>-0.45968829999999999</v>
      </c>
      <c r="J275">
        <v>0.40655560000000002</v>
      </c>
    </row>
    <row r="276" spans="1:10" x14ac:dyDescent="0.3">
      <c r="A276">
        <v>274</v>
      </c>
      <c r="B276">
        <v>5948</v>
      </c>
      <c r="C276" t="b">
        <v>1</v>
      </c>
      <c r="D276">
        <v>8111</v>
      </c>
      <c r="E276">
        <v>8111</v>
      </c>
      <c r="F276">
        <v>285.73334</v>
      </c>
      <c r="G276">
        <v>197.2</v>
      </c>
      <c r="H276">
        <v>1.4489521000000001</v>
      </c>
      <c r="I276">
        <v>-0.44895204999999999</v>
      </c>
      <c r="J276">
        <v>0.40833792000000002</v>
      </c>
    </row>
    <row r="277" spans="1:10" x14ac:dyDescent="0.3">
      <c r="A277">
        <v>275</v>
      </c>
      <c r="B277">
        <v>5964</v>
      </c>
      <c r="C277" t="b">
        <v>1</v>
      </c>
      <c r="D277">
        <v>8135</v>
      </c>
      <c r="E277">
        <v>8099</v>
      </c>
      <c r="F277">
        <v>284.2</v>
      </c>
      <c r="G277">
        <v>197.2</v>
      </c>
      <c r="H277">
        <v>1.4411765000000001</v>
      </c>
      <c r="I277">
        <v>-0.44117656</v>
      </c>
      <c r="J277">
        <v>0.40963852000000001</v>
      </c>
    </row>
    <row r="278" spans="1:10" x14ac:dyDescent="0.3">
      <c r="A278">
        <v>276</v>
      </c>
      <c r="B278">
        <v>5980</v>
      </c>
      <c r="C278" t="b">
        <v>1</v>
      </c>
      <c r="D278">
        <v>8111</v>
      </c>
      <c r="E278">
        <v>8129</v>
      </c>
      <c r="F278">
        <v>282.26666</v>
      </c>
      <c r="G278">
        <v>197.6</v>
      </c>
      <c r="H278">
        <v>1.4284749999999999</v>
      </c>
      <c r="I278">
        <v>-0.42847496000000002</v>
      </c>
      <c r="J278">
        <v>0.41178107000000003</v>
      </c>
    </row>
    <row r="279" spans="1:10" x14ac:dyDescent="0.3">
      <c r="A279">
        <v>277</v>
      </c>
      <c r="B279">
        <v>5996</v>
      </c>
      <c r="C279" t="b">
        <v>1</v>
      </c>
      <c r="D279">
        <v>8129</v>
      </c>
      <c r="E279">
        <v>8087</v>
      </c>
      <c r="F279">
        <v>280.73334</v>
      </c>
      <c r="G279">
        <v>196.8</v>
      </c>
      <c r="H279">
        <v>1.4264905000000001</v>
      </c>
      <c r="I279">
        <v>-0.42649051999999998</v>
      </c>
      <c r="J279">
        <v>0.41211784000000001</v>
      </c>
    </row>
    <row r="280" spans="1:10" x14ac:dyDescent="0.3">
      <c r="A280">
        <v>278</v>
      </c>
      <c r="B280">
        <v>6011</v>
      </c>
      <c r="C280" t="b">
        <v>1</v>
      </c>
      <c r="D280">
        <v>8100</v>
      </c>
      <c r="E280">
        <v>8105</v>
      </c>
      <c r="F280">
        <v>279.13333</v>
      </c>
      <c r="G280">
        <v>196.4</v>
      </c>
      <c r="H280">
        <v>1.4212492000000001</v>
      </c>
      <c r="I280">
        <v>-0.42124918</v>
      </c>
      <c r="J280">
        <v>0.41300994000000002</v>
      </c>
    </row>
    <row r="281" spans="1:10" x14ac:dyDescent="0.3">
      <c r="A281">
        <v>279</v>
      </c>
      <c r="B281">
        <v>6027</v>
      </c>
      <c r="C281" t="b">
        <v>1</v>
      </c>
      <c r="D281">
        <v>8129</v>
      </c>
      <c r="E281">
        <v>8105</v>
      </c>
      <c r="F281">
        <v>279.93331999999998</v>
      </c>
      <c r="G281">
        <v>196</v>
      </c>
      <c r="H281">
        <v>1.4282311999999999</v>
      </c>
      <c r="I281">
        <v>-0.42823119999999998</v>
      </c>
      <c r="J281">
        <v>0.41182239999999998</v>
      </c>
    </row>
    <row r="282" spans="1:10" x14ac:dyDescent="0.3">
      <c r="A282">
        <v>280</v>
      </c>
      <c r="B282">
        <v>6043</v>
      </c>
      <c r="C282" t="b">
        <v>1</v>
      </c>
      <c r="D282">
        <v>8111</v>
      </c>
      <c r="E282">
        <v>8105</v>
      </c>
      <c r="F282">
        <v>280.26666</v>
      </c>
      <c r="G282">
        <v>196</v>
      </c>
      <c r="H282">
        <v>1.429932</v>
      </c>
      <c r="I282">
        <v>-0.42993194000000001</v>
      </c>
      <c r="J282">
        <v>0.41153415999999998</v>
      </c>
    </row>
    <row r="283" spans="1:10" x14ac:dyDescent="0.3">
      <c r="A283">
        <v>281</v>
      </c>
      <c r="B283">
        <v>6059</v>
      </c>
      <c r="C283" t="b">
        <v>1</v>
      </c>
      <c r="D283">
        <v>8129</v>
      </c>
      <c r="E283">
        <v>8111</v>
      </c>
      <c r="F283">
        <v>281.8</v>
      </c>
      <c r="G283">
        <v>196</v>
      </c>
      <c r="H283">
        <v>1.4377549999999999</v>
      </c>
      <c r="I283">
        <v>-0.43775504999999998</v>
      </c>
      <c r="J283">
        <v>0.41021350000000001</v>
      </c>
    </row>
    <row r="284" spans="1:10" x14ac:dyDescent="0.3">
      <c r="A284">
        <v>282</v>
      </c>
      <c r="B284">
        <v>6074</v>
      </c>
      <c r="C284" t="b">
        <v>1</v>
      </c>
      <c r="D284">
        <v>8123</v>
      </c>
      <c r="E284">
        <v>8093</v>
      </c>
      <c r="F284">
        <v>282.2</v>
      </c>
      <c r="G284">
        <v>196</v>
      </c>
      <c r="H284">
        <v>1.4397960000000001</v>
      </c>
      <c r="I284">
        <v>-0.43979596999999998</v>
      </c>
      <c r="J284">
        <v>0.40987033</v>
      </c>
    </row>
    <row r="285" spans="1:10" x14ac:dyDescent="0.3">
      <c r="A285">
        <v>283</v>
      </c>
      <c r="B285">
        <v>6090</v>
      </c>
      <c r="C285" t="b">
        <v>1</v>
      </c>
      <c r="D285">
        <v>8117</v>
      </c>
      <c r="E285">
        <v>8093</v>
      </c>
      <c r="F285">
        <v>281.8</v>
      </c>
      <c r="G285">
        <v>196</v>
      </c>
      <c r="H285">
        <v>1.4377549999999999</v>
      </c>
      <c r="I285">
        <v>-0.43775504999999998</v>
      </c>
      <c r="J285">
        <v>0.41021350000000001</v>
      </c>
    </row>
    <row r="286" spans="1:10" x14ac:dyDescent="0.3">
      <c r="A286">
        <v>284</v>
      </c>
      <c r="B286">
        <v>6106</v>
      </c>
      <c r="C286" t="b">
        <v>1</v>
      </c>
      <c r="D286">
        <v>8106</v>
      </c>
      <c r="E286">
        <v>8123</v>
      </c>
      <c r="F286">
        <v>281</v>
      </c>
      <c r="G286">
        <v>195.6</v>
      </c>
      <c r="H286">
        <v>1.4366052</v>
      </c>
      <c r="I286">
        <v>-0.43660526999999999</v>
      </c>
      <c r="J286">
        <v>0.41040706999999998</v>
      </c>
    </row>
    <row r="287" spans="1:10" x14ac:dyDescent="0.3">
      <c r="A287">
        <v>285</v>
      </c>
      <c r="B287">
        <v>6137</v>
      </c>
      <c r="C287" t="b">
        <v>1</v>
      </c>
      <c r="D287">
        <v>8117</v>
      </c>
      <c r="E287">
        <v>8129</v>
      </c>
      <c r="F287">
        <v>280.2</v>
      </c>
      <c r="G287">
        <v>195.2</v>
      </c>
      <c r="H287">
        <v>1.4354509</v>
      </c>
      <c r="I287">
        <v>-0.43545089999999997</v>
      </c>
      <c r="J287">
        <v>0.41060155999999998</v>
      </c>
    </row>
    <row r="288" spans="1:10" x14ac:dyDescent="0.3">
      <c r="A288">
        <v>286</v>
      </c>
      <c r="B288">
        <v>6153</v>
      </c>
      <c r="C288" t="b">
        <v>1</v>
      </c>
      <c r="D288">
        <v>8106</v>
      </c>
      <c r="E288">
        <v>8111</v>
      </c>
      <c r="F288">
        <v>279.39999999999998</v>
      </c>
      <c r="G288">
        <v>194.8</v>
      </c>
      <c r="H288">
        <v>1.4342915000000001</v>
      </c>
      <c r="I288">
        <v>-0.43429153999999998</v>
      </c>
      <c r="J288">
        <v>0.41079712000000002</v>
      </c>
    </row>
    <row r="289" spans="1:10" x14ac:dyDescent="0.3">
      <c r="A289">
        <v>287</v>
      </c>
      <c r="B289">
        <v>6184</v>
      </c>
      <c r="C289" t="b">
        <v>1</v>
      </c>
      <c r="D289">
        <v>8129</v>
      </c>
      <c r="E289">
        <v>8093</v>
      </c>
      <c r="F289">
        <v>278.60000000000002</v>
      </c>
      <c r="G289">
        <v>194.4</v>
      </c>
      <c r="H289">
        <v>1.4331275999999999</v>
      </c>
      <c r="I289">
        <v>-0.43312763999999998</v>
      </c>
      <c r="J289">
        <v>0.41099363999999999</v>
      </c>
    </row>
    <row r="290" spans="1:10" x14ac:dyDescent="0.3">
      <c r="A290">
        <v>288</v>
      </c>
      <c r="B290">
        <v>6200</v>
      </c>
      <c r="C290" t="b">
        <v>1</v>
      </c>
      <c r="D290">
        <v>8117</v>
      </c>
      <c r="E290">
        <v>8105</v>
      </c>
      <c r="F290">
        <v>278.2</v>
      </c>
      <c r="G290">
        <v>194</v>
      </c>
      <c r="H290">
        <v>1.4340206</v>
      </c>
      <c r="I290">
        <v>-0.43402067</v>
      </c>
      <c r="J290">
        <v>0.41084287000000003</v>
      </c>
    </row>
    <row r="291" spans="1:10" x14ac:dyDescent="0.3">
      <c r="A291">
        <v>289</v>
      </c>
      <c r="B291">
        <v>6216</v>
      </c>
      <c r="C291" t="b">
        <v>1</v>
      </c>
      <c r="D291">
        <v>8117</v>
      </c>
      <c r="E291">
        <v>8117</v>
      </c>
      <c r="F291">
        <v>278.2</v>
      </c>
      <c r="G291">
        <v>193.6</v>
      </c>
      <c r="H291">
        <v>1.4369835</v>
      </c>
      <c r="I291">
        <v>-0.43698350000000002</v>
      </c>
      <c r="J291">
        <v>0.41034335</v>
      </c>
    </row>
    <row r="292" spans="1:10" x14ac:dyDescent="0.3">
      <c r="A292">
        <v>290</v>
      </c>
      <c r="B292">
        <v>6232</v>
      </c>
      <c r="C292" t="b">
        <v>1</v>
      </c>
      <c r="D292">
        <v>8094</v>
      </c>
      <c r="E292">
        <v>8134</v>
      </c>
      <c r="F292">
        <v>278.2</v>
      </c>
      <c r="G292">
        <v>193.6</v>
      </c>
      <c r="H292">
        <v>1.4369835</v>
      </c>
      <c r="I292">
        <v>-0.43698350000000002</v>
      </c>
      <c r="J292">
        <v>0.41034335</v>
      </c>
    </row>
    <row r="293" spans="1:10" x14ac:dyDescent="0.3">
      <c r="A293">
        <v>291</v>
      </c>
      <c r="B293">
        <v>6248</v>
      </c>
      <c r="C293" t="b">
        <v>1</v>
      </c>
      <c r="D293">
        <v>8152</v>
      </c>
      <c r="E293">
        <v>8129</v>
      </c>
      <c r="F293">
        <v>278.60000000000002</v>
      </c>
      <c r="G293">
        <v>193.6</v>
      </c>
      <c r="H293">
        <v>1.4390495999999999</v>
      </c>
      <c r="I293">
        <v>-0.43904957</v>
      </c>
      <c r="J293">
        <v>0.40999575999999999</v>
      </c>
    </row>
    <row r="294" spans="1:10" x14ac:dyDescent="0.3">
      <c r="A294">
        <v>292</v>
      </c>
      <c r="B294">
        <v>6263</v>
      </c>
      <c r="C294" t="b">
        <v>1</v>
      </c>
      <c r="D294">
        <v>8106</v>
      </c>
      <c r="E294">
        <v>8105</v>
      </c>
      <c r="F294">
        <v>278.60000000000002</v>
      </c>
      <c r="G294">
        <v>194</v>
      </c>
      <c r="H294">
        <v>1.4360824999999999</v>
      </c>
      <c r="I294">
        <v>-0.43608249999999998</v>
      </c>
      <c r="J294">
        <v>0.41049512999999999</v>
      </c>
    </row>
    <row r="295" spans="1:10" x14ac:dyDescent="0.3">
      <c r="A295">
        <v>293</v>
      </c>
      <c r="B295">
        <v>6279</v>
      </c>
      <c r="C295" t="b">
        <v>1</v>
      </c>
      <c r="D295">
        <v>8123</v>
      </c>
      <c r="E295">
        <v>8105</v>
      </c>
      <c r="F295">
        <v>279</v>
      </c>
      <c r="G295">
        <v>194.8</v>
      </c>
      <c r="H295">
        <v>1.4322382</v>
      </c>
      <c r="I295">
        <v>-0.43223815999999998</v>
      </c>
      <c r="J295">
        <v>0.41114395999999997</v>
      </c>
    </row>
    <row r="296" spans="1:10" x14ac:dyDescent="0.3">
      <c r="A296">
        <v>294</v>
      </c>
      <c r="B296">
        <v>6295</v>
      </c>
      <c r="C296" t="b">
        <v>1</v>
      </c>
      <c r="D296">
        <v>8083</v>
      </c>
      <c r="E296">
        <v>8111</v>
      </c>
      <c r="F296">
        <v>277.46667000000002</v>
      </c>
      <c r="G296">
        <v>195.2</v>
      </c>
      <c r="H296">
        <v>1.4214481000000001</v>
      </c>
      <c r="I296">
        <v>-0.42144814000000003</v>
      </c>
      <c r="J296">
        <v>0.41297600000000001</v>
      </c>
    </row>
    <row r="297" spans="1:10" x14ac:dyDescent="0.3">
      <c r="A297">
        <v>295</v>
      </c>
      <c r="B297">
        <v>6311</v>
      </c>
      <c r="C297" t="b">
        <v>1</v>
      </c>
      <c r="D297">
        <v>8100</v>
      </c>
      <c r="E297">
        <v>8099</v>
      </c>
      <c r="F297">
        <v>277.13333</v>
      </c>
      <c r="G297">
        <v>195.2</v>
      </c>
      <c r="H297">
        <v>1.4197404</v>
      </c>
      <c r="I297">
        <v>-0.41974043999999999</v>
      </c>
      <c r="J297">
        <v>0.41326745999999998</v>
      </c>
    </row>
    <row r="298" spans="1:10" x14ac:dyDescent="0.3">
      <c r="A298">
        <v>296</v>
      </c>
      <c r="B298">
        <v>6326</v>
      </c>
      <c r="C298" t="b">
        <v>1</v>
      </c>
      <c r="D298">
        <v>8117</v>
      </c>
      <c r="E298">
        <v>8111</v>
      </c>
      <c r="F298">
        <v>275.60000000000002</v>
      </c>
      <c r="G298">
        <v>195.2</v>
      </c>
      <c r="H298">
        <v>1.4118853</v>
      </c>
      <c r="I298">
        <v>-0.41188530000000001</v>
      </c>
      <c r="J298">
        <v>0.41461343000000001</v>
      </c>
    </row>
    <row r="299" spans="1:10" x14ac:dyDescent="0.3">
      <c r="A299">
        <v>297</v>
      </c>
      <c r="B299">
        <v>6342</v>
      </c>
      <c r="C299" t="b">
        <v>1</v>
      </c>
      <c r="D299">
        <v>8100</v>
      </c>
      <c r="E299">
        <v>8105</v>
      </c>
      <c r="F299">
        <v>274.06668000000002</v>
      </c>
      <c r="G299">
        <v>195.2</v>
      </c>
      <c r="H299">
        <v>1.4040302</v>
      </c>
      <c r="I299">
        <v>-0.40403013999999998</v>
      </c>
      <c r="J299">
        <v>0.41596818000000002</v>
      </c>
    </row>
    <row r="300" spans="1:10" x14ac:dyDescent="0.3">
      <c r="A300">
        <v>298</v>
      </c>
      <c r="B300">
        <v>6358</v>
      </c>
      <c r="C300" t="b">
        <v>1</v>
      </c>
      <c r="D300">
        <v>8117</v>
      </c>
      <c r="E300">
        <v>8081</v>
      </c>
      <c r="F300">
        <v>272.53332999999998</v>
      </c>
      <c r="G300">
        <v>195.2</v>
      </c>
      <c r="H300">
        <v>1.3961748</v>
      </c>
      <c r="I300">
        <v>-0.39617485000000002</v>
      </c>
      <c r="J300">
        <v>0.41733179999999998</v>
      </c>
    </row>
    <row r="301" spans="1:10" x14ac:dyDescent="0.3">
      <c r="A301">
        <v>299</v>
      </c>
      <c r="B301">
        <v>6374</v>
      </c>
      <c r="C301" t="b">
        <v>1</v>
      </c>
      <c r="D301">
        <v>8129</v>
      </c>
      <c r="E301">
        <v>8093</v>
      </c>
      <c r="F301">
        <v>272.53332999999998</v>
      </c>
      <c r="G301">
        <v>194.8</v>
      </c>
      <c r="H301">
        <v>1.3990416999999999</v>
      </c>
      <c r="I301">
        <v>-0.39904168000000001</v>
      </c>
      <c r="J301">
        <v>0.41683313</v>
      </c>
    </row>
    <row r="302" spans="1:10" x14ac:dyDescent="0.3">
      <c r="A302">
        <v>300</v>
      </c>
      <c r="B302">
        <v>6389</v>
      </c>
      <c r="C302" t="b">
        <v>1</v>
      </c>
      <c r="D302">
        <v>8135</v>
      </c>
      <c r="E302">
        <v>8099</v>
      </c>
      <c r="F302">
        <v>272.53332999999998</v>
      </c>
      <c r="G302">
        <v>194</v>
      </c>
      <c r="H302">
        <v>1.4048109</v>
      </c>
      <c r="I302">
        <v>-0.40481096999999999</v>
      </c>
      <c r="J302">
        <v>0.41583312</v>
      </c>
    </row>
    <row r="303" spans="1:10" x14ac:dyDescent="0.3">
      <c r="A303">
        <v>301</v>
      </c>
      <c r="B303">
        <v>6405</v>
      </c>
      <c r="C303" t="b">
        <v>1</v>
      </c>
      <c r="D303">
        <v>8117</v>
      </c>
      <c r="E303">
        <v>8111</v>
      </c>
      <c r="F303">
        <v>272.53332999999998</v>
      </c>
      <c r="G303">
        <v>193.2</v>
      </c>
      <c r="H303">
        <v>1.410628</v>
      </c>
      <c r="I303">
        <v>-0.41062799999999999</v>
      </c>
      <c r="J303">
        <v>0.41482964</v>
      </c>
    </row>
    <row r="304" spans="1:10" x14ac:dyDescent="0.3">
      <c r="A304">
        <v>302</v>
      </c>
      <c r="B304">
        <v>6437</v>
      </c>
      <c r="C304" t="b">
        <v>1</v>
      </c>
      <c r="D304">
        <v>8111</v>
      </c>
      <c r="E304">
        <v>8117</v>
      </c>
      <c r="F304">
        <v>272.53332999999998</v>
      </c>
      <c r="G304">
        <v>192.4</v>
      </c>
      <c r="H304">
        <v>1.4164934</v>
      </c>
      <c r="I304">
        <v>-0.41649342</v>
      </c>
      <c r="J304">
        <v>0.41382277000000001</v>
      </c>
    </row>
    <row r="305" spans="1:10" x14ac:dyDescent="0.3">
      <c r="A305">
        <v>303</v>
      </c>
      <c r="B305">
        <v>6468</v>
      </c>
      <c r="C305" t="b">
        <v>1</v>
      </c>
      <c r="D305">
        <v>8146</v>
      </c>
      <c r="E305">
        <v>8099</v>
      </c>
      <c r="F305">
        <v>273.33334000000002</v>
      </c>
      <c r="G305">
        <v>191.6</v>
      </c>
      <c r="H305">
        <v>1.4265832000000001</v>
      </c>
      <c r="I305">
        <v>-0.42658317000000001</v>
      </c>
      <c r="J305">
        <v>0.41210210000000003</v>
      </c>
    </row>
    <row r="306" spans="1:10" x14ac:dyDescent="0.3">
      <c r="A306">
        <v>304</v>
      </c>
      <c r="B306">
        <v>6484</v>
      </c>
      <c r="C306" t="b">
        <v>1</v>
      </c>
      <c r="D306">
        <v>8140</v>
      </c>
      <c r="E306">
        <v>8099</v>
      </c>
      <c r="F306">
        <v>274.53332999999998</v>
      </c>
      <c r="G306">
        <v>190.8</v>
      </c>
      <c r="H306">
        <v>1.4388539</v>
      </c>
      <c r="I306">
        <v>-0.43885390000000002</v>
      </c>
      <c r="J306">
        <v>0.41002866999999998</v>
      </c>
    </row>
    <row r="307" spans="1:10" x14ac:dyDescent="0.3">
      <c r="A307">
        <v>305</v>
      </c>
      <c r="B307">
        <v>6500</v>
      </c>
      <c r="C307" t="b">
        <v>1</v>
      </c>
      <c r="D307">
        <v>8111</v>
      </c>
      <c r="E307">
        <v>8111</v>
      </c>
      <c r="F307">
        <v>274.53332999999998</v>
      </c>
      <c r="G307">
        <v>190.8</v>
      </c>
      <c r="H307">
        <v>1.4388539</v>
      </c>
      <c r="I307">
        <v>-0.43885390000000002</v>
      </c>
      <c r="J307">
        <v>0.41002866999999998</v>
      </c>
    </row>
    <row r="308" spans="1:10" x14ac:dyDescent="0.3">
      <c r="A308">
        <v>306</v>
      </c>
      <c r="B308">
        <v>6516</v>
      </c>
      <c r="C308" t="b">
        <v>1</v>
      </c>
      <c r="D308">
        <v>8129</v>
      </c>
      <c r="E308">
        <v>8105</v>
      </c>
      <c r="F308">
        <v>275.33334000000002</v>
      </c>
      <c r="G308">
        <v>190</v>
      </c>
      <c r="H308">
        <v>1.4491229000000001</v>
      </c>
      <c r="I308">
        <v>-0.44912285000000002</v>
      </c>
      <c r="J308">
        <v>0.40830946000000001</v>
      </c>
    </row>
    <row r="309" spans="1:10" x14ac:dyDescent="0.3">
      <c r="A309">
        <v>307</v>
      </c>
      <c r="B309">
        <v>6532</v>
      </c>
      <c r="C309" t="b">
        <v>1</v>
      </c>
      <c r="D309">
        <v>8152</v>
      </c>
      <c r="E309">
        <v>8134</v>
      </c>
      <c r="F309">
        <v>276.86667</v>
      </c>
      <c r="G309">
        <v>189.2</v>
      </c>
      <c r="H309">
        <v>1.4633544999999999</v>
      </c>
      <c r="I309">
        <v>-0.4633545</v>
      </c>
      <c r="J309">
        <v>0.40595051999999998</v>
      </c>
    </row>
    <row r="310" spans="1:10" x14ac:dyDescent="0.3">
      <c r="A310">
        <v>308</v>
      </c>
      <c r="B310">
        <v>6548</v>
      </c>
      <c r="C310" t="b">
        <v>1</v>
      </c>
      <c r="D310">
        <v>8140</v>
      </c>
      <c r="E310">
        <v>8093</v>
      </c>
      <c r="F310">
        <v>278.39999999999998</v>
      </c>
      <c r="G310">
        <v>188.4</v>
      </c>
      <c r="H310">
        <v>1.4777070000000001</v>
      </c>
      <c r="I310">
        <v>-0.47770702999999998</v>
      </c>
      <c r="J310">
        <v>0.40359896000000001</v>
      </c>
    </row>
    <row r="311" spans="1:10" x14ac:dyDescent="0.3">
      <c r="A311">
        <v>309</v>
      </c>
      <c r="B311">
        <v>6564</v>
      </c>
      <c r="C311" t="b">
        <v>1</v>
      </c>
      <c r="D311">
        <v>8129</v>
      </c>
      <c r="E311">
        <v>8111</v>
      </c>
      <c r="F311">
        <v>279.93331999999998</v>
      </c>
      <c r="G311">
        <v>188.4</v>
      </c>
      <c r="H311">
        <v>1.4858457</v>
      </c>
      <c r="I311">
        <v>-0.48584569</v>
      </c>
      <c r="J311">
        <v>0.40227760000000001</v>
      </c>
    </row>
    <row r="312" spans="1:10" x14ac:dyDescent="0.3">
      <c r="A312">
        <v>310</v>
      </c>
      <c r="B312">
        <v>6595</v>
      </c>
      <c r="C312" t="b">
        <v>1</v>
      </c>
      <c r="D312">
        <v>8158</v>
      </c>
      <c r="E312">
        <v>8093</v>
      </c>
      <c r="F312">
        <v>282.2</v>
      </c>
      <c r="G312">
        <v>188.4</v>
      </c>
      <c r="H312">
        <v>1.4978769999999999</v>
      </c>
      <c r="I312">
        <v>-0.49787696999999997</v>
      </c>
      <c r="J312">
        <v>0.40033995999999999</v>
      </c>
    </row>
    <row r="313" spans="1:10" x14ac:dyDescent="0.3">
      <c r="A313">
        <v>311</v>
      </c>
      <c r="B313">
        <v>6626</v>
      </c>
      <c r="C313" t="b">
        <v>1</v>
      </c>
      <c r="D313">
        <v>8106</v>
      </c>
      <c r="E313">
        <v>8099</v>
      </c>
      <c r="F313">
        <v>284.46667000000002</v>
      </c>
      <c r="G313">
        <v>188</v>
      </c>
      <c r="H313">
        <v>1.5131207</v>
      </c>
      <c r="I313">
        <v>-0.51312060000000004</v>
      </c>
      <c r="J313">
        <v>0.39791167</v>
      </c>
    </row>
    <row r="314" spans="1:10" x14ac:dyDescent="0.3">
      <c r="A314">
        <v>312</v>
      </c>
      <c r="B314">
        <v>6658</v>
      </c>
      <c r="C314" t="b">
        <v>1</v>
      </c>
      <c r="D314">
        <v>8152</v>
      </c>
      <c r="E314">
        <v>8105</v>
      </c>
      <c r="F314">
        <v>287.13333</v>
      </c>
      <c r="G314">
        <v>187.6</v>
      </c>
      <c r="H314">
        <v>1.5305614000000001</v>
      </c>
      <c r="I314">
        <v>-0.53056144999999999</v>
      </c>
      <c r="J314">
        <v>0.39516922999999998</v>
      </c>
    </row>
    <row r="315" spans="1:10" x14ac:dyDescent="0.3">
      <c r="A315">
        <v>313</v>
      </c>
      <c r="B315">
        <v>6689</v>
      </c>
      <c r="C315" t="b">
        <v>1</v>
      </c>
      <c r="D315">
        <v>8106</v>
      </c>
      <c r="E315">
        <v>8129</v>
      </c>
      <c r="F315">
        <v>289.06668000000002</v>
      </c>
      <c r="G315">
        <v>187.6</v>
      </c>
      <c r="H315">
        <v>1.5408671</v>
      </c>
      <c r="I315">
        <v>-0.54086710000000005</v>
      </c>
      <c r="J315">
        <v>0.39356643000000002</v>
      </c>
    </row>
    <row r="316" spans="1:10" x14ac:dyDescent="0.3">
      <c r="A316">
        <v>314</v>
      </c>
      <c r="B316">
        <v>6721</v>
      </c>
      <c r="C316" t="b">
        <v>1</v>
      </c>
      <c r="D316">
        <v>8111</v>
      </c>
      <c r="E316">
        <v>8117</v>
      </c>
      <c r="F316">
        <v>288.66665999999998</v>
      </c>
      <c r="G316">
        <v>188</v>
      </c>
      <c r="H316">
        <v>1.535461</v>
      </c>
      <c r="I316">
        <v>-0.53546095000000005</v>
      </c>
      <c r="J316">
        <v>0.39440560000000002</v>
      </c>
    </row>
    <row r="317" spans="1:10" x14ac:dyDescent="0.3">
      <c r="A317">
        <v>315</v>
      </c>
      <c r="B317">
        <v>6737</v>
      </c>
      <c r="C317" t="b">
        <v>1</v>
      </c>
      <c r="D317">
        <v>8123</v>
      </c>
      <c r="E317">
        <v>8099</v>
      </c>
      <c r="F317">
        <v>288.26666</v>
      </c>
      <c r="G317">
        <v>188.4</v>
      </c>
      <c r="H317">
        <v>1.5300779</v>
      </c>
      <c r="I317">
        <v>-0.53007789999999999</v>
      </c>
      <c r="J317">
        <v>0.39524474999999998</v>
      </c>
    </row>
    <row r="318" spans="1:10" x14ac:dyDescent="0.3">
      <c r="A318">
        <v>316</v>
      </c>
      <c r="B318">
        <v>6768</v>
      </c>
      <c r="C318" t="b">
        <v>1</v>
      </c>
      <c r="D318">
        <v>8117</v>
      </c>
      <c r="E318">
        <v>8111</v>
      </c>
      <c r="F318">
        <v>288.26666</v>
      </c>
      <c r="G318">
        <v>189.2</v>
      </c>
      <c r="H318">
        <v>1.5236082</v>
      </c>
      <c r="I318">
        <v>-0.52360815000000005</v>
      </c>
      <c r="J318">
        <v>0.39625802999999998</v>
      </c>
    </row>
    <row r="319" spans="1:10" x14ac:dyDescent="0.3">
      <c r="A319">
        <v>317</v>
      </c>
      <c r="B319">
        <v>6784</v>
      </c>
      <c r="C319" t="b">
        <v>1</v>
      </c>
      <c r="D319">
        <v>8117</v>
      </c>
      <c r="E319">
        <v>8111</v>
      </c>
      <c r="F319">
        <v>288.26666</v>
      </c>
      <c r="G319">
        <v>190</v>
      </c>
      <c r="H319">
        <v>1.517193</v>
      </c>
      <c r="I319">
        <v>-0.51719296000000003</v>
      </c>
      <c r="J319">
        <v>0.39726790000000001</v>
      </c>
    </row>
    <row r="320" spans="1:10" x14ac:dyDescent="0.3">
      <c r="A320">
        <v>318</v>
      </c>
      <c r="B320">
        <v>6816</v>
      </c>
      <c r="C320" t="b">
        <v>1</v>
      </c>
      <c r="D320">
        <v>8135</v>
      </c>
      <c r="E320">
        <v>8117</v>
      </c>
      <c r="F320">
        <v>287.46667000000002</v>
      </c>
      <c r="G320">
        <v>190.8</v>
      </c>
      <c r="H320">
        <v>1.5066387999999999</v>
      </c>
      <c r="I320">
        <v>-0.5066387</v>
      </c>
      <c r="J320">
        <v>0.39894062000000002</v>
      </c>
    </row>
    <row r="321" spans="1:10" x14ac:dyDescent="0.3">
      <c r="A321">
        <v>319</v>
      </c>
      <c r="B321">
        <v>6848</v>
      </c>
      <c r="C321" t="b">
        <v>1</v>
      </c>
      <c r="D321">
        <v>8111</v>
      </c>
      <c r="E321">
        <v>8105</v>
      </c>
      <c r="F321">
        <v>286.26666</v>
      </c>
      <c r="G321">
        <v>191.6</v>
      </c>
      <c r="H321">
        <v>1.4940848</v>
      </c>
      <c r="I321">
        <v>-0.49408484000000003</v>
      </c>
      <c r="J321">
        <v>0.40094867000000001</v>
      </c>
    </row>
    <row r="322" spans="1:10" x14ac:dyDescent="0.3">
      <c r="A322">
        <v>320</v>
      </c>
      <c r="B322">
        <v>6864</v>
      </c>
      <c r="C322" t="b">
        <v>1</v>
      </c>
      <c r="D322">
        <v>8111</v>
      </c>
      <c r="E322">
        <v>8099</v>
      </c>
      <c r="F322">
        <v>286.26666</v>
      </c>
      <c r="G322">
        <v>191.6</v>
      </c>
      <c r="H322">
        <v>1.4940848</v>
      </c>
      <c r="I322">
        <v>-0.49408484000000003</v>
      </c>
      <c r="J322">
        <v>0.40094867000000001</v>
      </c>
    </row>
    <row r="323" spans="1:10" x14ac:dyDescent="0.3">
      <c r="A323">
        <v>321</v>
      </c>
      <c r="B323">
        <v>6880</v>
      </c>
      <c r="C323" t="b">
        <v>1</v>
      </c>
      <c r="D323">
        <v>8106</v>
      </c>
      <c r="E323">
        <v>8134</v>
      </c>
      <c r="F323">
        <v>285.06668000000002</v>
      </c>
      <c r="G323">
        <v>192</v>
      </c>
      <c r="H323">
        <v>1.4847223000000001</v>
      </c>
      <c r="I323">
        <v>-0.48472229999999999</v>
      </c>
      <c r="J323">
        <v>0.40245946999999999</v>
      </c>
    </row>
    <row r="324" spans="1:10" x14ac:dyDescent="0.3">
      <c r="A324">
        <v>322</v>
      </c>
      <c r="B324">
        <v>6896</v>
      </c>
      <c r="C324" t="b">
        <v>1</v>
      </c>
      <c r="D324">
        <v>8129</v>
      </c>
      <c r="E324">
        <v>8111</v>
      </c>
      <c r="F324">
        <v>283.13333</v>
      </c>
      <c r="G324">
        <v>192.4</v>
      </c>
      <c r="H324">
        <v>1.4715871</v>
      </c>
      <c r="I324">
        <v>-0.47158699999999998</v>
      </c>
      <c r="J324">
        <v>0.40459833000000001</v>
      </c>
    </row>
    <row r="325" spans="1:10" x14ac:dyDescent="0.3">
      <c r="A325">
        <v>323</v>
      </c>
      <c r="B325">
        <v>6928</v>
      </c>
      <c r="C325" t="b">
        <v>1</v>
      </c>
      <c r="D325">
        <v>8111</v>
      </c>
      <c r="E325">
        <v>8105</v>
      </c>
      <c r="F325">
        <v>281.2</v>
      </c>
      <c r="G325">
        <v>192.4</v>
      </c>
      <c r="H325">
        <v>1.4615385999999999</v>
      </c>
      <c r="I325">
        <v>-0.46153857999999998</v>
      </c>
      <c r="J325">
        <v>0.40624997000000002</v>
      </c>
    </row>
    <row r="326" spans="1:10" x14ac:dyDescent="0.3">
      <c r="A326">
        <v>324</v>
      </c>
      <c r="B326">
        <v>6960</v>
      </c>
      <c r="C326" t="b">
        <v>1</v>
      </c>
      <c r="D326">
        <v>8111</v>
      </c>
      <c r="E326">
        <v>8099</v>
      </c>
      <c r="F326">
        <v>280</v>
      </c>
      <c r="G326">
        <v>192</v>
      </c>
      <c r="H326">
        <v>1.4583333999999999</v>
      </c>
      <c r="I326">
        <v>-0.45833333999999998</v>
      </c>
      <c r="J326">
        <v>0.40677964999999999</v>
      </c>
    </row>
    <row r="327" spans="1:10" x14ac:dyDescent="0.3">
      <c r="A327">
        <v>325</v>
      </c>
      <c r="B327">
        <v>6976</v>
      </c>
      <c r="C327" t="b">
        <v>1</v>
      </c>
      <c r="D327">
        <v>8117</v>
      </c>
      <c r="E327">
        <v>8111</v>
      </c>
      <c r="F327">
        <v>278.06668000000002</v>
      </c>
      <c r="G327">
        <v>192.4</v>
      </c>
      <c r="H327">
        <v>1.4452529999999999</v>
      </c>
      <c r="I327">
        <v>-0.44525306999999997</v>
      </c>
      <c r="J327">
        <v>0.40895563000000001</v>
      </c>
    </row>
    <row r="328" spans="1:10" x14ac:dyDescent="0.3">
      <c r="A328">
        <v>326</v>
      </c>
      <c r="B328">
        <v>6992</v>
      </c>
      <c r="C328" t="b">
        <v>1</v>
      </c>
      <c r="D328">
        <v>8123</v>
      </c>
      <c r="E328">
        <v>8111</v>
      </c>
      <c r="F328">
        <v>276.53332999999998</v>
      </c>
      <c r="G328">
        <v>193.2</v>
      </c>
      <c r="H328">
        <v>1.431332</v>
      </c>
      <c r="I328">
        <v>-0.43133192999999997</v>
      </c>
      <c r="J328">
        <v>0.41129716999999999</v>
      </c>
    </row>
    <row r="329" spans="1:10" x14ac:dyDescent="0.3">
      <c r="A329">
        <v>327</v>
      </c>
      <c r="B329">
        <v>7008</v>
      </c>
      <c r="C329" t="b">
        <v>1</v>
      </c>
      <c r="D329">
        <v>8100</v>
      </c>
      <c r="E329">
        <v>8111</v>
      </c>
      <c r="F329">
        <v>274.60000000000002</v>
      </c>
      <c r="G329">
        <v>194</v>
      </c>
      <c r="H329">
        <v>1.4154639</v>
      </c>
      <c r="I329">
        <v>-0.41546395000000003</v>
      </c>
      <c r="J329">
        <v>0.41399913999999999</v>
      </c>
    </row>
    <row r="330" spans="1:10" x14ac:dyDescent="0.3">
      <c r="A330">
        <v>328</v>
      </c>
      <c r="B330">
        <v>7024</v>
      </c>
      <c r="C330" t="b">
        <v>1</v>
      </c>
      <c r="D330">
        <v>8135</v>
      </c>
      <c r="E330">
        <v>8111</v>
      </c>
      <c r="F330">
        <v>273.8</v>
      </c>
      <c r="G330">
        <v>194.4</v>
      </c>
      <c r="H330">
        <v>1.4084361999999999</v>
      </c>
      <c r="I330">
        <v>-0.40843620000000003</v>
      </c>
      <c r="J330">
        <v>0.41520718000000001</v>
      </c>
    </row>
    <row r="331" spans="1:10" x14ac:dyDescent="0.3">
      <c r="A331">
        <v>329</v>
      </c>
      <c r="B331">
        <v>7040</v>
      </c>
      <c r="C331" t="b">
        <v>1</v>
      </c>
      <c r="D331">
        <v>8129</v>
      </c>
      <c r="E331">
        <v>8093</v>
      </c>
      <c r="F331">
        <v>274.60000000000002</v>
      </c>
      <c r="G331">
        <v>194.8</v>
      </c>
      <c r="H331">
        <v>1.4096508999999999</v>
      </c>
      <c r="I331">
        <v>-0.40965091999999997</v>
      </c>
      <c r="J331">
        <v>0.41499785</v>
      </c>
    </row>
    <row r="332" spans="1:10" x14ac:dyDescent="0.3">
      <c r="A332">
        <v>330</v>
      </c>
      <c r="B332">
        <v>7056</v>
      </c>
      <c r="C332" t="b">
        <v>1</v>
      </c>
      <c r="D332">
        <v>8123</v>
      </c>
      <c r="E332">
        <v>8117</v>
      </c>
      <c r="F332">
        <v>275.39999999999998</v>
      </c>
      <c r="G332">
        <v>195.2</v>
      </c>
      <c r="H332">
        <v>1.4108607</v>
      </c>
      <c r="I332">
        <v>-0.41086065999999999</v>
      </c>
      <c r="J332">
        <v>0.41478965000000001</v>
      </c>
    </row>
    <row r="333" spans="1:10" x14ac:dyDescent="0.3">
      <c r="A333">
        <v>331</v>
      </c>
      <c r="B333">
        <v>7088</v>
      </c>
      <c r="C333" t="b">
        <v>1</v>
      </c>
      <c r="D333">
        <v>8111</v>
      </c>
      <c r="E333">
        <v>8099</v>
      </c>
      <c r="F333">
        <v>275.8</v>
      </c>
      <c r="G333">
        <v>195.2</v>
      </c>
      <c r="H333">
        <v>1.4129096999999999</v>
      </c>
      <c r="I333">
        <v>-0.41290979999999999</v>
      </c>
      <c r="J333">
        <v>0.41443734999999998</v>
      </c>
    </row>
    <row r="334" spans="1:10" x14ac:dyDescent="0.3">
      <c r="A334">
        <v>332</v>
      </c>
      <c r="B334">
        <v>7104</v>
      </c>
      <c r="C334" t="b">
        <v>1</v>
      </c>
      <c r="D334">
        <v>8094</v>
      </c>
      <c r="E334">
        <v>8099</v>
      </c>
      <c r="F334">
        <v>276.2</v>
      </c>
      <c r="G334">
        <v>194.4</v>
      </c>
      <c r="H334">
        <v>1.420782</v>
      </c>
      <c r="I334">
        <v>-0.42078199999999999</v>
      </c>
      <c r="J334">
        <v>0.41308966000000003</v>
      </c>
    </row>
    <row r="335" spans="1:10" x14ac:dyDescent="0.3">
      <c r="A335">
        <v>333</v>
      </c>
      <c r="B335">
        <v>7135</v>
      </c>
      <c r="C335" t="b">
        <v>1</v>
      </c>
      <c r="D335">
        <v>8135</v>
      </c>
      <c r="E335">
        <v>8111</v>
      </c>
      <c r="F335">
        <v>276.60000000000002</v>
      </c>
      <c r="G335">
        <v>193.6</v>
      </c>
      <c r="H335">
        <v>1.4287190000000001</v>
      </c>
      <c r="I335">
        <v>-0.42871898000000003</v>
      </c>
      <c r="J335">
        <v>0.41173968</v>
      </c>
    </row>
    <row r="336" spans="1:10" x14ac:dyDescent="0.3">
      <c r="A336">
        <v>334</v>
      </c>
      <c r="B336">
        <v>7166</v>
      </c>
      <c r="C336" t="b">
        <v>1</v>
      </c>
      <c r="D336">
        <v>8146</v>
      </c>
      <c r="E336">
        <v>8111</v>
      </c>
      <c r="F336">
        <v>277</v>
      </c>
      <c r="G336">
        <v>193.6</v>
      </c>
      <c r="H336">
        <v>1.4307851</v>
      </c>
      <c r="I336">
        <v>-0.43078509999999998</v>
      </c>
      <c r="J336">
        <v>0.41138970000000002</v>
      </c>
    </row>
    <row r="337" spans="1:10" x14ac:dyDescent="0.3">
      <c r="A337">
        <v>335</v>
      </c>
      <c r="B337">
        <v>7198</v>
      </c>
      <c r="C337" t="b">
        <v>1</v>
      </c>
      <c r="D337">
        <v>8123</v>
      </c>
      <c r="E337">
        <v>8111</v>
      </c>
      <c r="F337">
        <v>277.39999999999998</v>
      </c>
      <c r="G337">
        <v>193.6</v>
      </c>
      <c r="H337">
        <v>1.4328512</v>
      </c>
      <c r="I337">
        <v>-0.43285117000000001</v>
      </c>
      <c r="J337">
        <v>0.41104036999999999</v>
      </c>
    </row>
    <row r="338" spans="1:10" x14ac:dyDescent="0.3">
      <c r="A338">
        <v>336</v>
      </c>
      <c r="B338">
        <v>7213</v>
      </c>
      <c r="C338" t="b">
        <v>1</v>
      </c>
      <c r="D338">
        <v>8111</v>
      </c>
      <c r="E338">
        <v>8129</v>
      </c>
      <c r="F338">
        <v>278.2</v>
      </c>
      <c r="G338">
        <v>193.6</v>
      </c>
      <c r="H338">
        <v>1.4369835</v>
      </c>
      <c r="I338">
        <v>-0.43698350000000002</v>
      </c>
      <c r="J338">
        <v>0.41034335</v>
      </c>
    </row>
    <row r="339" spans="1:10" x14ac:dyDescent="0.3">
      <c r="A339">
        <v>337</v>
      </c>
      <c r="B339">
        <v>7230</v>
      </c>
      <c r="C339" t="b">
        <v>1</v>
      </c>
      <c r="D339">
        <v>8123</v>
      </c>
      <c r="E339">
        <v>8129</v>
      </c>
      <c r="F339">
        <v>279</v>
      </c>
      <c r="G339">
        <v>193.6</v>
      </c>
      <c r="H339">
        <v>1.4411156000000001</v>
      </c>
      <c r="I339">
        <v>-0.44111565000000003</v>
      </c>
      <c r="J339">
        <v>0.40964875000000001</v>
      </c>
    </row>
    <row r="340" spans="1:10" x14ac:dyDescent="0.3">
      <c r="A340">
        <v>338</v>
      </c>
      <c r="B340">
        <v>7246</v>
      </c>
      <c r="C340" t="b">
        <v>1</v>
      </c>
      <c r="D340">
        <v>8100</v>
      </c>
      <c r="E340">
        <v>8111</v>
      </c>
      <c r="F340">
        <v>279.8</v>
      </c>
      <c r="G340">
        <v>194</v>
      </c>
      <c r="H340">
        <v>1.4422680000000001</v>
      </c>
      <c r="I340">
        <v>-0.44226798</v>
      </c>
      <c r="J340">
        <v>0.40945547999999998</v>
      </c>
    </row>
    <row r="341" spans="1:10" x14ac:dyDescent="0.3">
      <c r="A341">
        <v>339</v>
      </c>
      <c r="B341">
        <v>7261</v>
      </c>
      <c r="C341" t="b">
        <v>1</v>
      </c>
      <c r="D341">
        <v>8117</v>
      </c>
      <c r="E341">
        <v>8099</v>
      </c>
      <c r="F341">
        <v>280.2</v>
      </c>
      <c r="G341">
        <v>194.4</v>
      </c>
      <c r="H341">
        <v>1.4413581</v>
      </c>
      <c r="I341">
        <v>-0.44135812000000002</v>
      </c>
      <c r="J341">
        <v>0.40960806999999999</v>
      </c>
    </row>
    <row r="342" spans="1:10" x14ac:dyDescent="0.3">
      <c r="A342">
        <v>340</v>
      </c>
      <c r="B342">
        <v>7292</v>
      </c>
      <c r="C342" t="b">
        <v>1</v>
      </c>
      <c r="D342">
        <v>8140</v>
      </c>
      <c r="E342">
        <v>8093</v>
      </c>
      <c r="F342">
        <v>280.60000000000002</v>
      </c>
      <c r="G342">
        <v>194.4</v>
      </c>
      <c r="H342">
        <v>1.4434157999999999</v>
      </c>
      <c r="I342">
        <v>-0.44341570000000002</v>
      </c>
      <c r="J342">
        <v>0.40926312999999997</v>
      </c>
    </row>
    <row r="343" spans="1:10" x14ac:dyDescent="0.3">
      <c r="A343">
        <v>341</v>
      </c>
      <c r="B343">
        <v>7308</v>
      </c>
      <c r="C343" t="b">
        <v>1</v>
      </c>
      <c r="D343">
        <v>8123</v>
      </c>
      <c r="E343">
        <v>8099</v>
      </c>
      <c r="F343">
        <v>281</v>
      </c>
      <c r="G343">
        <v>193.6</v>
      </c>
      <c r="H343">
        <v>1.4514463</v>
      </c>
      <c r="I343">
        <v>-0.45144624</v>
      </c>
      <c r="J343">
        <v>0.40792247999999998</v>
      </c>
    </row>
    <row r="344" spans="1:10" x14ac:dyDescent="0.3">
      <c r="A344">
        <v>342</v>
      </c>
      <c r="B344">
        <v>7324</v>
      </c>
      <c r="C344" t="b">
        <v>1</v>
      </c>
      <c r="D344">
        <v>8123</v>
      </c>
      <c r="E344">
        <v>8099</v>
      </c>
      <c r="F344">
        <v>281.8</v>
      </c>
      <c r="G344">
        <v>192.8</v>
      </c>
      <c r="H344">
        <v>1.4616182</v>
      </c>
      <c r="I344">
        <v>-0.46161818999999998</v>
      </c>
      <c r="J344">
        <v>0.40623685999999998</v>
      </c>
    </row>
    <row r="345" spans="1:10" x14ac:dyDescent="0.3">
      <c r="A345">
        <v>343</v>
      </c>
      <c r="B345">
        <v>7339</v>
      </c>
      <c r="C345" t="b">
        <v>1</v>
      </c>
      <c r="D345">
        <v>8135</v>
      </c>
      <c r="E345">
        <v>8105</v>
      </c>
      <c r="F345">
        <v>282.2</v>
      </c>
      <c r="G345">
        <v>192</v>
      </c>
      <c r="H345">
        <v>1.4697918000000001</v>
      </c>
      <c r="I345">
        <v>-0.46979174000000001</v>
      </c>
      <c r="J345">
        <v>0.40489244000000002</v>
      </c>
    </row>
    <row r="346" spans="1:10" x14ac:dyDescent="0.3">
      <c r="A346">
        <v>344</v>
      </c>
      <c r="B346">
        <v>7355</v>
      </c>
      <c r="C346" t="b">
        <v>1</v>
      </c>
      <c r="D346">
        <v>8146</v>
      </c>
      <c r="E346">
        <v>8111</v>
      </c>
      <c r="F346">
        <v>283</v>
      </c>
      <c r="G346">
        <v>191.2</v>
      </c>
      <c r="H346">
        <v>1.4801255</v>
      </c>
      <c r="I346">
        <v>-0.48012555000000001</v>
      </c>
      <c r="J346">
        <v>0.40320539999999999</v>
      </c>
    </row>
    <row r="347" spans="1:10" x14ac:dyDescent="0.3">
      <c r="A347">
        <v>345</v>
      </c>
      <c r="B347">
        <v>7371</v>
      </c>
      <c r="C347" t="b">
        <v>1</v>
      </c>
      <c r="D347">
        <v>8123</v>
      </c>
      <c r="E347">
        <v>8105</v>
      </c>
      <c r="F347">
        <v>283</v>
      </c>
      <c r="G347">
        <v>190.8</v>
      </c>
      <c r="H347">
        <v>1.4832284</v>
      </c>
      <c r="I347">
        <v>-0.48322847000000002</v>
      </c>
      <c r="J347">
        <v>0.40270159999999999</v>
      </c>
    </row>
    <row r="348" spans="1:10" x14ac:dyDescent="0.3">
      <c r="A348">
        <v>346</v>
      </c>
      <c r="B348">
        <v>7387</v>
      </c>
      <c r="C348" t="b">
        <v>1</v>
      </c>
      <c r="D348">
        <v>8129</v>
      </c>
      <c r="E348">
        <v>8117</v>
      </c>
      <c r="F348">
        <v>283.39999999999998</v>
      </c>
      <c r="G348">
        <v>190.4</v>
      </c>
      <c r="H348">
        <v>1.4884454</v>
      </c>
      <c r="I348">
        <v>-0.48844539999999997</v>
      </c>
      <c r="J348">
        <v>0.40185732000000002</v>
      </c>
    </row>
    <row r="349" spans="1:10" x14ac:dyDescent="0.3">
      <c r="A349">
        <v>347</v>
      </c>
      <c r="B349">
        <v>7403</v>
      </c>
      <c r="C349" t="b">
        <v>1</v>
      </c>
      <c r="D349">
        <v>8111</v>
      </c>
      <c r="E349">
        <v>8111</v>
      </c>
      <c r="F349">
        <v>283.8</v>
      </c>
      <c r="G349">
        <v>191.2</v>
      </c>
      <c r="H349">
        <v>1.4843096</v>
      </c>
      <c r="I349">
        <v>-0.48430958000000002</v>
      </c>
      <c r="J349">
        <v>0.40252631999999999</v>
      </c>
    </row>
    <row r="350" spans="1:10" x14ac:dyDescent="0.3">
      <c r="A350">
        <v>348</v>
      </c>
      <c r="B350">
        <v>7419</v>
      </c>
      <c r="C350" t="b">
        <v>1</v>
      </c>
      <c r="D350">
        <v>8111</v>
      </c>
      <c r="E350">
        <v>8099</v>
      </c>
      <c r="F350">
        <v>283.8</v>
      </c>
      <c r="G350">
        <v>192</v>
      </c>
      <c r="H350">
        <v>1.4781249999999999</v>
      </c>
      <c r="I350">
        <v>-0.47812494999999999</v>
      </c>
      <c r="J350">
        <v>0.40353090000000003</v>
      </c>
    </row>
    <row r="351" spans="1:10" x14ac:dyDescent="0.3">
      <c r="A351">
        <v>349</v>
      </c>
      <c r="B351">
        <v>7451</v>
      </c>
      <c r="C351" t="b">
        <v>1</v>
      </c>
      <c r="D351">
        <v>8100</v>
      </c>
      <c r="E351">
        <v>8123</v>
      </c>
      <c r="F351">
        <v>283</v>
      </c>
      <c r="G351">
        <v>192</v>
      </c>
      <c r="H351">
        <v>1.4739583999999999</v>
      </c>
      <c r="I351">
        <v>-0.47395833999999998</v>
      </c>
      <c r="J351">
        <v>0.40421054000000001</v>
      </c>
    </row>
    <row r="352" spans="1:10" x14ac:dyDescent="0.3">
      <c r="A352">
        <v>350</v>
      </c>
      <c r="B352">
        <v>7483</v>
      </c>
      <c r="C352" t="b">
        <v>1</v>
      </c>
      <c r="D352">
        <v>8117</v>
      </c>
      <c r="E352">
        <v>8099</v>
      </c>
      <c r="F352">
        <v>282.2</v>
      </c>
      <c r="G352">
        <v>192</v>
      </c>
      <c r="H352">
        <v>1.4697918000000001</v>
      </c>
      <c r="I352">
        <v>-0.46979174000000001</v>
      </c>
      <c r="J352">
        <v>0.40489244000000002</v>
      </c>
    </row>
    <row r="353" spans="1:10" x14ac:dyDescent="0.3">
      <c r="A353">
        <v>351</v>
      </c>
      <c r="B353">
        <v>7515</v>
      </c>
      <c r="C353" t="b">
        <v>1</v>
      </c>
      <c r="D353">
        <v>8123</v>
      </c>
      <c r="E353">
        <v>8111</v>
      </c>
      <c r="F353">
        <v>281.39999999999998</v>
      </c>
      <c r="G353">
        <v>192</v>
      </c>
      <c r="H353">
        <v>1.4656248999999999</v>
      </c>
      <c r="I353">
        <v>-0.46562495999999998</v>
      </c>
      <c r="J353">
        <v>0.40557668000000002</v>
      </c>
    </row>
    <row r="354" spans="1:10" x14ac:dyDescent="0.3">
      <c r="A354">
        <v>352</v>
      </c>
      <c r="B354">
        <v>7531</v>
      </c>
      <c r="C354" t="b">
        <v>1</v>
      </c>
      <c r="D354">
        <v>8123</v>
      </c>
      <c r="E354">
        <v>8105</v>
      </c>
      <c r="F354">
        <v>281</v>
      </c>
      <c r="G354">
        <v>191.6</v>
      </c>
      <c r="H354">
        <v>1.4665971</v>
      </c>
      <c r="I354">
        <v>-0.46659701999999997</v>
      </c>
      <c r="J354">
        <v>0.40541685</v>
      </c>
    </row>
    <row r="355" spans="1:10" x14ac:dyDescent="0.3">
      <c r="A355">
        <v>353</v>
      </c>
      <c r="B355">
        <v>7547</v>
      </c>
      <c r="C355" t="b">
        <v>1</v>
      </c>
      <c r="D355">
        <v>8123</v>
      </c>
      <c r="E355">
        <v>8129</v>
      </c>
      <c r="F355">
        <v>281</v>
      </c>
      <c r="G355">
        <v>191.6</v>
      </c>
      <c r="H355">
        <v>1.4665971</v>
      </c>
      <c r="I355">
        <v>-0.46659701999999997</v>
      </c>
      <c r="J355">
        <v>0.40541685</v>
      </c>
    </row>
    <row r="356" spans="1:10" x14ac:dyDescent="0.3">
      <c r="A356">
        <v>354</v>
      </c>
      <c r="B356">
        <v>7562</v>
      </c>
      <c r="C356" t="b">
        <v>1</v>
      </c>
      <c r="D356">
        <v>8083</v>
      </c>
      <c r="E356">
        <v>8087</v>
      </c>
      <c r="F356">
        <v>281.39999999999998</v>
      </c>
      <c r="G356">
        <v>191.2</v>
      </c>
      <c r="H356">
        <v>1.4717572999999999</v>
      </c>
      <c r="I356">
        <v>-0.47175731999999998</v>
      </c>
      <c r="J356">
        <v>0.4045705</v>
      </c>
    </row>
    <row r="357" spans="1:10" x14ac:dyDescent="0.3">
      <c r="A357">
        <v>355</v>
      </c>
      <c r="B357">
        <v>7578</v>
      </c>
      <c r="C357" t="b">
        <v>1</v>
      </c>
      <c r="D357">
        <v>8111</v>
      </c>
      <c r="E357">
        <v>8123</v>
      </c>
      <c r="F357">
        <v>281.8</v>
      </c>
      <c r="G357">
        <v>191.2</v>
      </c>
      <c r="H357">
        <v>1.4738492999999999</v>
      </c>
      <c r="I357">
        <v>-0.47384933000000001</v>
      </c>
      <c r="J357">
        <v>0.40422833000000002</v>
      </c>
    </row>
    <row r="358" spans="1:10" x14ac:dyDescent="0.3">
      <c r="A358">
        <v>356</v>
      </c>
      <c r="B358">
        <v>7594</v>
      </c>
      <c r="C358" t="b">
        <v>1</v>
      </c>
      <c r="D358">
        <v>8100</v>
      </c>
      <c r="E358">
        <v>8093</v>
      </c>
      <c r="F358">
        <v>281</v>
      </c>
      <c r="G358">
        <v>191.6</v>
      </c>
      <c r="H358">
        <v>1.4665971</v>
      </c>
      <c r="I358">
        <v>-0.46659701999999997</v>
      </c>
      <c r="J358">
        <v>0.40541685</v>
      </c>
    </row>
    <row r="359" spans="1:10" x14ac:dyDescent="0.3">
      <c r="A359">
        <v>357</v>
      </c>
      <c r="B359">
        <v>7610</v>
      </c>
      <c r="C359" t="b">
        <v>1</v>
      </c>
      <c r="D359">
        <v>8129</v>
      </c>
      <c r="E359">
        <v>8099</v>
      </c>
      <c r="F359">
        <v>280.2</v>
      </c>
      <c r="G359">
        <v>191.6</v>
      </c>
      <c r="H359">
        <v>1.4624218</v>
      </c>
      <c r="I359">
        <v>-0.46242171999999998</v>
      </c>
      <c r="J359">
        <v>0.40610426999999999</v>
      </c>
    </row>
    <row r="360" spans="1:10" x14ac:dyDescent="0.3">
      <c r="A360">
        <v>358</v>
      </c>
      <c r="B360">
        <v>7642</v>
      </c>
      <c r="C360" t="b">
        <v>1</v>
      </c>
      <c r="D360">
        <v>8123</v>
      </c>
      <c r="E360">
        <v>8117</v>
      </c>
      <c r="F360">
        <v>279.39999999999998</v>
      </c>
      <c r="G360">
        <v>191.6</v>
      </c>
      <c r="H360">
        <v>1.4582462</v>
      </c>
      <c r="I360">
        <v>-0.45824626000000002</v>
      </c>
      <c r="J360">
        <v>0.40679407000000001</v>
      </c>
    </row>
    <row r="361" spans="1:10" x14ac:dyDescent="0.3">
      <c r="A361">
        <v>359</v>
      </c>
      <c r="B361">
        <v>7658</v>
      </c>
      <c r="C361" t="b">
        <v>1</v>
      </c>
      <c r="D361">
        <v>8094</v>
      </c>
      <c r="E361">
        <v>8099</v>
      </c>
      <c r="F361">
        <v>277.8</v>
      </c>
      <c r="G361">
        <v>191.6</v>
      </c>
      <c r="H361">
        <v>1.4498955</v>
      </c>
      <c r="I361">
        <v>-0.4498955</v>
      </c>
      <c r="J361">
        <v>0.40818068000000002</v>
      </c>
    </row>
    <row r="362" spans="1:10" x14ac:dyDescent="0.3">
      <c r="A362">
        <v>360</v>
      </c>
      <c r="B362">
        <v>7674</v>
      </c>
      <c r="C362" t="b">
        <v>1</v>
      </c>
      <c r="D362">
        <v>8094</v>
      </c>
      <c r="E362">
        <v>8129</v>
      </c>
      <c r="F362">
        <v>276.26666</v>
      </c>
      <c r="G362">
        <v>191.2</v>
      </c>
      <c r="H362">
        <v>1.4449093</v>
      </c>
      <c r="I362">
        <v>-0.44490932999999999</v>
      </c>
      <c r="J362">
        <v>0.40901310000000002</v>
      </c>
    </row>
    <row r="363" spans="1:10" x14ac:dyDescent="0.3">
      <c r="A363">
        <v>361</v>
      </c>
      <c r="B363">
        <v>7690</v>
      </c>
      <c r="C363" t="b">
        <v>1</v>
      </c>
      <c r="D363">
        <v>8094</v>
      </c>
      <c r="E363">
        <v>8099</v>
      </c>
      <c r="F363">
        <v>273.93331999999998</v>
      </c>
      <c r="G363">
        <v>190.8</v>
      </c>
      <c r="H363">
        <v>1.4357092</v>
      </c>
      <c r="I363">
        <v>-0.43570920000000002</v>
      </c>
      <c r="J363">
        <v>0.41055802000000002</v>
      </c>
    </row>
    <row r="364" spans="1:10" x14ac:dyDescent="0.3">
      <c r="A364">
        <v>362</v>
      </c>
      <c r="B364">
        <v>7705</v>
      </c>
      <c r="C364" t="b">
        <v>1</v>
      </c>
      <c r="D364">
        <v>8123</v>
      </c>
      <c r="E364">
        <v>8111</v>
      </c>
      <c r="F364">
        <v>271.60000000000002</v>
      </c>
      <c r="G364">
        <v>190.8</v>
      </c>
      <c r="H364">
        <v>1.4234800000000001</v>
      </c>
      <c r="I364">
        <v>-0.42348010000000003</v>
      </c>
      <c r="J364">
        <v>0.41262975000000002</v>
      </c>
    </row>
    <row r="365" spans="1:10" x14ac:dyDescent="0.3">
      <c r="A365">
        <v>363</v>
      </c>
      <c r="B365">
        <v>7722</v>
      </c>
      <c r="C365" t="b">
        <v>1</v>
      </c>
      <c r="D365">
        <v>8100</v>
      </c>
      <c r="E365">
        <v>8129</v>
      </c>
      <c r="F365">
        <v>269.66665999999998</v>
      </c>
      <c r="G365">
        <v>190.8</v>
      </c>
      <c r="H365">
        <v>1.4133472</v>
      </c>
      <c r="I365">
        <v>-0.41334724</v>
      </c>
      <c r="J365">
        <v>0.41436224999999999</v>
      </c>
    </row>
    <row r="366" spans="1:10" x14ac:dyDescent="0.3">
      <c r="A366">
        <v>364</v>
      </c>
      <c r="B366">
        <v>7737</v>
      </c>
      <c r="C366" t="b">
        <v>1</v>
      </c>
      <c r="D366">
        <v>8117</v>
      </c>
      <c r="E366">
        <v>8123</v>
      </c>
      <c r="F366">
        <v>268.93331999999998</v>
      </c>
      <c r="G366">
        <v>191.6</v>
      </c>
      <c r="H366">
        <v>1.4036185999999999</v>
      </c>
      <c r="I366">
        <v>-0.40361854000000003</v>
      </c>
      <c r="J366">
        <v>0.4160394</v>
      </c>
    </row>
    <row r="367" spans="1:10" x14ac:dyDescent="0.3">
      <c r="A367">
        <v>365</v>
      </c>
      <c r="B367">
        <v>7754</v>
      </c>
      <c r="C367" t="b">
        <v>1</v>
      </c>
      <c r="D367">
        <v>8100</v>
      </c>
      <c r="E367">
        <v>8117</v>
      </c>
      <c r="F367">
        <v>268.2</v>
      </c>
      <c r="G367">
        <v>192</v>
      </c>
      <c r="H367">
        <v>1.3968750000000001</v>
      </c>
      <c r="I367">
        <v>-0.39687505000000001</v>
      </c>
      <c r="J367">
        <v>0.41720990000000002</v>
      </c>
    </row>
    <row r="368" spans="1:10" x14ac:dyDescent="0.3">
      <c r="A368">
        <v>366</v>
      </c>
      <c r="B368">
        <v>7770</v>
      </c>
      <c r="C368" t="b">
        <v>1</v>
      </c>
      <c r="D368">
        <v>8117</v>
      </c>
      <c r="E368">
        <v>8099</v>
      </c>
      <c r="F368">
        <v>268.60000000000002</v>
      </c>
      <c r="G368">
        <v>192.4</v>
      </c>
      <c r="H368">
        <v>1.39605</v>
      </c>
      <c r="I368">
        <v>-0.39604998000000002</v>
      </c>
      <c r="J368">
        <v>0.41735357000000001</v>
      </c>
    </row>
    <row r="369" spans="1:10" x14ac:dyDescent="0.3">
      <c r="A369">
        <v>367</v>
      </c>
      <c r="B369">
        <v>7801</v>
      </c>
      <c r="C369" t="b">
        <v>1</v>
      </c>
      <c r="D369">
        <v>8129</v>
      </c>
      <c r="E369">
        <v>8117</v>
      </c>
      <c r="F369">
        <v>268.60000000000002</v>
      </c>
      <c r="G369">
        <v>193.2</v>
      </c>
      <c r="H369">
        <v>1.3902692000000001</v>
      </c>
      <c r="I369">
        <v>-0.39026919999999998</v>
      </c>
      <c r="J369">
        <v>0.41836295000000001</v>
      </c>
    </row>
    <row r="370" spans="1:10" x14ac:dyDescent="0.3">
      <c r="A370">
        <v>368</v>
      </c>
      <c r="B370">
        <v>7833</v>
      </c>
      <c r="C370" t="b">
        <v>1</v>
      </c>
      <c r="D370">
        <v>8117</v>
      </c>
      <c r="E370">
        <v>8099</v>
      </c>
      <c r="F370">
        <v>268.2</v>
      </c>
      <c r="G370">
        <v>193.6</v>
      </c>
      <c r="H370">
        <v>1.3853306000000001</v>
      </c>
      <c r="I370">
        <v>-0.38533060000000002</v>
      </c>
      <c r="J370">
        <v>0.41922910000000002</v>
      </c>
    </row>
    <row r="371" spans="1:10" x14ac:dyDescent="0.3">
      <c r="A371">
        <v>369</v>
      </c>
      <c r="B371">
        <v>7864</v>
      </c>
      <c r="C371" t="b">
        <v>1</v>
      </c>
      <c r="D371">
        <v>8135</v>
      </c>
      <c r="E371">
        <v>8111</v>
      </c>
      <c r="F371">
        <v>267.8</v>
      </c>
      <c r="G371">
        <v>194</v>
      </c>
      <c r="H371">
        <v>1.3804122999999999</v>
      </c>
      <c r="I371">
        <v>-0.38041229999999998</v>
      </c>
      <c r="J371">
        <v>0.4200953</v>
      </c>
    </row>
    <row r="372" spans="1:10" x14ac:dyDescent="0.3">
      <c r="A372">
        <v>370</v>
      </c>
      <c r="B372">
        <v>7896</v>
      </c>
      <c r="C372" t="b">
        <v>1</v>
      </c>
      <c r="D372">
        <v>8123</v>
      </c>
      <c r="E372">
        <v>8117</v>
      </c>
      <c r="F372">
        <v>267.8</v>
      </c>
      <c r="G372">
        <v>194</v>
      </c>
      <c r="H372">
        <v>1.3804122999999999</v>
      </c>
      <c r="I372">
        <v>-0.38041229999999998</v>
      </c>
      <c r="J372">
        <v>0.4200953</v>
      </c>
    </row>
    <row r="373" spans="1:10" x14ac:dyDescent="0.3">
      <c r="A373">
        <v>371</v>
      </c>
      <c r="B373">
        <v>7912</v>
      </c>
      <c r="C373" t="b">
        <v>1</v>
      </c>
      <c r="D373">
        <v>8117</v>
      </c>
      <c r="E373">
        <v>8105</v>
      </c>
      <c r="F373">
        <v>268.60000000000002</v>
      </c>
      <c r="G373">
        <v>194.4</v>
      </c>
      <c r="H373">
        <v>1.3816873000000001</v>
      </c>
      <c r="I373">
        <v>-0.38168730000000001</v>
      </c>
      <c r="J373">
        <v>0.41987039999999998</v>
      </c>
    </row>
    <row r="374" spans="1:10" x14ac:dyDescent="0.3">
      <c r="A374">
        <v>372</v>
      </c>
      <c r="B374">
        <v>7928</v>
      </c>
      <c r="C374" t="b">
        <v>1</v>
      </c>
      <c r="D374">
        <v>8100</v>
      </c>
      <c r="E374">
        <v>8111</v>
      </c>
      <c r="F374">
        <v>269</v>
      </c>
      <c r="G374">
        <v>195.2</v>
      </c>
      <c r="H374">
        <v>1.3780737999999999</v>
      </c>
      <c r="I374">
        <v>-0.37807378000000003</v>
      </c>
      <c r="J374">
        <v>0.42050838000000001</v>
      </c>
    </row>
    <row r="375" spans="1:10" x14ac:dyDescent="0.3">
      <c r="A375">
        <v>373</v>
      </c>
      <c r="B375">
        <v>7944</v>
      </c>
      <c r="C375" t="b">
        <v>1</v>
      </c>
      <c r="D375">
        <v>8123</v>
      </c>
      <c r="E375">
        <v>8087</v>
      </c>
      <c r="F375">
        <v>269.8</v>
      </c>
      <c r="G375">
        <v>196</v>
      </c>
      <c r="H375">
        <v>1.3765305000000001</v>
      </c>
      <c r="I375">
        <v>-0.37653056000000001</v>
      </c>
      <c r="J375">
        <v>0.42078146</v>
      </c>
    </row>
    <row r="376" spans="1:10" x14ac:dyDescent="0.3">
      <c r="A376">
        <v>374</v>
      </c>
      <c r="B376">
        <v>7960</v>
      </c>
      <c r="C376" t="b">
        <v>1</v>
      </c>
      <c r="D376">
        <v>8129</v>
      </c>
      <c r="E376">
        <v>8105</v>
      </c>
      <c r="F376">
        <v>270.60000000000002</v>
      </c>
      <c r="G376">
        <v>196.4</v>
      </c>
      <c r="H376">
        <v>1.3778005</v>
      </c>
      <c r="I376">
        <v>-0.37780049999999998</v>
      </c>
      <c r="J376">
        <v>0.42055671999999999</v>
      </c>
    </row>
    <row r="377" spans="1:10" x14ac:dyDescent="0.3">
      <c r="A377">
        <v>375</v>
      </c>
      <c r="B377">
        <v>7975</v>
      </c>
      <c r="C377" t="b">
        <v>1</v>
      </c>
      <c r="D377">
        <v>8129</v>
      </c>
      <c r="E377">
        <v>8129</v>
      </c>
      <c r="F377">
        <v>272.13333</v>
      </c>
      <c r="G377">
        <v>196.8</v>
      </c>
      <c r="H377">
        <v>1.3827913000000001</v>
      </c>
      <c r="I377">
        <v>-0.3827913</v>
      </c>
      <c r="J377">
        <v>0.41967586000000001</v>
      </c>
    </row>
    <row r="378" spans="1:10" x14ac:dyDescent="0.3">
      <c r="A378">
        <v>376</v>
      </c>
      <c r="B378">
        <v>7991</v>
      </c>
      <c r="C378" t="b">
        <v>1</v>
      </c>
      <c r="D378">
        <v>8129</v>
      </c>
      <c r="E378">
        <v>8111</v>
      </c>
      <c r="F378">
        <v>274.46667000000002</v>
      </c>
      <c r="G378">
        <v>197.6</v>
      </c>
      <c r="H378">
        <v>1.3890013999999999</v>
      </c>
      <c r="I378">
        <v>-0.38900133999999997</v>
      </c>
      <c r="J378">
        <v>0.41858494000000002</v>
      </c>
    </row>
    <row r="379" spans="1:10" x14ac:dyDescent="0.3">
      <c r="A379">
        <v>377</v>
      </c>
      <c r="B379">
        <v>8007</v>
      </c>
      <c r="C379" t="b">
        <v>1</v>
      </c>
      <c r="D379">
        <v>8111</v>
      </c>
      <c r="E379">
        <v>8093</v>
      </c>
      <c r="F379">
        <v>276.8</v>
      </c>
      <c r="G379">
        <v>197.2</v>
      </c>
      <c r="H379">
        <v>1.4036511</v>
      </c>
      <c r="I379">
        <v>-0.40365109999999998</v>
      </c>
      <c r="J379">
        <v>0.41603373999999999</v>
      </c>
    </row>
    <row r="380" spans="1:10" x14ac:dyDescent="0.3">
      <c r="A380">
        <v>378</v>
      </c>
      <c r="B380">
        <v>8023</v>
      </c>
      <c r="C380" t="b">
        <v>1</v>
      </c>
      <c r="D380">
        <v>8123</v>
      </c>
      <c r="E380">
        <v>8123</v>
      </c>
      <c r="F380">
        <v>279.13333</v>
      </c>
      <c r="G380">
        <v>197.2</v>
      </c>
      <c r="H380">
        <v>1.4154834999999999</v>
      </c>
      <c r="I380">
        <v>-0.41548343999999998</v>
      </c>
      <c r="J380">
        <v>0.41399580000000002</v>
      </c>
    </row>
    <row r="381" spans="1:10" x14ac:dyDescent="0.3">
      <c r="A381">
        <v>379</v>
      </c>
      <c r="B381">
        <v>8039</v>
      </c>
      <c r="C381" t="b">
        <v>1</v>
      </c>
      <c r="D381">
        <v>8123</v>
      </c>
      <c r="E381">
        <v>8117</v>
      </c>
      <c r="F381">
        <v>280.66665999999998</v>
      </c>
      <c r="G381">
        <v>196.8</v>
      </c>
      <c r="H381">
        <v>1.4261516000000001</v>
      </c>
      <c r="I381">
        <v>-0.42615170000000002</v>
      </c>
      <c r="J381">
        <v>0.41217535999999999</v>
      </c>
    </row>
    <row r="382" spans="1:10" x14ac:dyDescent="0.3">
      <c r="A382">
        <v>380</v>
      </c>
      <c r="B382">
        <v>8055</v>
      </c>
      <c r="C382" t="b">
        <v>1</v>
      </c>
      <c r="D382">
        <v>8123</v>
      </c>
      <c r="E382">
        <v>8123</v>
      </c>
      <c r="F382">
        <v>282.2</v>
      </c>
      <c r="G382">
        <v>196.8</v>
      </c>
      <c r="H382">
        <v>1.4339432000000001</v>
      </c>
      <c r="I382">
        <v>-0.43394312000000002</v>
      </c>
      <c r="J382">
        <v>0.41085595000000003</v>
      </c>
    </row>
    <row r="383" spans="1:10" x14ac:dyDescent="0.3">
      <c r="A383">
        <v>381</v>
      </c>
      <c r="B383">
        <v>8087</v>
      </c>
      <c r="C383" t="b">
        <v>1</v>
      </c>
      <c r="D383">
        <v>8129</v>
      </c>
      <c r="E383">
        <v>8105</v>
      </c>
      <c r="F383">
        <v>282.60000000000002</v>
      </c>
      <c r="G383">
        <v>196.8</v>
      </c>
      <c r="H383">
        <v>1.4359757</v>
      </c>
      <c r="I383">
        <v>-0.43597560000000002</v>
      </c>
      <c r="J383">
        <v>0.41051313</v>
      </c>
    </row>
    <row r="384" spans="1:10" x14ac:dyDescent="0.3">
      <c r="A384">
        <v>382</v>
      </c>
      <c r="B384">
        <v>8118</v>
      </c>
      <c r="C384" t="b">
        <v>1</v>
      </c>
      <c r="D384">
        <v>8088</v>
      </c>
      <c r="E384">
        <v>8129</v>
      </c>
      <c r="F384">
        <v>283</v>
      </c>
      <c r="G384">
        <v>197.2</v>
      </c>
      <c r="H384">
        <v>1.4350913000000001</v>
      </c>
      <c r="I384">
        <v>-0.43509130000000001</v>
      </c>
      <c r="J384">
        <v>0.41066219999999998</v>
      </c>
    </row>
    <row r="385" spans="1:10" x14ac:dyDescent="0.3">
      <c r="A385">
        <v>383</v>
      </c>
      <c r="B385">
        <v>8151</v>
      </c>
      <c r="C385" t="b">
        <v>1</v>
      </c>
      <c r="D385">
        <v>8146</v>
      </c>
      <c r="E385">
        <v>8099</v>
      </c>
      <c r="F385">
        <v>283.39999999999998</v>
      </c>
      <c r="G385">
        <v>197.2</v>
      </c>
      <c r="H385">
        <v>1.4371197</v>
      </c>
      <c r="I385">
        <v>-0.43711966000000002</v>
      </c>
      <c r="J385">
        <v>0.41032046</v>
      </c>
    </row>
    <row r="386" spans="1:10" x14ac:dyDescent="0.3">
      <c r="A386">
        <v>384</v>
      </c>
      <c r="B386">
        <v>8181</v>
      </c>
      <c r="C386" t="b">
        <v>1</v>
      </c>
      <c r="D386">
        <v>8106</v>
      </c>
      <c r="E386">
        <v>8105</v>
      </c>
      <c r="F386">
        <v>283.8</v>
      </c>
      <c r="G386">
        <v>196.8</v>
      </c>
      <c r="H386">
        <v>1.4420731</v>
      </c>
      <c r="I386">
        <v>-0.44207308000000001</v>
      </c>
      <c r="J386">
        <v>0.40948816999999998</v>
      </c>
    </row>
    <row r="387" spans="1:10" x14ac:dyDescent="0.3">
      <c r="A387">
        <v>385</v>
      </c>
      <c r="B387">
        <v>8197</v>
      </c>
      <c r="C387" t="b">
        <v>1</v>
      </c>
      <c r="D387">
        <v>8106</v>
      </c>
      <c r="E387">
        <v>8111</v>
      </c>
      <c r="F387">
        <v>282.66665999999998</v>
      </c>
      <c r="G387">
        <v>196.4</v>
      </c>
      <c r="H387">
        <v>1.4392396000000001</v>
      </c>
      <c r="I387">
        <v>-0.43923964999999998</v>
      </c>
      <c r="J387">
        <v>0.40996381999999998</v>
      </c>
    </row>
    <row r="388" spans="1:10" x14ac:dyDescent="0.3">
      <c r="A388">
        <v>386</v>
      </c>
      <c r="B388">
        <v>8213</v>
      </c>
      <c r="C388" t="b">
        <v>1</v>
      </c>
      <c r="D388">
        <v>8129</v>
      </c>
      <c r="E388">
        <v>8117</v>
      </c>
      <c r="F388">
        <v>281.53332999999998</v>
      </c>
      <c r="G388">
        <v>196.4</v>
      </c>
      <c r="H388">
        <v>1.4334690000000001</v>
      </c>
      <c r="I388">
        <v>-0.43346911999999999</v>
      </c>
      <c r="J388">
        <v>0.41093596999999998</v>
      </c>
    </row>
    <row r="389" spans="1:10" x14ac:dyDescent="0.3">
      <c r="A389">
        <v>387</v>
      </c>
      <c r="B389">
        <v>8228</v>
      </c>
      <c r="C389" t="b">
        <v>1</v>
      </c>
      <c r="D389">
        <v>8140</v>
      </c>
      <c r="E389">
        <v>8111</v>
      </c>
      <c r="F389">
        <v>282.33334000000002</v>
      </c>
      <c r="G389">
        <v>196.4</v>
      </c>
      <c r="H389">
        <v>1.4375426</v>
      </c>
      <c r="I389">
        <v>-0.43754252999999999</v>
      </c>
      <c r="J389">
        <v>0.41024926</v>
      </c>
    </row>
    <row r="390" spans="1:10" x14ac:dyDescent="0.3">
      <c r="A390">
        <v>388</v>
      </c>
      <c r="B390">
        <v>8245</v>
      </c>
      <c r="C390" t="b">
        <v>1</v>
      </c>
      <c r="D390">
        <v>8117</v>
      </c>
      <c r="E390">
        <v>8117</v>
      </c>
      <c r="F390">
        <v>281.93331999999998</v>
      </c>
      <c r="G390">
        <v>196.4</v>
      </c>
      <c r="H390">
        <v>1.4355057</v>
      </c>
      <c r="I390">
        <v>-0.43550575000000002</v>
      </c>
      <c r="J390">
        <v>0.41059234999999999</v>
      </c>
    </row>
    <row r="391" spans="1:10" x14ac:dyDescent="0.3">
      <c r="A391">
        <v>389</v>
      </c>
      <c r="B391">
        <v>8260</v>
      </c>
      <c r="C391" t="b">
        <v>1</v>
      </c>
      <c r="D391">
        <v>8129</v>
      </c>
      <c r="E391">
        <v>8099</v>
      </c>
      <c r="F391">
        <v>282.33334000000002</v>
      </c>
      <c r="G391">
        <v>196.8</v>
      </c>
      <c r="H391">
        <v>1.4346205999999999</v>
      </c>
      <c r="I391">
        <v>-0.43462062000000001</v>
      </c>
      <c r="J391">
        <v>0.41074159999999998</v>
      </c>
    </row>
    <row r="392" spans="1:10" x14ac:dyDescent="0.3">
      <c r="A392">
        <v>390</v>
      </c>
      <c r="B392">
        <v>8276</v>
      </c>
      <c r="C392" t="b">
        <v>1</v>
      </c>
      <c r="D392">
        <v>8106</v>
      </c>
      <c r="E392">
        <v>8117</v>
      </c>
      <c r="F392">
        <v>282.73334</v>
      </c>
      <c r="G392">
        <v>197.6</v>
      </c>
      <c r="H392">
        <v>1.4308367</v>
      </c>
      <c r="I392">
        <v>-0.43083668000000003</v>
      </c>
      <c r="J392">
        <v>0.41138098000000001</v>
      </c>
    </row>
    <row r="393" spans="1:10" x14ac:dyDescent="0.3">
      <c r="A393">
        <v>391</v>
      </c>
      <c r="B393">
        <v>8292</v>
      </c>
      <c r="C393" t="b">
        <v>1</v>
      </c>
      <c r="D393">
        <v>8111</v>
      </c>
      <c r="E393">
        <v>8111</v>
      </c>
      <c r="F393">
        <v>281.93331999999998</v>
      </c>
      <c r="G393">
        <v>197.6</v>
      </c>
      <c r="H393">
        <v>1.4267879999999999</v>
      </c>
      <c r="I393">
        <v>-0.426788</v>
      </c>
      <c r="J393">
        <v>0.41206730000000003</v>
      </c>
    </row>
    <row r="394" spans="1:10" x14ac:dyDescent="0.3">
      <c r="A394">
        <v>392</v>
      </c>
      <c r="B394">
        <v>8308</v>
      </c>
      <c r="C394" t="b">
        <v>1</v>
      </c>
      <c r="D394">
        <v>8111</v>
      </c>
      <c r="E394">
        <v>8105</v>
      </c>
      <c r="F394">
        <v>280.73334</v>
      </c>
      <c r="G394">
        <v>198</v>
      </c>
      <c r="H394">
        <v>1.4178451000000001</v>
      </c>
      <c r="I394">
        <v>-0.41784513000000001</v>
      </c>
      <c r="J394">
        <v>0.4135914</v>
      </c>
    </row>
    <row r="395" spans="1:10" x14ac:dyDescent="0.3">
      <c r="A395">
        <v>393</v>
      </c>
      <c r="B395">
        <v>8324</v>
      </c>
      <c r="C395" t="b">
        <v>1</v>
      </c>
      <c r="D395">
        <v>8117</v>
      </c>
      <c r="E395">
        <v>8134</v>
      </c>
      <c r="F395">
        <v>279.53332999999998</v>
      </c>
      <c r="G395">
        <v>198</v>
      </c>
      <c r="H395">
        <v>1.4117845</v>
      </c>
      <c r="I395">
        <v>-0.41178447000000001</v>
      </c>
      <c r="J395">
        <v>0.41463074</v>
      </c>
    </row>
    <row r="396" spans="1:10" x14ac:dyDescent="0.3">
      <c r="A396">
        <v>394</v>
      </c>
      <c r="B396">
        <v>8339</v>
      </c>
      <c r="C396" t="b">
        <v>1</v>
      </c>
      <c r="D396">
        <v>8123</v>
      </c>
      <c r="E396">
        <v>8111</v>
      </c>
      <c r="F396">
        <v>278.73334</v>
      </c>
      <c r="G396">
        <v>197.6</v>
      </c>
      <c r="H396">
        <v>1.4105937</v>
      </c>
      <c r="I396">
        <v>-0.41059378000000002</v>
      </c>
      <c r="J396">
        <v>0.41483554</v>
      </c>
    </row>
    <row r="397" spans="1:10" x14ac:dyDescent="0.3">
      <c r="A397">
        <v>395</v>
      </c>
      <c r="B397">
        <v>8355</v>
      </c>
      <c r="C397" t="b">
        <v>1</v>
      </c>
      <c r="D397">
        <v>8123</v>
      </c>
      <c r="E397">
        <v>8134</v>
      </c>
      <c r="F397">
        <v>278.33334000000002</v>
      </c>
      <c r="G397">
        <v>197.2</v>
      </c>
      <c r="H397">
        <v>1.4114267</v>
      </c>
      <c r="I397">
        <v>-0.41142672000000002</v>
      </c>
      <c r="J397">
        <v>0.41469228000000002</v>
      </c>
    </row>
    <row r="398" spans="1:10" x14ac:dyDescent="0.3">
      <c r="A398">
        <v>396</v>
      </c>
      <c r="B398">
        <v>8371</v>
      </c>
      <c r="C398" t="b">
        <v>1</v>
      </c>
      <c r="D398">
        <v>8129</v>
      </c>
      <c r="E398">
        <v>8117</v>
      </c>
      <c r="F398">
        <v>278.33334000000002</v>
      </c>
      <c r="G398">
        <v>197.2</v>
      </c>
      <c r="H398">
        <v>1.4114267</v>
      </c>
      <c r="I398">
        <v>-0.41142672000000002</v>
      </c>
      <c r="J398">
        <v>0.41469228000000002</v>
      </c>
    </row>
    <row r="399" spans="1:10" x14ac:dyDescent="0.3">
      <c r="A399">
        <v>397</v>
      </c>
      <c r="B399">
        <v>8387</v>
      </c>
      <c r="C399" t="b">
        <v>1</v>
      </c>
      <c r="D399">
        <v>8129</v>
      </c>
      <c r="E399">
        <v>8093</v>
      </c>
      <c r="F399">
        <v>278.33334000000002</v>
      </c>
      <c r="G399">
        <v>196.8</v>
      </c>
      <c r="H399">
        <v>1.4142954000000001</v>
      </c>
      <c r="I399">
        <v>-0.41429543000000002</v>
      </c>
      <c r="J399">
        <v>0.4141995</v>
      </c>
    </row>
    <row r="400" spans="1:10" x14ac:dyDescent="0.3">
      <c r="A400">
        <v>398</v>
      </c>
      <c r="B400">
        <v>8403</v>
      </c>
      <c r="C400" t="b">
        <v>1</v>
      </c>
      <c r="D400">
        <v>8135</v>
      </c>
      <c r="E400">
        <v>8111</v>
      </c>
      <c r="F400">
        <v>278.73334</v>
      </c>
      <c r="G400">
        <v>196.4</v>
      </c>
      <c r="H400">
        <v>1.4192126</v>
      </c>
      <c r="I400">
        <v>-0.41921255000000002</v>
      </c>
      <c r="J400">
        <v>0.41335765000000002</v>
      </c>
    </row>
    <row r="401" spans="1:10" x14ac:dyDescent="0.3">
      <c r="A401">
        <v>399</v>
      </c>
      <c r="B401">
        <v>8435</v>
      </c>
      <c r="C401" t="b">
        <v>1</v>
      </c>
      <c r="D401">
        <v>8117</v>
      </c>
      <c r="E401">
        <v>8117</v>
      </c>
      <c r="F401">
        <v>279.13333</v>
      </c>
      <c r="G401">
        <v>197.2</v>
      </c>
      <c r="H401">
        <v>1.4154834999999999</v>
      </c>
      <c r="I401">
        <v>-0.41548343999999998</v>
      </c>
      <c r="J401">
        <v>0.41399580000000002</v>
      </c>
    </row>
    <row r="402" spans="1:10" x14ac:dyDescent="0.3">
      <c r="A402">
        <v>400</v>
      </c>
      <c r="B402">
        <v>8467</v>
      </c>
      <c r="C402" t="b">
        <v>1</v>
      </c>
      <c r="D402">
        <v>8117</v>
      </c>
      <c r="E402">
        <v>8087</v>
      </c>
      <c r="F402">
        <v>280.66665999999998</v>
      </c>
      <c r="G402">
        <v>197.6</v>
      </c>
      <c r="H402">
        <v>1.4203777</v>
      </c>
      <c r="I402">
        <v>-0.42037775999999999</v>
      </c>
      <c r="J402">
        <v>0.41315866000000001</v>
      </c>
    </row>
    <row r="403" spans="1:10" x14ac:dyDescent="0.3">
      <c r="A403">
        <v>401</v>
      </c>
      <c r="B403">
        <v>8500</v>
      </c>
      <c r="C403" t="b">
        <v>1</v>
      </c>
      <c r="D403">
        <v>8123</v>
      </c>
      <c r="E403">
        <v>8123</v>
      </c>
      <c r="F403">
        <v>281.8</v>
      </c>
      <c r="G403">
        <v>197.6</v>
      </c>
      <c r="H403">
        <v>1.4261132000000001</v>
      </c>
      <c r="I403">
        <v>-0.42611325</v>
      </c>
      <c r="J403">
        <v>0.41218189999999999</v>
      </c>
    </row>
    <row r="404" spans="1:10" x14ac:dyDescent="0.3">
      <c r="A404">
        <v>402</v>
      </c>
      <c r="B404">
        <v>8531</v>
      </c>
      <c r="C404" t="b">
        <v>1</v>
      </c>
      <c r="D404">
        <v>8111</v>
      </c>
      <c r="E404">
        <v>8105</v>
      </c>
      <c r="F404">
        <v>281</v>
      </c>
      <c r="G404">
        <v>197.6</v>
      </c>
      <c r="H404">
        <v>1.4220648</v>
      </c>
      <c r="I404">
        <v>-0.42206472</v>
      </c>
      <c r="J404">
        <v>0.41287088</v>
      </c>
    </row>
    <row r="405" spans="1:10" x14ac:dyDescent="0.3">
      <c r="A405">
        <v>403</v>
      </c>
      <c r="B405">
        <v>8547</v>
      </c>
      <c r="C405" t="b">
        <v>1</v>
      </c>
      <c r="D405">
        <v>8123</v>
      </c>
      <c r="E405">
        <v>8093</v>
      </c>
      <c r="F405">
        <v>281</v>
      </c>
      <c r="G405">
        <v>197.2</v>
      </c>
      <c r="H405">
        <v>1.4249493</v>
      </c>
      <c r="I405">
        <v>-0.42494932000000002</v>
      </c>
      <c r="J405">
        <v>0.41237973999999999</v>
      </c>
    </row>
    <row r="406" spans="1:10" x14ac:dyDescent="0.3">
      <c r="A406">
        <v>404</v>
      </c>
      <c r="B406">
        <v>8563</v>
      </c>
      <c r="C406" t="b">
        <v>1</v>
      </c>
      <c r="D406">
        <v>8111</v>
      </c>
      <c r="E406">
        <v>8129</v>
      </c>
      <c r="F406">
        <v>280.2</v>
      </c>
      <c r="G406">
        <v>196.8</v>
      </c>
      <c r="H406">
        <v>1.4237806</v>
      </c>
      <c r="I406">
        <v>-0.42378052999999999</v>
      </c>
      <c r="J406">
        <v>0.41257860000000002</v>
      </c>
    </row>
    <row r="407" spans="1:10" x14ac:dyDescent="0.3">
      <c r="A407">
        <v>405</v>
      </c>
      <c r="B407">
        <v>8579</v>
      </c>
      <c r="C407" t="b">
        <v>1</v>
      </c>
      <c r="D407">
        <v>8146</v>
      </c>
      <c r="E407">
        <v>8117</v>
      </c>
      <c r="F407">
        <v>279.8</v>
      </c>
      <c r="G407">
        <v>196.8</v>
      </c>
      <c r="H407">
        <v>1.4217479</v>
      </c>
      <c r="I407">
        <v>-0.42174790000000001</v>
      </c>
      <c r="J407">
        <v>0.41292491999999997</v>
      </c>
    </row>
    <row r="408" spans="1:10" x14ac:dyDescent="0.3">
      <c r="A408">
        <v>406</v>
      </c>
      <c r="B408">
        <v>8595</v>
      </c>
      <c r="C408" t="b">
        <v>1</v>
      </c>
      <c r="D408">
        <v>8100</v>
      </c>
      <c r="E408">
        <v>8105</v>
      </c>
      <c r="F408">
        <v>279.39999999999998</v>
      </c>
      <c r="G408">
        <v>196.4</v>
      </c>
      <c r="H408">
        <v>1.422607</v>
      </c>
      <c r="I408">
        <v>-0.42260694999999998</v>
      </c>
      <c r="J408">
        <v>0.41277847000000001</v>
      </c>
    </row>
    <row r="409" spans="1:10" x14ac:dyDescent="0.3">
      <c r="A409">
        <v>407</v>
      </c>
      <c r="B409">
        <v>8611</v>
      </c>
      <c r="C409" t="b">
        <v>1</v>
      </c>
      <c r="D409">
        <v>8111</v>
      </c>
      <c r="E409">
        <v>8129</v>
      </c>
      <c r="F409">
        <v>279.39999999999998</v>
      </c>
      <c r="G409">
        <v>196.8</v>
      </c>
      <c r="H409">
        <v>1.4197154000000001</v>
      </c>
      <c r="I409">
        <v>-0.41971540000000002</v>
      </c>
      <c r="J409">
        <v>0.41327173</v>
      </c>
    </row>
    <row r="410" spans="1:10" x14ac:dyDescent="0.3">
      <c r="A410">
        <v>408</v>
      </c>
      <c r="B410">
        <v>8626</v>
      </c>
      <c r="C410" t="b">
        <v>1</v>
      </c>
      <c r="D410">
        <v>8135</v>
      </c>
      <c r="E410">
        <v>8111</v>
      </c>
      <c r="F410">
        <v>279.39999999999998</v>
      </c>
      <c r="G410">
        <v>197.2</v>
      </c>
      <c r="H410">
        <v>1.4168357</v>
      </c>
      <c r="I410">
        <v>-0.41683569999999998</v>
      </c>
      <c r="J410">
        <v>0.41376417999999998</v>
      </c>
    </row>
    <row r="411" spans="1:10" x14ac:dyDescent="0.3">
      <c r="A411">
        <v>409</v>
      </c>
      <c r="B411">
        <v>8642</v>
      </c>
      <c r="C411" t="b">
        <v>1</v>
      </c>
      <c r="D411">
        <v>8117</v>
      </c>
      <c r="E411">
        <v>8093</v>
      </c>
      <c r="F411">
        <v>279.8</v>
      </c>
      <c r="G411">
        <v>197.2</v>
      </c>
      <c r="H411">
        <v>1.4188639999999999</v>
      </c>
      <c r="I411">
        <v>-0.41886406999999998</v>
      </c>
      <c r="J411">
        <v>0.41341719999999998</v>
      </c>
    </row>
    <row r="412" spans="1:10" x14ac:dyDescent="0.3">
      <c r="A412">
        <v>410</v>
      </c>
      <c r="B412">
        <v>8658</v>
      </c>
      <c r="C412" t="b">
        <v>1</v>
      </c>
      <c r="D412">
        <v>8117</v>
      </c>
      <c r="E412">
        <v>8134</v>
      </c>
      <c r="F412">
        <v>279.8</v>
      </c>
      <c r="G412">
        <v>197.2</v>
      </c>
      <c r="H412">
        <v>1.4188639999999999</v>
      </c>
      <c r="I412">
        <v>-0.41886406999999998</v>
      </c>
      <c r="J412">
        <v>0.41341719999999998</v>
      </c>
    </row>
    <row r="413" spans="1:10" x14ac:dyDescent="0.3">
      <c r="A413">
        <v>411</v>
      </c>
      <c r="B413">
        <v>8689</v>
      </c>
      <c r="C413" t="b">
        <v>1</v>
      </c>
      <c r="D413">
        <v>8152</v>
      </c>
      <c r="E413">
        <v>8105</v>
      </c>
      <c r="F413">
        <v>279.39999999999998</v>
      </c>
      <c r="G413">
        <v>196.8</v>
      </c>
      <c r="H413">
        <v>1.4197154000000001</v>
      </c>
      <c r="I413">
        <v>-0.41971540000000002</v>
      </c>
      <c r="J413">
        <v>0.41327173</v>
      </c>
    </row>
    <row r="414" spans="1:10" x14ac:dyDescent="0.3">
      <c r="A414">
        <v>412</v>
      </c>
      <c r="B414">
        <v>8705</v>
      </c>
      <c r="C414" t="b">
        <v>1</v>
      </c>
      <c r="D414">
        <v>8111</v>
      </c>
      <c r="E414">
        <v>8099</v>
      </c>
      <c r="F414">
        <v>279</v>
      </c>
      <c r="G414">
        <v>196</v>
      </c>
      <c r="H414">
        <v>1.4234694000000001</v>
      </c>
      <c r="I414">
        <v>-0.4234694</v>
      </c>
      <c r="J414">
        <v>0.41263157</v>
      </c>
    </row>
    <row r="415" spans="1:10" x14ac:dyDescent="0.3">
      <c r="A415">
        <v>413</v>
      </c>
      <c r="B415">
        <v>8721</v>
      </c>
      <c r="C415" t="b">
        <v>1</v>
      </c>
      <c r="D415">
        <v>8129</v>
      </c>
      <c r="E415">
        <v>8111</v>
      </c>
      <c r="F415">
        <v>278.2</v>
      </c>
      <c r="G415">
        <v>195.6</v>
      </c>
      <c r="H415">
        <v>1.4222904000000001</v>
      </c>
      <c r="I415">
        <v>-0.42229040000000001</v>
      </c>
      <c r="J415">
        <v>0.41283239999999999</v>
      </c>
    </row>
    <row r="416" spans="1:10" x14ac:dyDescent="0.3">
      <c r="A416">
        <v>414</v>
      </c>
      <c r="B416">
        <v>8737</v>
      </c>
      <c r="C416" t="b">
        <v>1</v>
      </c>
      <c r="D416">
        <v>8123</v>
      </c>
      <c r="E416">
        <v>8081</v>
      </c>
      <c r="F416">
        <v>277.8</v>
      </c>
      <c r="G416">
        <v>194.8</v>
      </c>
      <c r="H416">
        <v>1.426078</v>
      </c>
      <c r="I416">
        <v>-0.42607792999999999</v>
      </c>
      <c r="J416">
        <v>0.41218792999999998</v>
      </c>
    </row>
    <row r="417" spans="1:10" x14ac:dyDescent="0.3">
      <c r="A417">
        <v>415</v>
      </c>
      <c r="B417">
        <v>8753</v>
      </c>
      <c r="C417" t="b">
        <v>1</v>
      </c>
      <c r="D417">
        <v>8135</v>
      </c>
      <c r="E417">
        <v>8105</v>
      </c>
      <c r="F417">
        <v>277.8</v>
      </c>
      <c r="G417">
        <v>194.4</v>
      </c>
      <c r="H417">
        <v>1.4290122999999999</v>
      </c>
      <c r="I417">
        <v>-0.42901233</v>
      </c>
      <c r="J417">
        <v>0.41168997000000002</v>
      </c>
    </row>
    <row r="418" spans="1:10" x14ac:dyDescent="0.3">
      <c r="A418">
        <v>416</v>
      </c>
      <c r="B418">
        <v>8784</v>
      </c>
      <c r="C418" t="b">
        <v>1</v>
      </c>
      <c r="D418">
        <v>8123</v>
      </c>
      <c r="E418">
        <v>8093</v>
      </c>
      <c r="F418">
        <v>277.8</v>
      </c>
      <c r="G418">
        <v>193.6</v>
      </c>
      <c r="H418">
        <v>1.4349171999999999</v>
      </c>
      <c r="I418">
        <v>-0.43491723999999998</v>
      </c>
      <c r="J418">
        <v>0.41069159999999999</v>
      </c>
    </row>
    <row r="419" spans="1:10" x14ac:dyDescent="0.3">
      <c r="A419">
        <v>417</v>
      </c>
      <c r="B419">
        <v>8816</v>
      </c>
      <c r="C419" t="b">
        <v>1</v>
      </c>
      <c r="D419">
        <v>8140</v>
      </c>
      <c r="E419">
        <v>8123</v>
      </c>
      <c r="F419">
        <v>278.60000000000002</v>
      </c>
      <c r="G419">
        <v>193.2</v>
      </c>
      <c r="H419">
        <v>1.442029</v>
      </c>
      <c r="I419">
        <v>-0.44202902999999999</v>
      </c>
      <c r="J419">
        <v>0.40949555999999998</v>
      </c>
    </row>
    <row r="420" spans="1:10" x14ac:dyDescent="0.3">
      <c r="A420">
        <v>418</v>
      </c>
      <c r="B420">
        <v>8832</v>
      </c>
      <c r="C420" t="b">
        <v>1</v>
      </c>
      <c r="D420">
        <v>8123</v>
      </c>
      <c r="E420">
        <v>8111</v>
      </c>
      <c r="F420">
        <v>279</v>
      </c>
      <c r="G420">
        <v>193.2</v>
      </c>
      <c r="H420">
        <v>1.4440994</v>
      </c>
      <c r="I420">
        <v>-0.44409939999999998</v>
      </c>
      <c r="J420">
        <v>0.40914866</v>
      </c>
    </row>
    <row r="421" spans="1:10" x14ac:dyDescent="0.3">
      <c r="A421">
        <v>419</v>
      </c>
      <c r="B421">
        <v>8848</v>
      </c>
      <c r="C421" t="b">
        <v>1</v>
      </c>
      <c r="D421">
        <v>8135</v>
      </c>
      <c r="E421">
        <v>8099</v>
      </c>
      <c r="F421">
        <v>280.2</v>
      </c>
      <c r="G421">
        <v>193.2</v>
      </c>
      <c r="H421">
        <v>1.4503105999999999</v>
      </c>
      <c r="I421">
        <v>-0.45031064999999998</v>
      </c>
      <c r="J421">
        <v>0.40811150000000002</v>
      </c>
    </row>
    <row r="422" spans="1:10" x14ac:dyDescent="0.3">
      <c r="A422">
        <v>420</v>
      </c>
      <c r="B422">
        <v>8863</v>
      </c>
      <c r="C422" t="b">
        <v>1</v>
      </c>
      <c r="D422">
        <v>8140</v>
      </c>
      <c r="E422">
        <v>8129</v>
      </c>
      <c r="F422">
        <v>281</v>
      </c>
      <c r="G422">
        <v>192.8</v>
      </c>
      <c r="H422">
        <v>1.4574689000000001</v>
      </c>
      <c r="I422">
        <v>-0.45746887000000003</v>
      </c>
      <c r="J422">
        <v>0.40692275999999999</v>
      </c>
    </row>
    <row r="423" spans="1:10" x14ac:dyDescent="0.3">
      <c r="A423">
        <v>421</v>
      </c>
      <c r="B423">
        <v>8879</v>
      </c>
      <c r="C423" t="b">
        <v>1</v>
      </c>
      <c r="D423">
        <v>8140</v>
      </c>
      <c r="E423">
        <v>8099</v>
      </c>
      <c r="F423">
        <v>282.93331999999998</v>
      </c>
      <c r="G423">
        <v>193.2</v>
      </c>
      <c r="H423">
        <v>1.4644581999999999</v>
      </c>
      <c r="I423">
        <v>-0.46445819999999999</v>
      </c>
      <c r="J423">
        <v>0.40576872000000003</v>
      </c>
    </row>
    <row r="424" spans="1:10" x14ac:dyDescent="0.3">
      <c r="A424">
        <v>422</v>
      </c>
      <c r="B424">
        <v>8911</v>
      </c>
      <c r="C424" t="b">
        <v>1</v>
      </c>
      <c r="D424">
        <v>8129</v>
      </c>
      <c r="E424">
        <v>8111</v>
      </c>
      <c r="F424">
        <v>284.53332999999998</v>
      </c>
      <c r="G424">
        <v>192.8</v>
      </c>
      <c r="H424">
        <v>1.4757952999999999</v>
      </c>
      <c r="I424">
        <v>-0.47579524000000001</v>
      </c>
      <c r="J424">
        <v>0.40391063999999999</v>
      </c>
    </row>
    <row r="425" spans="1:10" x14ac:dyDescent="0.3">
      <c r="A425">
        <v>423</v>
      </c>
      <c r="B425">
        <v>8943</v>
      </c>
      <c r="C425" t="b">
        <v>1</v>
      </c>
      <c r="D425">
        <v>8117</v>
      </c>
      <c r="E425">
        <v>8117</v>
      </c>
      <c r="F425">
        <v>286.13333</v>
      </c>
      <c r="G425">
        <v>192.4</v>
      </c>
      <c r="H425">
        <v>1.4871795000000001</v>
      </c>
      <c r="I425">
        <v>-0.48717951999999998</v>
      </c>
      <c r="J425">
        <v>0.40206185</v>
      </c>
    </row>
    <row r="426" spans="1:10" x14ac:dyDescent="0.3">
      <c r="A426">
        <v>424</v>
      </c>
      <c r="B426">
        <v>8959</v>
      </c>
      <c r="C426" t="b">
        <v>1</v>
      </c>
      <c r="D426">
        <v>8117</v>
      </c>
      <c r="E426">
        <v>8111</v>
      </c>
      <c r="F426">
        <v>286.93331999999998</v>
      </c>
      <c r="G426">
        <v>192.4</v>
      </c>
      <c r="H426">
        <v>1.4913373999999999</v>
      </c>
      <c r="I426">
        <v>-0.49133747999999999</v>
      </c>
      <c r="J426">
        <v>0.40139081999999998</v>
      </c>
    </row>
    <row r="427" spans="1:10" x14ac:dyDescent="0.3">
      <c r="A427">
        <v>425</v>
      </c>
      <c r="B427">
        <v>8990</v>
      </c>
      <c r="C427" t="b">
        <v>1</v>
      </c>
      <c r="D427">
        <v>8146</v>
      </c>
      <c r="E427">
        <v>8111</v>
      </c>
      <c r="F427">
        <v>287.73334</v>
      </c>
      <c r="G427">
        <v>192.4</v>
      </c>
      <c r="H427">
        <v>1.4954955999999999</v>
      </c>
      <c r="I427">
        <v>-0.49549556</v>
      </c>
      <c r="J427">
        <v>0.40072200000000002</v>
      </c>
    </row>
    <row r="428" spans="1:10" x14ac:dyDescent="0.3">
      <c r="A428">
        <v>426</v>
      </c>
      <c r="B428">
        <v>9006</v>
      </c>
      <c r="C428" t="b">
        <v>1</v>
      </c>
      <c r="D428">
        <v>8129</v>
      </c>
      <c r="E428">
        <v>8093</v>
      </c>
      <c r="F428">
        <v>288.53332999999998</v>
      </c>
      <c r="G428">
        <v>192.4</v>
      </c>
      <c r="H428">
        <v>1.4996535</v>
      </c>
      <c r="I428">
        <v>-0.49965352000000002</v>
      </c>
      <c r="J428">
        <v>0.40005543999999998</v>
      </c>
    </row>
    <row r="429" spans="1:10" x14ac:dyDescent="0.3">
      <c r="A429">
        <v>427</v>
      </c>
      <c r="B429">
        <v>9022</v>
      </c>
      <c r="C429" t="b">
        <v>1</v>
      </c>
      <c r="D429">
        <v>8111</v>
      </c>
      <c r="E429">
        <v>8105</v>
      </c>
      <c r="F429">
        <v>288.53332999999998</v>
      </c>
      <c r="G429">
        <v>192.8</v>
      </c>
      <c r="H429">
        <v>1.4965421000000001</v>
      </c>
      <c r="I429">
        <v>-0.49654213000000003</v>
      </c>
      <c r="J429">
        <v>0.40055403000000001</v>
      </c>
    </row>
    <row r="430" spans="1:10" x14ac:dyDescent="0.3">
      <c r="A430">
        <v>428</v>
      </c>
      <c r="B430">
        <v>9038</v>
      </c>
      <c r="C430" t="b">
        <v>1</v>
      </c>
      <c r="D430">
        <v>8111</v>
      </c>
      <c r="E430">
        <v>8105</v>
      </c>
      <c r="F430">
        <v>288.53332999999998</v>
      </c>
      <c r="G430">
        <v>192.8</v>
      </c>
      <c r="H430">
        <v>1.4965421000000001</v>
      </c>
      <c r="I430">
        <v>-0.49654213000000003</v>
      </c>
      <c r="J430">
        <v>0.40055403000000001</v>
      </c>
    </row>
    <row r="431" spans="1:10" x14ac:dyDescent="0.3">
      <c r="A431">
        <v>429</v>
      </c>
      <c r="B431">
        <v>9054</v>
      </c>
      <c r="C431" t="b">
        <v>1</v>
      </c>
      <c r="D431">
        <v>8129</v>
      </c>
      <c r="E431">
        <v>8105</v>
      </c>
      <c r="F431">
        <v>288.93331999999998</v>
      </c>
      <c r="G431">
        <v>192.8</v>
      </c>
      <c r="H431">
        <v>1.4986168</v>
      </c>
      <c r="I431">
        <v>-0.49861677999999998</v>
      </c>
      <c r="J431">
        <v>0.40022143999999998</v>
      </c>
    </row>
    <row r="432" spans="1:10" x14ac:dyDescent="0.3">
      <c r="A432">
        <v>430</v>
      </c>
      <c r="B432">
        <v>9070</v>
      </c>
      <c r="C432" t="b">
        <v>1</v>
      </c>
      <c r="D432">
        <v>8146</v>
      </c>
      <c r="E432">
        <v>8093</v>
      </c>
      <c r="F432">
        <v>288.93331999999998</v>
      </c>
      <c r="G432">
        <v>192.8</v>
      </c>
      <c r="H432">
        <v>1.4986168</v>
      </c>
      <c r="I432">
        <v>-0.49861677999999998</v>
      </c>
      <c r="J432">
        <v>0.40022143999999998</v>
      </c>
    </row>
    <row r="433" spans="1:10" x14ac:dyDescent="0.3">
      <c r="A433">
        <v>431</v>
      </c>
      <c r="B433">
        <v>9101</v>
      </c>
      <c r="C433" t="b">
        <v>1</v>
      </c>
      <c r="D433">
        <v>8135</v>
      </c>
      <c r="E433">
        <v>8093</v>
      </c>
      <c r="F433">
        <v>289.33334000000002</v>
      </c>
      <c r="G433">
        <v>193.2</v>
      </c>
      <c r="H433">
        <v>1.4975845999999999</v>
      </c>
      <c r="I433">
        <v>-0.49758459999999999</v>
      </c>
      <c r="J433">
        <v>0.40038684000000002</v>
      </c>
    </row>
    <row r="434" spans="1:10" x14ac:dyDescent="0.3">
      <c r="A434">
        <v>432</v>
      </c>
      <c r="B434">
        <v>9133</v>
      </c>
      <c r="C434" t="b">
        <v>1</v>
      </c>
      <c r="D434">
        <v>8117</v>
      </c>
      <c r="E434">
        <v>8099</v>
      </c>
      <c r="F434">
        <v>289.33334000000002</v>
      </c>
      <c r="G434">
        <v>192.8</v>
      </c>
      <c r="H434">
        <v>1.5006915000000001</v>
      </c>
      <c r="I434">
        <v>-0.50069160000000001</v>
      </c>
      <c r="J434">
        <v>0.39988934999999998</v>
      </c>
    </row>
    <row r="435" spans="1:10" x14ac:dyDescent="0.3">
      <c r="A435">
        <v>433</v>
      </c>
      <c r="B435">
        <v>9149</v>
      </c>
      <c r="C435" t="b">
        <v>1</v>
      </c>
      <c r="D435">
        <v>8123</v>
      </c>
      <c r="E435">
        <v>8105</v>
      </c>
      <c r="F435">
        <v>289.73334</v>
      </c>
      <c r="G435">
        <v>192.4</v>
      </c>
      <c r="H435">
        <v>1.5058906000000001</v>
      </c>
      <c r="I435">
        <v>-0.50589055000000005</v>
      </c>
      <c r="J435">
        <v>0.39905970000000002</v>
      </c>
    </row>
    <row r="436" spans="1:10" x14ac:dyDescent="0.3">
      <c r="A436">
        <v>434</v>
      </c>
      <c r="B436">
        <v>9181</v>
      </c>
      <c r="C436" t="b">
        <v>1</v>
      </c>
      <c r="D436">
        <v>8106</v>
      </c>
      <c r="E436">
        <v>8123</v>
      </c>
      <c r="F436">
        <v>288.93331999999998</v>
      </c>
      <c r="G436">
        <v>192</v>
      </c>
      <c r="H436">
        <v>1.504861</v>
      </c>
      <c r="I436">
        <v>-0.50486105999999997</v>
      </c>
      <c r="J436">
        <v>0.39922373999999999</v>
      </c>
    </row>
    <row r="437" spans="1:10" x14ac:dyDescent="0.3">
      <c r="A437">
        <v>435</v>
      </c>
      <c r="B437">
        <v>9197</v>
      </c>
      <c r="C437" t="b">
        <v>1</v>
      </c>
      <c r="D437">
        <v>8117</v>
      </c>
      <c r="E437">
        <v>8111</v>
      </c>
      <c r="F437">
        <v>287.73334</v>
      </c>
      <c r="G437">
        <v>191.6</v>
      </c>
      <c r="H437">
        <v>1.5017396999999999</v>
      </c>
      <c r="I437">
        <v>-0.50173970000000001</v>
      </c>
      <c r="J437">
        <v>0.39972183</v>
      </c>
    </row>
    <row r="438" spans="1:10" x14ac:dyDescent="0.3">
      <c r="A438">
        <v>436</v>
      </c>
      <c r="B438">
        <v>9213</v>
      </c>
      <c r="C438" t="b">
        <v>1</v>
      </c>
      <c r="D438">
        <v>8083</v>
      </c>
      <c r="E438">
        <v>8117</v>
      </c>
      <c r="F438">
        <v>286.2</v>
      </c>
      <c r="G438">
        <v>191.6</v>
      </c>
      <c r="H438">
        <v>1.4937370000000001</v>
      </c>
      <c r="I438">
        <v>-0.49373697999999999</v>
      </c>
      <c r="J438">
        <v>0.40100459999999999</v>
      </c>
    </row>
    <row r="439" spans="1:10" x14ac:dyDescent="0.3">
      <c r="A439">
        <v>437</v>
      </c>
      <c r="B439">
        <v>9229</v>
      </c>
      <c r="C439" t="b">
        <v>1</v>
      </c>
      <c r="D439">
        <v>8129</v>
      </c>
      <c r="E439">
        <v>8105</v>
      </c>
      <c r="F439">
        <v>285</v>
      </c>
      <c r="G439">
        <v>191.6</v>
      </c>
      <c r="H439">
        <v>1.4874738000000001</v>
      </c>
      <c r="I439">
        <v>-0.48747384999999999</v>
      </c>
      <c r="J439">
        <v>0.40201429999999999</v>
      </c>
    </row>
    <row r="440" spans="1:10" x14ac:dyDescent="0.3">
      <c r="A440">
        <v>438</v>
      </c>
      <c r="B440">
        <v>9245</v>
      </c>
      <c r="C440" t="b">
        <v>1</v>
      </c>
      <c r="D440">
        <v>8135</v>
      </c>
      <c r="E440">
        <v>8117</v>
      </c>
      <c r="F440">
        <v>283.8</v>
      </c>
      <c r="G440">
        <v>192</v>
      </c>
      <c r="H440">
        <v>1.4781249999999999</v>
      </c>
      <c r="I440">
        <v>-0.47812494999999999</v>
      </c>
      <c r="J440">
        <v>0.40353090000000003</v>
      </c>
    </row>
    <row r="441" spans="1:10" x14ac:dyDescent="0.3">
      <c r="A441">
        <v>439</v>
      </c>
      <c r="B441">
        <v>9260</v>
      </c>
      <c r="C441" t="b">
        <v>1</v>
      </c>
      <c r="D441">
        <v>8117</v>
      </c>
      <c r="E441">
        <v>8123</v>
      </c>
      <c r="F441">
        <v>283</v>
      </c>
      <c r="G441">
        <v>192.4</v>
      </c>
      <c r="H441">
        <v>1.4708939999999999</v>
      </c>
      <c r="I441">
        <v>-0.47089399999999998</v>
      </c>
      <c r="J441">
        <v>0.40471180000000001</v>
      </c>
    </row>
    <row r="442" spans="1:10" x14ac:dyDescent="0.3">
      <c r="A442">
        <v>440</v>
      </c>
      <c r="B442">
        <v>9276</v>
      </c>
      <c r="C442" t="b">
        <v>1</v>
      </c>
      <c r="D442">
        <v>8123</v>
      </c>
      <c r="E442">
        <v>8087</v>
      </c>
      <c r="F442">
        <v>282.60000000000002</v>
      </c>
      <c r="G442">
        <v>192.8</v>
      </c>
      <c r="H442">
        <v>1.4657675999999999</v>
      </c>
      <c r="I442">
        <v>-0.46576764999999998</v>
      </c>
      <c r="J442">
        <v>0.4055532</v>
      </c>
    </row>
    <row r="443" spans="1:10" x14ac:dyDescent="0.3">
      <c r="A443">
        <v>441</v>
      </c>
      <c r="B443">
        <v>9292</v>
      </c>
      <c r="C443" t="b">
        <v>1</v>
      </c>
      <c r="D443">
        <v>8135</v>
      </c>
      <c r="E443">
        <v>8111</v>
      </c>
      <c r="F443">
        <v>282.60000000000002</v>
      </c>
      <c r="G443">
        <v>192.8</v>
      </c>
      <c r="H443">
        <v>1.4657675999999999</v>
      </c>
      <c r="I443">
        <v>-0.46576764999999998</v>
      </c>
      <c r="J443">
        <v>0.4055532</v>
      </c>
    </row>
    <row r="444" spans="1:10" x14ac:dyDescent="0.3">
      <c r="A444">
        <v>442</v>
      </c>
      <c r="B444">
        <v>9308</v>
      </c>
      <c r="C444" t="b">
        <v>1</v>
      </c>
      <c r="D444">
        <v>8123</v>
      </c>
      <c r="E444">
        <v>8093</v>
      </c>
      <c r="F444">
        <v>283</v>
      </c>
      <c r="G444">
        <v>192.8</v>
      </c>
      <c r="H444">
        <v>1.4678423</v>
      </c>
      <c r="I444">
        <v>-0.46784229999999999</v>
      </c>
      <c r="J444">
        <v>0.40521227999999998</v>
      </c>
    </row>
    <row r="445" spans="1:10" x14ac:dyDescent="0.3">
      <c r="A445">
        <v>443</v>
      </c>
      <c r="B445">
        <v>9324</v>
      </c>
      <c r="C445" t="b">
        <v>1</v>
      </c>
      <c r="D445">
        <v>8140</v>
      </c>
      <c r="E445">
        <v>8117</v>
      </c>
      <c r="F445">
        <v>283.39999999999998</v>
      </c>
      <c r="G445">
        <v>193.2</v>
      </c>
      <c r="H445">
        <v>1.4668736</v>
      </c>
      <c r="I445">
        <v>-0.4668737</v>
      </c>
      <c r="J445">
        <v>0.40537139999999999</v>
      </c>
    </row>
    <row r="446" spans="1:10" x14ac:dyDescent="0.3">
      <c r="A446">
        <v>444</v>
      </c>
      <c r="B446">
        <v>9340</v>
      </c>
      <c r="C446" t="b">
        <v>1</v>
      </c>
      <c r="D446">
        <v>8163</v>
      </c>
      <c r="E446">
        <v>8111</v>
      </c>
      <c r="F446">
        <v>283.8</v>
      </c>
      <c r="G446">
        <v>193.6</v>
      </c>
      <c r="H446">
        <v>1.4659089999999999</v>
      </c>
      <c r="I446">
        <v>-0.46590896999999998</v>
      </c>
      <c r="J446">
        <v>0.40552998000000001</v>
      </c>
    </row>
    <row r="447" spans="1:10" x14ac:dyDescent="0.3">
      <c r="A447">
        <v>445</v>
      </c>
      <c r="B447">
        <v>9356</v>
      </c>
      <c r="C447" t="b">
        <v>1</v>
      </c>
      <c r="D447">
        <v>8181</v>
      </c>
      <c r="E447">
        <v>8105</v>
      </c>
      <c r="F447">
        <v>284.53332999999998</v>
      </c>
      <c r="G447">
        <v>194</v>
      </c>
      <c r="H447">
        <v>1.4666665999999999</v>
      </c>
      <c r="I447">
        <v>-0.46666664000000002</v>
      </c>
      <c r="J447">
        <v>0.40540540000000003</v>
      </c>
    </row>
    <row r="448" spans="1:10" x14ac:dyDescent="0.3">
      <c r="A448">
        <v>446</v>
      </c>
      <c r="B448">
        <v>9372</v>
      </c>
      <c r="C448" t="b">
        <v>1</v>
      </c>
      <c r="D448">
        <v>8129</v>
      </c>
      <c r="E448">
        <v>8129</v>
      </c>
      <c r="F448">
        <v>285.26666</v>
      </c>
      <c r="G448">
        <v>194.4</v>
      </c>
      <c r="H448">
        <v>1.4674212</v>
      </c>
      <c r="I448">
        <v>-0.46742114000000001</v>
      </c>
      <c r="J448">
        <v>0.40528144999999999</v>
      </c>
    </row>
    <row r="449" spans="1:10" x14ac:dyDescent="0.3">
      <c r="A449">
        <v>447</v>
      </c>
      <c r="B449">
        <v>9388</v>
      </c>
      <c r="C449" t="b">
        <v>1</v>
      </c>
      <c r="D449">
        <v>8129</v>
      </c>
      <c r="E449">
        <v>8081</v>
      </c>
      <c r="F449">
        <v>286</v>
      </c>
      <c r="G449">
        <v>195.2</v>
      </c>
      <c r="H449">
        <v>1.4651639999999999</v>
      </c>
      <c r="I449">
        <v>-0.46516394999999999</v>
      </c>
      <c r="J449">
        <v>0.40565252000000002</v>
      </c>
    </row>
    <row r="450" spans="1:10" x14ac:dyDescent="0.3">
      <c r="A450">
        <v>448</v>
      </c>
      <c r="B450">
        <v>9404</v>
      </c>
      <c r="C450" t="b">
        <v>1</v>
      </c>
      <c r="D450">
        <v>8117</v>
      </c>
      <c r="E450">
        <v>8111</v>
      </c>
      <c r="F450">
        <v>286</v>
      </c>
      <c r="G450">
        <v>196</v>
      </c>
      <c r="H450">
        <v>1.4591837000000001</v>
      </c>
      <c r="I450">
        <v>-0.45918365999999999</v>
      </c>
      <c r="J450">
        <v>0.40663899999999997</v>
      </c>
    </row>
    <row r="451" spans="1:10" x14ac:dyDescent="0.3">
      <c r="A451">
        <v>449</v>
      </c>
      <c r="B451">
        <v>9420</v>
      </c>
      <c r="C451" t="b">
        <v>1</v>
      </c>
      <c r="D451">
        <v>8106</v>
      </c>
      <c r="E451">
        <v>8099</v>
      </c>
      <c r="F451">
        <v>286.39999999999998</v>
      </c>
      <c r="G451">
        <v>196.4</v>
      </c>
      <c r="H451">
        <v>1.4582485000000001</v>
      </c>
      <c r="I451">
        <v>-0.4582485</v>
      </c>
      <c r="J451">
        <v>0.40679369999999998</v>
      </c>
    </row>
    <row r="452" spans="1:10" x14ac:dyDescent="0.3">
      <c r="A452">
        <v>450</v>
      </c>
      <c r="B452">
        <v>9436</v>
      </c>
      <c r="C452" t="b">
        <v>1</v>
      </c>
      <c r="D452">
        <v>8111</v>
      </c>
      <c r="E452">
        <v>8099</v>
      </c>
      <c r="F452">
        <v>286.39999999999998</v>
      </c>
      <c r="G452">
        <v>196</v>
      </c>
      <c r="H452">
        <v>1.4612244000000001</v>
      </c>
      <c r="I452">
        <v>-0.46122447</v>
      </c>
      <c r="J452">
        <v>0.40630182999999997</v>
      </c>
    </row>
    <row r="453" spans="1:10" x14ac:dyDescent="0.3">
      <c r="A453">
        <v>451</v>
      </c>
      <c r="B453">
        <v>9468</v>
      </c>
      <c r="C453" t="b">
        <v>1</v>
      </c>
      <c r="D453">
        <v>8117</v>
      </c>
      <c r="E453">
        <v>8105</v>
      </c>
      <c r="F453">
        <v>286.39999999999998</v>
      </c>
      <c r="G453">
        <v>195.2</v>
      </c>
      <c r="H453">
        <v>1.4672132</v>
      </c>
      <c r="I453">
        <v>-0.46721309999999999</v>
      </c>
      <c r="J453">
        <v>0.40531563999999998</v>
      </c>
    </row>
    <row r="454" spans="1:10" x14ac:dyDescent="0.3">
      <c r="A454">
        <v>452</v>
      </c>
      <c r="B454">
        <v>9500</v>
      </c>
      <c r="C454" t="b">
        <v>1</v>
      </c>
      <c r="D454">
        <v>8106</v>
      </c>
      <c r="E454">
        <v>8111</v>
      </c>
      <c r="F454">
        <v>286</v>
      </c>
      <c r="G454">
        <v>194.8</v>
      </c>
      <c r="H454">
        <v>1.4681724</v>
      </c>
      <c r="I454">
        <v>-0.46817246000000001</v>
      </c>
      <c r="J454">
        <v>0.40515806999999998</v>
      </c>
    </row>
    <row r="455" spans="1:10" x14ac:dyDescent="0.3">
      <c r="A455">
        <v>453</v>
      </c>
      <c r="B455">
        <v>9531</v>
      </c>
      <c r="C455" t="b">
        <v>1</v>
      </c>
      <c r="D455">
        <v>8140</v>
      </c>
      <c r="E455">
        <v>8087</v>
      </c>
      <c r="F455">
        <v>285.60000000000002</v>
      </c>
      <c r="G455">
        <v>193.6</v>
      </c>
      <c r="H455">
        <v>1.4752065999999999</v>
      </c>
      <c r="I455">
        <v>-0.47520657999999999</v>
      </c>
      <c r="J455">
        <v>0.4040067</v>
      </c>
    </row>
    <row r="456" spans="1:10" x14ac:dyDescent="0.3">
      <c r="A456">
        <v>454</v>
      </c>
      <c r="B456">
        <v>9547</v>
      </c>
      <c r="C456" t="b">
        <v>1</v>
      </c>
      <c r="D456">
        <v>8117</v>
      </c>
      <c r="E456">
        <v>8093</v>
      </c>
      <c r="F456">
        <v>285.60000000000002</v>
      </c>
      <c r="G456">
        <v>192.4</v>
      </c>
      <c r="H456">
        <v>1.4844075000000001</v>
      </c>
      <c r="I456">
        <v>-0.48440757000000001</v>
      </c>
      <c r="J456">
        <v>0.40251042999999997</v>
      </c>
    </row>
    <row r="457" spans="1:10" x14ac:dyDescent="0.3">
      <c r="A457">
        <v>455</v>
      </c>
      <c r="B457">
        <v>9563</v>
      </c>
      <c r="C457" t="b">
        <v>1</v>
      </c>
      <c r="D457">
        <v>8094</v>
      </c>
      <c r="E457">
        <v>8123</v>
      </c>
      <c r="F457">
        <v>285.2</v>
      </c>
      <c r="G457">
        <v>191.6</v>
      </c>
      <c r="H457">
        <v>1.4885177999999999</v>
      </c>
      <c r="I457">
        <v>-0.48851776000000002</v>
      </c>
      <c r="J457">
        <v>0.40184563000000001</v>
      </c>
    </row>
    <row r="458" spans="1:10" x14ac:dyDescent="0.3">
      <c r="A458">
        <v>456</v>
      </c>
      <c r="B458">
        <v>9580</v>
      </c>
      <c r="C458" t="b">
        <v>1</v>
      </c>
      <c r="D458">
        <v>8135</v>
      </c>
      <c r="E458">
        <v>8105</v>
      </c>
      <c r="F458">
        <v>284.39999999999998</v>
      </c>
      <c r="G458">
        <v>191.2</v>
      </c>
      <c r="H458">
        <v>1.4874476999999999</v>
      </c>
      <c r="I458">
        <v>-0.48744767999999999</v>
      </c>
      <c r="J458">
        <v>0.40201851999999999</v>
      </c>
    </row>
    <row r="459" spans="1:10" x14ac:dyDescent="0.3">
      <c r="A459">
        <v>457</v>
      </c>
      <c r="B459">
        <v>9595</v>
      </c>
      <c r="C459" t="b">
        <v>1</v>
      </c>
      <c r="D459">
        <v>8135</v>
      </c>
      <c r="E459">
        <v>8105</v>
      </c>
      <c r="F459">
        <v>285.2</v>
      </c>
      <c r="G459">
        <v>190.8</v>
      </c>
      <c r="H459">
        <v>1.4947589999999999</v>
      </c>
      <c r="I459">
        <v>-0.49475896000000003</v>
      </c>
      <c r="J459">
        <v>0.40084034000000002</v>
      </c>
    </row>
    <row r="460" spans="1:10" x14ac:dyDescent="0.3">
      <c r="A460">
        <v>458</v>
      </c>
      <c r="B460">
        <v>9611</v>
      </c>
      <c r="C460" t="b">
        <v>1</v>
      </c>
      <c r="D460">
        <v>8117</v>
      </c>
      <c r="E460">
        <v>8111</v>
      </c>
      <c r="F460">
        <v>284.8</v>
      </c>
      <c r="G460">
        <v>190.4</v>
      </c>
      <c r="H460">
        <v>1.4957982999999999</v>
      </c>
      <c r="I460">
        <v>-0.49579830000000003</v>
      </c>
      <c r="J460">
        <v>0.40067340000000001</v>
      </c>
    </row>
    <row r="461" spans="1:10" x14ac:dyDescent="0.3">
      <c r="A461">
        <v>459</v>
      </c>
      <c r="B461">
        <v>9627</v>
      </c>
      <c r="C461" t="b">
        <v>1</v>
      </c>
      <c r="D461">
        <v>8111</v>
      </c>
      <c r="E461">
        <v>8111</v>
      </c>
      <c r="F461">
        <v>283.60000000000002</v>
      </c>
      <c r="G461">
        <v>190.4</v>
      </c>
      <c r="H461">
        <v>1.4894959000000001</v>
      </c>
      <c r="I461">
        <v>-0.48949587</v>
      </c>
      <c r="J461">
        <v>0.40168774000000002</v>
      </c>
    </row>
    <row r="462" spans="1:10" x14ac:dyDescent="0.3">
      <c r="A462">
        <v>460</v>
      </c>
      <c r="B462">
        <v>9643</v>
      </c>
      <c r="C462" t="b">
        <v>1</v>
      </c>
      <c r="D462">
        <v>8094</v>
      </c>
      <c r="E462">
        <v>8117</v>
      </c>
      <c r="F462">
        <v>282.06668000000002</v>
      </c>
      <c r="G462">
        <v>190.4</v>
      </c>
      <c r="H462">
        <v>1.4814426999999999</v>
      </c>
      <c r="I462">
        <v>-0.4814427</v>
      </c>
      <c r="J462">
        <v>0.40299138000000001</v>
      </c>
    </row>
    <row r="463" spans="1:10" x14ac:dyDescent="0.3">
      <c r="A463">
        <v>461</v>
      </c>
      <c r="B463">
        <v>9658</v>
      </c>
      <c r="C463" t="b">
        <v>1</v>
      </c>
      <c r="D463">
        <v>8111</v>
      </c>
      <c r="E463">
        <v>8123</v>
      </c>
      <c r="F463">
        <v>280.13333</v>
      </c>
      <c r="G463">
        <v>190.4</v>
      </c>
      <c r="H463">
        <v>1.4712886000000001</v>
      </c>
      <c r="I463">
        <v>-0.47128856000000002</v>
      </c>
      <c r="J463">
        <v>0.40464719999999998</v>
      </c>
    </row>
    <row r="464" spans="1:10" x14ac:dyDescent="0.3">
      <c r="A464">
        <v>462</v>
      </c>
      <c r="B464">
        <v>9674</v>
      </c>
      <c r="C464" t="b">
        <v>1</v>
      </c>
      <c r="D464">
        <v>8123</v>
      </c>
      <c r="E464">
        <v>8117</v>
      </c>
      <c r="F464">
        <v>278.2</v>
      </c>
      <c r="G464">
        <v>190.8</v>
      </c>
      <c r="H464">
        <v>1.4580713999999999</v>
      </c>
      <c r="I464">
        <v>-0.45807132</v>
      </c>
      <c r="J464">
        <v>0.40682304000000002</v>
      </c>
    </row>
    <row r="465" spans="1:10" x14ac:dyDescent="0.3">
      <c r="A465">
        <v>463</v>
      </c>
      <c r="B465">
        <v>9690</v>
      </c>
      <c r="C465" t="b">
        <v>1</v>
      </c>
      <c r="D465">
        <v>8083</v>
      </c>
      <c r="E465">
        <v>8105</v>
      </c>
      <c r="F465">
        <v>277</v>
      </c>
      <c r="G465">
        <v>191.2</v>
      </c>
      <c r="H465">
        <v>1.4487448000000001</v>
      </c>
      <c r="I465">
        <v>-0.4487448</v>
      </c>
      <c r="J465">
        <v>0.40837245999999999</v>
      </c>
    </row>
    <row r="466" spans="1:10" x14ac:dyDescent="0.3">
      <c r="A466">
        <v>464</v>
      </c>
      <c r="B466">
        <v>9705</v>
      </c>
      <c r="C466" t="b">
        <v>1</v>
      </c>
      <c r="D466">
        <v>8083</v>
      </c>
      <c r="E466">
        <v>8123</v>
      </c>
      <c r="F466">
        <v>274.66665999999998</v>
      </c>
      <c r="G466">
        <v>192</v>
      </c>
      <c r="H466">
        <v>1.4305555000000001</v>
      </c>
      <c r="I466">
        <v>-0.43055549999999998</v>
      </c>
      <c r="J466">
        <v>0.41142856999999999</v>
      </c>
    </row>
    <row r="467" spans="1:10" x14ac:dyDescent="0.3">
      <c r="A467">
        <v>465</v>
      </c>
      <c r="B467">
        <v>9721</v>
      </c>
      <c r="C467" t="b">
        <v>1</v>
      </c>
      <c r="D467">
        <v>8111</v>
      </c>
      <c r="E467">
        <v>8105</v>
      </c>
      <c r="F467">
        <v>274.26666</v>
      </c>
      <c r="G467">
        <v>193.2</v>
      </c>
      <c r="H467">
        <v>1.4195998000000001</v>
      </c>
      <c r="I467">
        <v>-0.41959970000000002</v>
      </c>
      <c r="J467">
        <v>0.41329147999999999</v>
      </c>
    </row>
    <row r="468" spans="1:10" x14ac:dyDescent="0.3">
      <c r="A468">
        <v>466</v>
      </c>
      <c r="B468">
        <v>9737</v>
      </c>
      <c r="C468" t="b">
        <v>1</v>
      </c>
      <c r="D468">
        <v>8088</v>
      </c>
      <c r="E468">
        <v>8129</v>
      </c>
      <c r="F468">
        <v>272.33334000000002</v>
      </c>
      <c r="G468">
        <v>194.4</v>
      </c>
      <c r="H468">
        <v>1.4008917999999999</v>
      </c>
      <c r="I468">
        <v>-0.40089172000000001</v>
      </c>
      <c r="J468">
        <v>0.41651191999999998</v>
      </c>
    </row>
    <row r="469" spans="1:10" x14ac:dyDescent="0.3">
      <c r="A469">
        <v>467</v>
      </c>
      <c r="B469">
        <v>9753</v>
      </c>
      <c r="C469" t="b">
        <v>1</v>
      </c>
      <c r="D469">
        <v>8123</v>
      </c>
      <c r="E469">
        <v>8111</v>
      </c>
      <c r="F469">
        <v>270.8</v>
      </c>
      <c r="G469">
        <v>194.8</v>
      </c>
      <c r="H469">
        <v>1.3901436</v>
      </c>
      <c r="I469">
        <v>-0.39014366</v>
      </c>
      <c r="J469">
        <v>0.4183849</v>
      </c>
    </row>
    <row r="470" spans="1:10" x14ac:dyDescent="0.3">
      <c r="A470">
        <v>468</v>
      </c>
      <c r="B470">
        <v>9769</v>
      </c>
      <c r="C470" t="b">
        <v>1</v>
      </c>
      <c r="D470">
        <v>8146</v>
      </c>
      <c r="E470">
        <v>8123</v>
      </c>
      <c r="F470">
        <v>270.8</v>
      </c>
      <c r="G470">
        <v>196.4</v>
      </c>
      <c r="H470">
        <v>1.3788187999999999</v>
      </c>
      <c r="I470">
        <v>-0.37881872</v>
      </c>
      <c r="J470">
        <v>0.42037671999999998</v>
      </c>
    </row>
    <row r="471" spans="1:10" x14ac:dyDescent="0.3">
      <c r="A471">
        <v>469</v>
      </c>
      <c r="B471">
        <v>9800</v>
      </c>
      <c r="C471" t="b">
        <v>1</v>
      </c>
      <c r="D471">
        <v>8111</v>
      </c>
      <c r="E471">
        <v>8117</v>
      </c>
      <c r="F471">
        <v>270.39999999999998</v>
      </c>
      <c r="G471">
        <v>197.6</v>
      </c>
      <c r="H471">
        <v>1.3684210000000001</v>
      </c>
      <c r="I471">
        <v>-0.368421</v>
      </c>
      <c r="J471">
        <v>0.42222222999999998</v>
      </c>
    </row>
    <row r="472" spans="1:10" x14ac:dyDescent="0.3">
      <c r="A472">
        <v>470</v>
      </c>
      <c r="B472">
        <v>9833</v>
      </c>
      <c r="C472" t="b">
        <v>1</v>
      </c>
      <c r="D472">
        <v>8140</v>
      </c>
      <c r="E472">
        <v>8117</v>
      </c>
      <c r="F472">
        <v>270.8</v>
      </c>
      <c r="G472">
        <v>198.4</v>
      </c>
      <c r="H472">
        <v>1.3649192999999999</v>
      </c>
      <c r="I472">
        <v>-0.36491932999999999</v>
      </c>
      <c r="J472">
        <v>0.42284739999999998</v>
      </c>
    </row>
    <row r="473" spans="1:10" x14ac:dyDescent="0.3">
      <c r="A473">
        <v>471</v>
      </c>
      <c r="B473">
        <v>9864</v>
      </c>
      <c r="C473" t="b">
        <v>1</v>
      </c>
      <c r="D473">
        <v>8117</v>
      </c>
      <c r="E473">
        <v>8093</v>
      </c>
      <c r="F473">
        <v>271.2</v>
      </c>
      <c r="G473">
        <v>199.2</v>
      </c>
      <c r="H473">
        <v>1.3614459000000001</v>
      </c>
      <c r="I473">
        <v>-0.36144587</v>
      </c>
      <c r="J473">
        <v>0.42346936000000002</v>
      </c>
    </row>
    <row r="474" spans="1:10" x14ac:dyDescent="0.3">
      <c r="A474">
        <v>472</v>
      </c>
      <c r="B474">
        <v>9896</v>
      </c>
      <c r="C474" t="b">
        <v>1</v>
      </c>
      <c r="D474">
        <v>8111</v>
      </c>
      <c r="E474">
        <v>8105</v>
      </c>
      <c r="F474">
        <v>270</v>
      </c>
      <c r="G474">
        <v>200</v>
      </c>
      <c r="H474">
        <v>1.35</v>
      </c>
      <c r="I474">
        <v>-0.35</v>
      </c>
      <c r="J474">
        <v>0.42553192000000001</v>
      </c>
    </row>
    <row r="475" spans="1:10" x14ac:dyDescent="0.3">
      <c r="A475">
        <v>473</v>
      </c>
      <c r="B475">
        <v>9912</v>
      </c>
      <c r="C475" t="b">
        <v>1</v>
      </c>
      <c r="D475">
        <v>8117</v>
      </c>
      <c r="E475">
        <v>8099</v>
      </c>
      <c r="F475">
        <v>270</v>
      </c>
      <c r="G475">
        <v>200</v>
      </c>
      <c r="H475">
        <v>1.35</v>
      </c>
      <c r="I475">
        <v>-0.35</v>
      </c>
      <c r="J475">
        <v>0.42553192000000001</v>
      </c>
    </row>
    <row r="476" spans="1:10" x14ac:dyDescent="0.3">
      <c r="A476">
        <v>474</v>
      </c>
      <c r="B476">
        <v>9943</v>
      </c>
      <c r="C476" t="b">
        <v>1</v>
      </c>
      <c r="D476">
        <v>8129</v>
      </c>
      <c r="E476">
        <v>8111</v>
      </c>
      <c r="F476">
        <v>270</v>
      </c>
      <c r="G476">
        <v>199.6</v>
      </c>
      <c r="H476">
        <v>1.3527054000000001</v>
      </c>
      <c r="I476">
        <v>-0.35270536000000002</v>
      </c>
      <c r="J476">
        <v>0.42504259999999999</v>
      </c>
    </row>
    <row r="477" spans="1:10" x14ac:dyDescent="0.3">
      <c r="A477">
        <v>475</v>
      </c>
      <c r="B477">
        <v>9959</v>
      </c>
      <c r="C477" t="b">
        <v>1</v>
      </c>
      <c r="D477">
        <v>8129</v>
      </c>
      <c r="E477">
        <v>8117</v>
      </c>
      <c r="F477">
        <v>270</v>
      </c>
      <c r="G477">
        <v>199.2</v>
      </c>
      <c r="H477">
        <v>1.3554217</v>
      </c>
      <c r="I477">
        <v>-0.35542172</v>
      </c>
      <c r="J477">
        <v>0.4245524</v>
      </c>
    </row>
    <row r="478" spans="1:10" x14ac:dyDescent="0.3">
      <c r="A478">
        <v>476</v>
      </c>
      <c r="B478">
        <v>9975</v>
      </c>
      <c r="C478" t="b">
        <v>1</v>
      </c>
      <c r="D478">
        <v>8100</v>
      </c>
      <c r="E478">
        <v>8105</v>
      </c>
      <c r="F478">
        <v>270.39999999999998</v>
      </c>
      <c r="G478">
        <v>198.8</v>
      </c>
      <c r="H478">
        <v>1.360161</v>
      </c>
      <c r="I478">
        <v>-0.36016092</v>
      </c>
      <c r="J478">
        <v>0.42369992000000001</v>
      </c>
    </row>
    <row r="479" spans="1:10" x14ac:dyDescent="0.3">
      <c r="A479">
        <v>477</v>
      </c>
      <c r="B479">
        <v>9991</v>
      </c>
      <c r="C479" t="b">
        <v>1</v>
      </c>
      <c r="D479">
        <v>8106</v>
      </c>
      <c r="E479">
        <v>8123</v>
      </c>
      <c r="F479">
        <v>270.8</v>
      </c>
      <c r="G479">
        <v>198.4</v>
      </c>
      <c r="H479">
        <v>1.3649192999999999</v>
      </c>
      <c r="I479">
        <v>-0.36491932999999999</v>
      </c>
      <c r="J479">
        <v>0.42284739999999998</v>
      </c>
    </row>
    <row r="480" spans="1:10" x14ac:dyDescent="0.3">
      <c r="A480">
        <v>478</v>
      </c>
      <c r="B480">
        <v>10007</v>
      </c>
      <c r="C480" t="b">
        <v>1</v>
      </c>
      <c r="D480">
        <v>8117</v>
      </c>
      <c r="E480">
        <v>8105</v>
      </c>
      <c r="F480">
        <v>271.2</v>
      </c>
      <c r="G480">
        <v>198</v>
      </c>
      <c r="H480">
        <v>1.3696969999999999</v>
      </c>
      <c r="I480">
        <v>-0.36969702999999998</v>
      </c>
      <c r="J480">
        <v>0.42199486000000003</v>
      </c>
    </row>
    <row r="481" spans="1:10" x14ac:dyDescent="0.3">
      <c r="A481">
        <v>479</v>
      </c>
      <c r="B481">
        <v>10023</v>
      </c>
      <c r="C481" t="b">
        <v>1</v>
      </c>
      <c r="D481">
        <v>8135</v>
      </c>
      <c r="E481">
        <v>8111</v>
      </c>
      <c r="F481">
        <v>272.73334</v>
      </c>
      <c r="G481">
        <v>197.6</v>
      </c>
      <c r="H481">
        <v>1.3802293999999999</v>
      </c>
      <c r="I481">
        <v>-0.38022938000000001</v>
      </c>
      <c r="J481">
        <v>0.42012757000000001</v>
      </c>
    </row>
    <row r="482" spans="1:10" x14ac:dyDescent="0.3">
      <c r="A482">
        <v>480</v>
      </c>
      <c r="B482">
        <v>10038</v>
      </c>
      <c r="C482" t="b">
        <v>1</v>
      </c>
      <c r="D482">
        <v>8135</v>
      </c>
      <c r="E482">
        <v>8105</v>
      </c>
      <c r="F482">
        <v>273.13333</v>
      </c>
      <c r="G482">
        <v>196.8</v>
      </c>
      <c r="H482">
        <v>1.3878725999999999</v>
      </c>
      <c r="I482">
        <v>-0.38787260000000001</v>
      </c>
      <c r="J482">
        <v>0.41878280000000001</v>
      </c>
    </row>
    <row r="483" spans="1:10" x14ac:dyDescent="0.3">
      <c r="A483">
        <v>481</v>
      </c>
      <c r="B483">
        <v>10054</v>
      </c>
      <c r="C483" t="b">
        <v>1</v>
      </c>
      <c r="D483">
        <v>8111</v>
      </c>
      <c r="E483">
        <v>8111</v>
      </c>
      <c r="F483">
        <v>275.06668000000002</v>
      </c>
      <c r="G483">
        <v>196.4</v>
      </c>
      <c r="H483">
        <v>1.4005432</v>
      </c>
      <c r="I483">
        <v>-0.40054319999999999</v>
      </c>
      <c r="J483">
        <v>0.41657240000000001</v>
      </c>
    </row>
    <row r="484" spans="1:10" x14ac:dyDescent="0.3">
      <c r="A484">
        <v>482</v>
      </c>
      <c r="B484">
        <v>10070</v>
      </c>
      <c r="C484" t="b">
        <v>1</v>
      </c>
      <c r="D484">
        <v>8117</v>
      </c>
      <c r="E484">
        <v>8105</v>
      </c>
      <c r="F484">
        <v>277</v>
      </c>
      <c r="G484">
        <v>196</v>
      </c>
      <c r="H484">
        <v>1.4132652999999999</v>
      </c>
      <c r="I484">
        <v>-0.41326531999999999</v>
      </c>
      <c r="J484">
        <v>0.41437632000000002</v>
      </c>
    </row>
    <row r="485" spans="1:10" x14ac:dyDescent="0.3">
      <c r="A485">
        <v>483</v>
      </c>
      <c r="B485">
        <v>10086</v>
      </c>
      <c r="C485" t="b">
        <v>1</v>
      </c>
      <c r="D485">
        <v>8129</v>
      </c>
      <c r="E485">
        <v>8123</v>
      </c>
      <c r="F485">
        <v>278.2</v>
      </c>
      <c r="G485">
        <v>195.2</v>
      </c>
      <c r="H485">
        <v>1.4252050000000001</v>
      </c>
      <c r="I485">
        <v>-0.425205</v>
      </c>
      <c r="J485">
        <v>0.41233626000000001</v>
      </c>
    </row>
    <row r="486" spans="1:10" x14ac:dyDescent="0.3">
      <c r="A486">
        <v>484</v>
      </c>
      <c r="B486">
        <v>10118</v>
      </c>
      <c r="C486" t="b">
        <v>1</v>
      </c>
      <c r="D486">
        <v>8140</v>
      </c>
      <c r="E486">
        <v>8105</v>
      </c>
      <c r="F486">
        <v>279.39999999999998</v>
      </c>
      <c r="G486">
        <v>194.4</v>
      </c>
      <c r="H486">
        <v>1.4372429</v>
      </c>
      <c r="I486">
        <v>-0.43724279999999999</v>
      </c>
      <c r="J486">
        <v>0.41029969999999999</v>
      </c>
    </row>
    <row r="487" spans="1:10" x14ac:dyDescent="0.3">
      <c r="A487">
        <v>485</v>
      </c>
      <c r="B487">
        <v>10134</v>
      </c>
      <c r="C487" t="b">
        <v>1</v>
      </c>
      <c r="D487">
        <v>8129</v>
      </c>
      <c r="E487">
        <v>8093</v>
      </c>
      <c r="F487">
        <v>279.8</v>
      </c>
      <c r="G487">
        <v>193.6</v>
      </c>
      <c r="H487">
        <v>1.4452478</v>
      </c>
      <c r="I487">
        <v>-0.44524783000000001</v>
      </c>
      <c r="J487">
        <v>0.4089565</v>
      </c>
    </row>
    <row r="488" spans="1:10" x14ac:dyDescent="0.3">
      <c r="A488">
        <v>486</v>
      </c>
      <c r="B488">
        <v>10150</v>
      </c>
      <c r="C488" t="b">
        <v>1</v>
      </c>
      <c r="D488">
        <v>8129</v>
      </c>
      <c r="E488">
        <v>8075</v>
      </c>
      <c r="F488">
        <v>280.2</v>
      </c>
      <c r="G488">
        <v>192.8</v>
      </c>
      <c r="H488">
        <v>1.4533195000000001</v>
      </c>
      <c r="I488">
        <v>-0.45331955000000002</v>
      </c>
      <c r="J488">
        <v>0.407611</v>
      </c>
    </row>
    <row r="489" spans="1:10" x14ac:dyDescent="0.3">
      <c r="A489">
        <v>487</v>
      </c>
      <c r="B489">
        <v>10165</v>
      </c>
      <c r="C489" t="b">
        <v>1</v>
      </c>
      <c r="D489">
        <v>8111</v>
      </c>
      <c r="E489">
        <v>8099</v>
      </c>
      <c r="F489">
        <v>281</v>
      </c>
      <c r="G489">
        <v>191.6</v>
      </c>
      <c r="H489">
        <v>1.4665971</v>
      </c>
      <c r="I489">
        <v>-0.46659701999999997</v>
      </c>
      <c r="J489">
        <v>0.40541685</v>
      </c>
    </row>
    <row r="490" spans="1:10" x14ac:dyDescent="0.3">
      <c r="A490">
        <v>488</v>
      </c>
      <c r="B490">
        <v>10182</v>
      </c>
      <c r="C490" t="b">
        <v>1</v>
      </c>
      <c r="D490">
        <v>8106</v>
      </c>
      <c r="E490">
        <v>8129</v>
      </c>
      <c r="F490">
        <v>281.8</v>
      </c>
      <c r="G490">
        <v>191.2</v>
      </c>
      <c r="H490">
        <v>1.4738492999999999</v>
      </c>
      <c r="I490">
        <v>-0.47384933000000001</v>
      </c>
      <c r="J490">
        <v>0.40422833000000002</v>
      </c>
    </row>
    <row r="491" spans="1:10" x14ac:dyDescent="0.3">
      <c r="A491">
        <v>489</v>
      </c>
      <c r="B491">
        <v>10198</v>
      </c>
      <c r="C491" t="b">
        <v>1</v>
      </c>
      <c r="D491">
        <v>8117</v>
      </c>
      <c r="E491">
        <v>8111</v>
      </c>
      <c r="F491">
        <v>281.8</v>
      </c>
      <c r="G491">
        <v>190.8</v>
      </c>
      <c r="H491">
        <v>1.4769391000000001</v>
      </c>
      <c r="I491">
        <v>-0.4769391</v>
      </c>
      <c r="J491">
        <v>0.40372409999999997</v>
      </c>
    </row>
    <row r="492" spans="1:10" x14ac:dyDescent="0.3">
      <c r="A492">
        <v>490</v>
      </c>
      <c r="B492">
        <v>10229</v>
      </c>
      <c r="C492" t="b">
        <v>1</v>
      </c>
      <c r="D492">
        <v>8123</v>
      </c>
      <c r="E492">
        <v>8105</v>
      </c>
      <c r="F492">
        <v>281.8</v>
      </c>
      <c r="G492">
        <v>190.8</v>
      </c>
      <c r="H492">
        <v>1.4769391000000001</v>
      </c>
      <c r="I492">
        <v>-0.4769391</v>
      </c>
      <c r="J492">
        <v>0.40372409999999997</v>
      </c>
    </row>
    <row r="493" spans="1:10" x14ac:dyDescent="0.3">
      <c r="A493">
        <v>491</v>
      </c>
      <c r="B493">
        <v>10246</v>
      </c>
      <c r="C493" t="b">
        <v>1</v>
      </c>
      <c r="D493">
        <v>8123</v>
      </c>
      <c r="E493">
        <v>8099</v>
      </c>
      <c r="F493">
        <v>281.8</v>
      </c>
      <c r="G493">
        <v>190.8</v>
      </c>
      <c r="H493">
        <v>1.4769391000000001</v>
      </c>
      <c r="I493">
        <v>-0.4769391</v>
      </c>
      <c r="J493">
        <v>0.40372409999999997</v>
      </c>
    </row>
    <row r="494" spans="1:10" x14ac:dyDescent="0.3">
      <c r="A494">
        <v>492</v>
      </c>
      <c r="B494">
        <v>10261</v>
      </c>
      <c r="C494" t="b">
        <v>1</v>
      </c>
      <c r="D494">
        <v>8140</v>
      </c>
      <c r="E494">
        <v>8111</v>
      </c>
      <c r="F494">
        <v>282.2</v>
      </c>
      <c r="G494">
        <v>190.8</v>
      </c>
      <c r="H494">
        <v>1.4790357000000001</v>
      </c>
      <c r="I494">
        <v>-0.47903568000000002</v>
      </c>
      <c r="J494">
        <v>0.40338266</v>
      </c>
    </row>
    <row r="495" spans="1:10" x14ac:dyDescent="0.3">
      <c r="A495">
        <v>493</v>
      </c>
      <c r="B495">
        <v>10300</v>
      </c>
      <c r="C495" t="b">
        <v>1</v>
      </c>
      <c r="D495">
        <v>8129</v>
      </c>
      <c r="E495">
        <v>8105</v>
      </c>
      <c r="F495">
        <v>282.60000000000002</v>
      </c>
      <c r="G495">
        <v>190.4</v>
      </c>
      <c r="H495">
        <v>1.4842438</v>
      </c>
      <c r="I495">
        <v>-0.48424378000000001</v>
      </c>
      <c r="J495">
        <v>0.40253699999999998</v>
      </c>
    </row>
    <row r="496" spans="1:10" x14ac:dyDescent="0.3">
      <c r="A496">
        <v>494</v>
      </c>
      <c r="B496">
        <v>10331</v>
      </c>
      <c r="C496" t="b">
        <v>1</v>
      </c>
      <c r="D496">
        <v>8129</v>
      </c>
      <c r="E496">
        <v>8123</v>
      </c>
      <c r="F496">
        <v>283.39999999999998</v>
      </c>
      <c r="G496">
        <v>190</v>
      </c>
      <c r="H496">
        <v>1.4915788999999999</v>
      </c>
      <c r="I496">
        <v>-0.49157889999999999</v>
      </c>
      <c r="J496">
        <v>0.40135193000000002</v>
      </c>
    </row>
    <row r="497" spans="1:10" x14ac:dyDescent="0.3">
      <c r="A497">
        <v>495</v>
      </c>
      <c r="B497">
        <v>10347</v>
      </c>
      <c r="C497" t="b">
        <v>1</v>
      </c>
      <c r="D497">
        <v>8129</v>
      </c>
      <c r="E497">
        <v>8117</v>
      </c>
      <c r="F497">
        <v>284.2</v>
      </c>
      <c r="G497">
        <v>190.4</v>
      </c>
      <c r="H497">
        <v>1.4926472</v>
      </c>
      <c r="I497">
        <v>-0.49264717000000002</v>
      </c>
      <c r="J497">
        <v>0.40117989999999998</v>
      </c>
    </row>
    <row r="498" spans="1:10" x14ac:dyDescent="0.3">
      <c r="A498">
        <v>496</v>
      </c>
      <c r="B498">
        <v>10363</v>
      </c>
      <c r="C498" t="b">
        <v>1</v>
      </c>
      <c r="D498">
        <v>8146</v>
      </c>
      <c r="E498">
        <v>8129</v>
      </c>
      <c r="F498">
        <v>285</v>
      </c>
      <c r="G498">
        <v>190.8</v>
      </c>
      <c r="H498">
        <v>1.4937106</v>
      </c>
      <c r="I498">
        <v>-0.49371067000000002</v>
      </c>
      <c r="J498">
        <v>0.40100883999999998</v>
      </c>
    </row>
    <row r="499" spans="1:10" x14ac:dyDescent="0.3">
      <c r="A499">
        <v>497</v>
      </c>
      <c r="B499">
        <v>10395</v>
      </c>
      <c r="C499" t="b">
        <v>1</v>
      </c>
      <c r="D499">
        <v>8117</v>
      </c>
      <c r="E499">
        <v>8099</v>
      </c>
      <c r="F499">
        <v>285.8</v>
      </c>
      <c r="G499">
        <v>191.6</v>
      </c>
      <c r="H499">
        <v>1.4916491999999999</v>
      </c>
      <c r="I499">
        <v>-0.49164914999999998</v>
      </c>
      <c r="J499">
        <v>0.40134059999999999</v>
      </c>
    </row>
    <row r="500" spans="1:10" x14ac:dyDescent="0.3">
      <c r="A500">
        <v>498</v>
      </c>
      <c r="B500">
        <v>10411</v>
      </c>
      <c r="C500" t="b">
        <v>1</v>
      </c>
      <c r="D500">
        <v>8111</v>
      </c>
      <c r="E500">
        <v>8129</v>
      </c>
      <c r="F500">
        <v>285.8</v>
      </c>
      <c r="G500">
        <v>192.4</v>
      </c>
      <c r="H500">
        <v>1.4854468999999999</v>
      </c>
      <c r="I500">
        <v>-0.48544695999999998</v>
      </c>
      <c r="J500">
        <v>0.40234209999999998</v>
      </c>
    </row>
    <row r="501" spans="1:10" x14ac:dyDescent="0.3">
      <c r="A501">
        <v>499</v>
      </c>
      <c r="B501">
        <v>10427</v>
      </c>
      <c r="C501" t="b">
        <v>1</v>
      </c>
      <c r="D501">
        <v>8106</v>
      </c>
      <c r="E501">
        <v>8099</v>
      </c>
      <c r="F501">
        <v>285</v>
      </c>
      <c r="G501">
        <v>193.2</v>
      </c>
      <c r="H501">
        <v>1.4751554</v>
      </c>
      <c r="I501">
        <v>-0.4751553</v>
      </c>
      <c r="J501">
        <v>0.40401503</v>
      </c>
    </row>
    <row r="502" spans="1:10" x14ac:dyDescent="0.3">
      <c r="A502">
        <v>500</v>
      </c>
      <c r="B502">
        <v>10442</v>
      </c>
      <c r="C502" t="b">
        <v>1</v>
      </c>
      <c r="D502">
        <v>8123</v>
      </c>
      <c r="E502">
        <v>8099</v>
      </c>
      <c r="F502">
        <v>284.2</v>
      </c>
      <c r="G502">
        <v>192.8</v>
      </c>
      <c r="H502">
        <v>1.4740664000000001</v>
      </c>
      <c r="I502">
        <v>-0.47406643999999998</v>
      </c>
      <c r="J502">
        <v>0.40419285999999999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964A-5D4A-4FE1-96DC-AF42D53F769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8111</v>
      </c>
      <c r="E2">
        <v>8117</v>
      </c>
      <c r="F2">
        <v>271</v>
      </c>
      <c r="G2">
        <v>202</v>
      </c>
      <c r="H2">
        <v>1.3415842</v>
      </c>
      <c r="I2">
        <v>-0.34158414999999998</v>
      </c>
      <c r="J2">
        <v>0.42706132000000002</v>
      </c>
    </row>
    <row r="3" spans="1:10" x14ac:dyDescent="0.3">
      <c r="A3">
        <v>1</v>
      </c>
      <c r="B3">
        <v>20</v>
      </c>
      <c r="C3" t="b">
        <v>1</v>
      </c>
      <c r="D3">
        <v>8117</v>
      </c>
      <c r="E3">
        <v>8093</v>
      </c>
      <c r="F3">
        <v>274</v>
      </c>
      <c r="G3">
        <v>202</v>
      </c>
      <c r="H3">
        <v>1.3564357</v>
      </c>
      <c r="I3">
        <v>-0.35643565999999999</v>
      </c>
      <c r="J3">
        <v>0.42436974999999999</v>
      </c>
    </row>
    <row r="4" spans="1:10" x14ac:dyDescent="0.3">
      <c r="A4">
        <v>2</v>
      </c>
      <c r="B4">
        <v>51</v>
      </c>
      <c r="C4" t="b">
        <v>1</v>
      </c>
      <c r="D4">
        <v>8106</v>
      </c>
      <c r="E4">
        <v>8117</v>
      </c>
      <c r="F4">
        <v>273</v>
      </c>
      <c r="G4">
        <v>202</v>
      </c>
      <c r="H4">
        <v>1.3514851000000001</v>
      </c>
      <c r="I4">
        <v>-0.35148516000000002</v>
      </c>
      <c r="J4">
        <v>0.42526317000000002</v>
      </c>
    </row>
    <row r="5" spans="1:10" x14ac:dyDescent="0.3">
      <c r="A5">
        <v>3</v>
      </c>
      <c r="B5">
        <v>83</v>
      </c>
      <c r="C5" t="b">
        <v>1</v>
      </c>
      <c r="D5">
        <v>8100</v>
      </c>
      <c r="E5">
        <v>8129</v>
      </c>
      <c r="F5">
        <v>272.5</v>
      </c>
      <c r="G5">
        <v>202</v>
      </c>
      <c r="H5">
        <v>1.3490099</v>
      </c>
      <c r="I5">
        <v>-0.34900989999999998</v>
      </c>
      <c r="J5">
        <v>0.42571126999999997</v>
      </c>
    </row>
    <row r="6" spans="1:10" x14ac:dyDescent="0.3">
      <c r="A6">
        <v>4</v>
      </c>
      <c r="B6">
        <v>114</v>
      </c>
      <c r="C6" t="b">
        <v>1</v>
      </c>
      <c r="D6">
        <v>8100</v>
      </c>
      <c r="E6">
        <v>8105</v>
      </c>
      <c r="F6">
        <v>271.2</v>
      </c>
      <c r="G6">
        <v>202</v>
      </c>
      <c r="H6">
        <v>1.3425743999999999</v>
      </c>
      <c r="I6">
        <v>-0.34257432999999998</v>
      </c>
      <c r="J6">
        <v>0.4268808</v>
      </c>
    </row>
    <row r="7" spans="1:10" x14ac:dyDescent="0.3">
      <c r="A7">
        <v>5</v>
      </c>
      <c r="B7">
        <v>146</v>
      </c>
      <c r="C7" t="b">
        <v>1</v>
      </c>
      <c r="D7">
        <v>8083</v>
      </c>
      <c r="E7">
        <v>8111</v>
      </c>
      <c r="F7">
        <v>269.33334000000002</v>
      </c>
      <c r="G7">
        <v>201</v>
      </c>
      <c r="H7">
        <v>1.3399669000000001</v>
      </c>
      <c r="I7">
        <v>-0.33996690000000002</v>
      </c>
      <c r="J7">
        <v>0.42735647999999998</v>
      </c>
    </row>
    <row r="8" spans="1:10" x14ac:dyDescent="0.3">
      <c r="A8">
        <v>6</v>
      </c>
      <c r="B8">
        <v>161</v>
      </c>
      <c r="C8" t="b">
        <v>1</v>
      </c>
      <c r="D8">
        <v>8094</v>
      </c>
      <c r="E8">
        <v>8111</v>
      </c>
      <c r="F8">
        <v>268</v>
      </c>
      <c r="G8">
        <v>200.28572</v>
      </c>
      <c r="H8">
        <v>1.3380884</v>
      </c>
      <c r="I8">
        <v>-0.33808840000000001</v>
      </c>
      <c r="J8">
        <v>0.42769983</v>
      </c>
    </row>
    <row r="9" spans="1:10" x14ac:dyDescent="0.3">
      <c r="A9">
        <v>7</v>
      </c>
      <c r="B9">
        <v>177</v>
      </c>
      <c r="C9" t="b">
        <v>1</v>
      </c>
      <c r="D9">
        <v>8106</v>
      </c>
      <c r="E9">
        <v>8099</v>
      </c>
      <c r="F9">
        <v>267</v>
      </c>
      <c r="G9">
        <v>199.75</v>
      </c>
      <c r="H9">
        <v>1.3366709000000001</v>
      </c>
      <c r="I9">
        <v>-0.33667085000000002</v>
      </c>
      <c r="J9">
        <v>0.42795929999999999</v>
      </c>
    </row>
    <row r="10" spans="1:10" x14ac:dyDescent="0.3">
      <c r="A10">
        <v>8</v>
      </c>
      <c r="B10">
        <v>193</v>
      </c>
      <c r="C10" t="b">
        <v>1</v>
      </c>
      <c r="D10">
        <v>8106</v>
      </c>
      <c r="E10">
        <v>8099</v>
      </c>
      <c r="F10">
        <v>266.22223000000002</v>
      </c>
      <c r="G10">
        <v>198.66667000000001</v>
      </c>
      <c r="H10">
        <v>1.3400447</v>
      </c>
      <c r="I10">
        <v>-0.34004474000000001</v>
      </c>
      <c r="J10">
        <v>0.42734223999999998</v>
      </c>
    </row>
    <row r="11" spans="1:10" x14ac:dyDescent="0.3">
      <c r="A11">
        <v>9</v>
      </c>
      <c r="B11">
        <v>209</v>
      </c>
      <c r="C11" t="b">
        <v>1</v>
      </c>
      <c r="D11">
        <v>8117</v>
      </c>
      <c r="E11">
        <v>8087</v>
      </c>
      <c r="F11">
        <v>266.2</v>
      </c>
      <c r="G11">
        <v>197.2</v>
      </c>
      <c r="H11">
        <v>1.3498987</v>
      </c>
      <c r="I11">
        <v>-0.34989867000000002</v>
      </c>
      <c r="J11">
        <v>0.42555025000000002</v>
      </c>
    </row>
    <row r="12" spans="1:10" x14ac:dyDescent="0.3">
      <c r="A12">
        <v>10</v>
      </c>
      <c r="B12">
        <v>225</v>
      </c>
      <c r="C12" t="b">
        <v>1</v>
      </c>
      <c r="D12">
        <v>8094</v>
      </c>
      <c r="E12">
        <v>8105</v>
      </c>
      <c r="F12">
        <v>266.18182000000002</v>
      </c>
      <c r="G12">
        <v>196</v>
      </c>
      <c r="H12">
        <v>1.3580705</v>
      </c>
      <c r="I12">
        <v>-0.35807052</v>
      </c>
      <c r="J12">
        <v>0.42407549999999999</v>
      </c>
    </row>
    <row r="13" spans="1:10" x14ac:dyDescent="0.3">
      <c r="A13">
        <v>11</v>
      </c>
      <c r="B13">
        <v>241</v>
      </c>
      <c r="C13" t="b">
        <v>1</v>
      </c>
      <c r="D13">
        <v>8100</v>
      </c>
      <c r="E13">
        <v>8117</v>
      </c>
      <c r="F13">
        <v>266.16665999999998</v>
      </c>
      <c r="G13">
        <v>195</v>
      </c>
      <c r="H13">
        <v>1.3649572000000001</v>
      </c>
      <c r="I13">
        <v>-0.36495719999999998</v>
      </c>
      <c r="J13">
        <v>0.42284063</v>
      </c>
    </row>
    <row r="14" spans="1:10" x14ac:dyDescent="0.3">
      <c r="A14">
        <v>12</v>
      </c>
      <c r="B14">
        <v>257</v>
      </c>
      <c r="C14" t="b">
        <v>1</v>
      </c>
      <c r="D14">
        <v>8083</v>
      </c>
      <c r="E14">
        <v>8134</v>
      </c>
      <c r="F14">
        <v>265.69232</v>
      </c>
      <c r="G14">
        <v>194.61538999999999</v>
      </c>
      <c r="H14">
        <v>1.3652173999999999</v>
      </c>
      <c r="I14">
        <v>-0.36521745</v>
      </c>
      <c r="J14">
        <v>0.42279410000000001</v>
      </c>
    </row>
    <row r="15" spans="1:10" x14ac:dyDescent="0.3">
      <c r="A15">
        <v>13</v>
      </c>
      <c r="B15">
        <v>273</v>
      </c>
      <c r="C15" t="b">
        <v>1</v>
      </c>
      <c r="D15">
        <v>8094</v>
      </c>
      <c r="E15">
        <v>8134</v>
      </c>
      <c r="F15">
        <v>264.85714999999999</v>
      </c>
      <c r="G15">
        <v>195.14285000000001</v>
      </c>
      <c r="H15">
        <v>1.3572474999999999</v>
      </c>
      <c r="I15">
        <v>-0.3572475</v>
      </c>
      <c r="J15">
        <v>0.42422359999999998</v>
      </c>
    </row>
    <row r="16" spans="1:10" x14ac:dyDescent="0.3">
      <c r="A16">
        <v>14</v>
      </c>
      <c r="B16">
        <v>289</v>
      </c>
      <c r="C16" t="b">
        <v>1</v>
      </c>
      <c r="D16">
        <v>8100</v>
      </c>
      <c r="E16">
        <v>8093</v>
      </c>
      <c r="F16">
        <v>264.13333</v>
      </c>
      <c r="G16">
        <v>195.6</v>
      </c>
      <c r="H16">
        <v>1.3503748</v>
      </c>
      <c r="I16">
        <v>-0.35037485000000002</v>
      </c>
      <c r="J16">
        <v>0.42546402999999999</v>
      </c>
    </row>
    <row r="17" spans="1:10" x14ac:dyDescent="0.3">
      <c r="A17">
        <v>15</v>
      </c>
      <c r="B17">
        <v>305</v>
      </c>
      <c r="C17" t="b">
        <v>1</v>
      </c>
      <c r="D17">
        <v>8094</v>
      </c>
      <c r="E17">
        <v>8099</v>
      </c>
      <c r="F17">
        <v>263</v>
      </c>
      <c r="G17">
        <v>195.6</v>
      </c>
      <c r="H17">
        <v>1.3445807999999999</v>
      </c>
      <c r="I17">
        <v>-0.34458074</v>
      </c>
      <c r="J17">
        <v>0.42651549999999999</v>
      </c>
    </row>
    <row r="18" spans="1:10" x14ac:dyDescent="0.3">
      <c r="A18">
        <v>16</v>
      </c>
      <c r="B18">
        <v>321</v>
      </c>
      <c r="C18" t="b">
        <v>1</v>
      </c>
      <c r="D18">
        <v>8106</v>
      </c>
      <c r="E18">
        <v>8117</v>
      </c>
      <c r="F18">
        <v>261.46667000000002</v>
      </c>
      <c r="G18">
        <v>195.6</v>
      </c>
      <c r="H18">
        <v>1.3367416999999999</v>
      </c>
      <c r="I18">
        <v>-0.33674166</v>
      </c>
      <c r="J18">
        <v>0.42794632999999999</v>
      </c>
    </row>
    <row r="19" spans="1:10" x14ac:dyDescent="0.3">
      <c r="A19">
        <v>17</v>
      </c>
      <c r="B19">
        <v>337</v>
      </c>
      <c r="C19" t="b">
        <v>1</v>
      </c>
      <c r="D19">
        <v>8094</v>
      </c>
      <c r="E19">
        <v>8105</v>
      </c>
      <c r="F19">
        <v>260.33334000000002</v>
      </c>
      <c r="G19">
        <v>194.8</v>
      </c>
      <c r="H19">
        <v>1.3364134999999999</v>
      </c>
      <c r="I19">
        <v>-0.33641344000000001</v>
      </c>
      <c r="J19">
        <v>0.42800640000000001</v>
      </c>
    </row>
    <row r="20" spans="1:10" x14ac:dyDescent="0.3">
      <c r="A20">
        <v>18</v>
      </c>
      <c r="B20">
        <v>352</v>
      </c>
      <c r="C20" t="b">
        <v>1</v>
      </c>
      <c r="D20">
        <v>8117</v>
      </c>
      <c r="E20">
        <v>8099</v>
      </c>
      <c r="F20">
        <v>259.60000000000002</v>
      </c>
      <c r="G20">
        <v>193.6</v>
      </c>
      <c r="H20">
        <v>1.3409091</v>
      </c>
      <c r="I20">
        <v>-0.34090910000000002</v>
      </c>
      <c r="J20">
        <v>0.42718445999999999</v>
      </c>
    </row>
    <row r="21" spans="1:10" x14ac:dyDescent="0.3">
      <c r="A21">
        <v>19</v>
      </c>
      <c r="B21">
        <v>368</v>
      </c>
      <c r="C21" t="b">
        <v>1</v>
      </c>
      <c r="D21">
        <v>8100</v>
      </c>
      <c r="E21">
        <v>8081</v>
      </c>
      <c r="F21">
        <v>259.2</v>
      </c>
      <c r="G21">
        <v>192.4</v>
      </c>
      <c r="H21">
        <v>1.3471934999999999</v>
      </c>
      <c r="I21">
        <v>-0.34719345000000001</v>
      </c>
      <c r="J21">
        <v>0.42604073999999997</v>
      </c>
    </row>
    <row r="22" spans="1:10" x14ac:dyDescent="0.3">
      <c r="A22">
        <v>20</v>
      </c>
      <c r="B22">
        <v>385</v>
      </c>
      <c r="C22" t="b">
        <v>1</v>
      </c>
      <c r="D22">
        <v>8111</v>
      </c>
      <c r="E22">
        <v>8129</v>
      </c>
      <c r="F22">
        <v>259.60000000000002</v>
      </c>
      <c r="G22">
        <v>192</v>
      </c>
      <c r="H22">
        <v>1.3520833000000001</v>
      </c>
      <c r="I22">
        <v>-0.35208336000000001</v>
      </c>
      <c r="J22">
        <v>0.42515498000000002</v>
      </c>
    </row>
    <row r="23" spans="1:10" x14ac:dyDescent="0.3">
      <c r="A23">
        <v>21</v>
      </c>
      <c r="B23">
        <v>416</v>
      </c>
      <c r="C23" t="b">
        <v>1</v>
      </c>
      <c r="D23">
        <v>8077</v>
      </c>
      <c r="E23">
        <v>8099</v>
      </c>
      <c r="F23">
        <v>259.60000000000002</v>
      </c>
      <c r="G23">
        <v>191.2</v>
      </c>
      <c r="H23">
        <v>1.3577406000000001</v>
      </c>
      <c r="I23">
        <v>-0.35774064</v>
      </c>
      <c r="J23">
        <v>0.42413487999999999</v>
      </c>
    </row>
    <row r="24" spans="1:10" x14ac:dyDescent="0.3">
      <c r="A24">
        <v>22</v>
      </c>
      <c r="B24">
        <v>448</v>
      </c>
      <c r="C24" t="b">
        <v>1</v>
      </c>
      <c r="D24">
        <v>8106</v>
      </c>
      <c r="E24">
        <v>8117</v>
      </c>
      <c r="F24">
        <v>260</v>
      </c>
      <c r="G24">
        <v>190.4</v>
      </c>
      <c r="H24">
        <v>1.3655462</v>
      </c>
      <c r="I24">
        <v>-0.36554626000000001</v>
      </c>
      <c r="J24">
        <v>0.42273533000000002</v>
      </c>
    </row>
    <row r="25" spans="1:10" x14ac:dyDescent="0.3">
      <c r="A25">
        <v>23</v>
      </c>
      <c r="B25">
        <v>479</v>
      </c>
      <c r="C25" t="b">
        <v>1</v>
      </c>
      <c r="D25">
        <v>8106</v>
      </c>
      <c r="E25">
        <v>8111</v>
      </c>
      <c r="F25">
        <v>260.39999999999998</v>
      </c>
      <c r="G25">
        <v>190.8</v>
      </c>
      <c r="H25">
        <v>1.3647798</v>
      </c>
      <c r="I25">
        <v>-0.36477983000000003</v>
      </c>
      <c r="J25">
        <v>0.42287233000000002</v>
      </c>
    </row>
    <row r="26" spans="1:10" x14ac:dyDescent="0.3">
      <c r="A26">
        <v>24</v>
      </c>
      <c r="B26">
        <v>495</v>
      </c>
      <c r="C26" t="b">
        <v>1</v>
      </c>
      <c r="D26">
        <v>8088</v>
      </c>
      <c r="E26">
        <v>8129</v>
      </c>
      <c r="F26">
        <v>260.39999999999998</v>
      </c>
      <c r="G26">
        <v>192</v>
      </c>
      <c r="H26">
        <v>1.3562498999999999</v>
      </c>
      <c r="I26">
        <v>-0.35624995999999998</v>
      </c>
      <c r="J26">
        <v>0.42440319999999998</v>
      </c>
    </row>
    <row r="27" spans="1:10" x14ac:dyDescent="0.3">
      <c r="A27">
        <v>25</v>
      </c>
      <c r="B27">
        <v>511</v>
      </c>
      <c r="C27" t="b">
        <v>1</v>
      </c>
      <c r="D27">
        <v>8106</v>
      </c>
      <c r="E27">
        <v>8093</v>
      </c>
      <c r="F27">
        <v>260.39999999999998</v>
      </c>
      <c r="G27">
        <v>192.8</v>
      </c>
      <c r="H27">
        <v>1.3506222999999999</v>
      </c>
      <c r="I27">
        <v>-0.35062236000000002</v>
      </c>
      <c r="J27">
        <v>0.42541923999999998</v>
      </c>
    </row>
    <row r="28" spans="1:10" x14ac:dyDescent="0.3">
      <c r="A28">
        <v>26</v>
      </c>
      <c r="B28">
        <v>527</v>
      </c>
      <c r="C28" t="b">
        <v>1</v>
      </c>
      <c r="D28">
        <v>8100</v>
      </c>
      <c r="E28">
        <v>8111</v>
      </c>
      <c r="F28">
        <v>260.39999999999998</v>
      </c>
      <c r="G28">
        <v>193.6</v>
      </c>
      <c r="H28">
        <v>1.3450413000000001</v>
      </c>
      <c r="I28">
        <v>-0.34504125000000002</v>
      </c>
      <c r="J28">
        <v>0.42643175</v>
      </c>
    </row>
    <row r="29" spans="1:10" x14ac:dyDescent="0.3">
      <c r="A29">
        <v>27</v>
      </c>
      <c r="B29">
        <v>543</v>
      </c>
      <c r="C29" t="b">
        <v>1</v>
      </c>
      <c r="D29">
        <v>8094</v>
      </c>
      <c r="E29">
        <v>8099</v>
      </c>
      <c r="F29">
        <v>260.39999999999998</v>
      </c>
      <c r="G29">
        <v>194</v>
      </c>
      <c r="H29">
        <v>1.342268</v>
      </c>
      <c r="I29">
        <v>-0.34226802000000001</v>
      </c>
      <c r="J29">
        <v>0.42693662999999998</v>
      </c>
    </row>
    <row r="30" spans="1:10" x14ac:dyDescent="0.3">
      <c r="A30">
        <v>28</v>
      </c>
      <c r="B30">
        <v>559</v>
      </c>
      <c r="C30" t="b">
        <v>1</v>
      </c>
      <c r="D30">
        <v>8106</v>
      </c>
      <c r="E30">
        <v>8081</v>
      </c>
      <c r="F30">
        <v>260.8</v>
      </c>
      <c r="G30">
        <v>192.8</v>
      </c>
      <c r="H30">
        <v>1.352697</v>
      </c>
      <c r="I30">
        <v>-0.35269699999999998</v>
      </c>
      <c r="J30">
        <v>0.42504412000000003</v>
      </c>
    </row>
    <row r="31" spans="1:10" x14ac:dyDescent="0.3">
      <c r="A31">
        <v>29</v>
      </c>
      <c r="B31">
        <v>574</v>
      </c>
      <c r="C31" t="b">
        <v>1</v>
      </c>
      <c r="D31">
        <v>8117</v>
      </c>
      <c r="E31">
        <v>8129</v>
      </c>
      <c r="F31">
        <v>261.60000000000002</v>
      </c>
      <c r="G31">
        <v>191.6</v>
      </c>
      <c r="H31">
        <v>1.3653443999999999</v>
      </c>
      <c r="I31">
        <v>-0.36534445999999998</v>
      </c>
      <c r="J31">
        <v>0.42277140000000002</v>
      </c>
    </row>
    <row r="32" spans="1:10" x14ac:dyDescent="0.3">
      <c r="A32">
        <v>30</v>
      </c>
      <c r="B32">
        <v>591</v>
      </c>
      <c r="C32" t="b">
        <v>1</v>
      </c>
      <c r="D32">
        <v>8083</v>
      </c>
      <c r="E32">
        <v>8123</v>
      </c>
      <c r="F32">
        <v>262</v>
      </c>
      <c r="G32">
        <v>191.2</v>
      </c>
      <c r="H32">
        <v>1.3702928999999999</v>
      </c>
      <c r="I32">
        <v>-0.37029289999999998</v>
      </c>
      <c r="J32">
        <v>0.42188877000000002</v>
      </c>
    </row>
    <row r="33" spans="1:10" x14ac:dyDescent="0.3">
      <c r="A33">
        <v>31</v>
      </c>
      <c r="B33">
        <v>606</v>
      </c>
      <c r="C33" t="b">
        <v>1</v>
      </c>
      <c r="D33">
        <v>8077</v>
      </c>
      <c r="E33">
        <v>8111</v>
      </c>
      <c r="F33">
        <v>262</v>
      </c>
      <c r="G33">
        <v>190.8</v>
      </c>
      <c r="H33">
        <v>1.3731656000000001</v>
      </c>
      <c r="I33">
        <v>-0.37316559999999999</v>
      </c>
      <c r="J33">
        <v>0.42137809999999998</v>
      </c>
    </row>
    <row r="34" spans="1:10" x14ac:dyDescent="0.3">
      <c r="A34">
        <v>32</v>
      </c>
      <c r="B34">
        <v>622</v>
      </c>
      <c r="C34" t="b">
        <v>1</v>
      </c>
      <c r="D34">
        <v>8106</v>
      </c>
      <c r="E34">
        <v>8111</v>
      </c>
      <c r="F34">
        <v>262.8</v>
      </c>
      <c r="G34">
        <v>191.2</v>
      </c>
      <c r="H34">
        <v>1.3744768999999999</v>
      </c>
      <c r="I34">
        <v>-0.37447693999999998</v>
      </c>
      <c r="J34">
        <v>0.42114538000000001</v>
      </c>
    </row>
    <row r="35" spans="1:10" x14ac:dyDescent="0.3">
      <c r="A35">
        <v>33</v>
      </c>
      <c r="B35">
        <v>638</v>
      </c>
      <c r="C35" t="b">
        <v>1</v>
      </c>
      <c r="D35">
        <v>8111</v>
      </c>
      <c r="E35">
        <v>8081</v>
      </c>
      <c r="F35">
        <v>263.2</v>
      </c>
      <c r="G35">
        <v>192</v>
      </c>
      <c r="H35">
        <v>1.3708334</v>
      </c>
      <c r="I35">
        <v>-0.37083339999999998</v>
      </c>
      <c r="J35">
        <v>0.42179260000000002</v>
      </c>
    </row>
    <row r="36" spans="1:10" x14ac:dyDescent="0.3">
      <c r="A36">
        <v>34</v>
      </c>
      <c r="B36">
        <v>654</v>
      </c>
      <c r="C36" t="b">
        <v>1</v>
      </c>
      <c r="D36">
        <v>8123</v>
      </c>
      <c r="E36">
        <v>8111</v>
      </c>
      <c r="F36">
        <v>263.60000000000002</v>
      </c>
      <c r="G36">
        <v>192.8</v>
      </c>
      <c r="H36">
        <v>1.3672199</v>
      </c>
      <c r="I36">
        <v>-0.36721991999999998</v>
      </c>
      <c r="J36">
        <v>0.42243645000000002</v>
      </c>
    </row>
    <row r="37" spans="1:10" x14ac:dyDescent="0.3">
      <c r="A37">
        <v>35</v>
      </c>
      <c r="B37">
        <v>669</v>
      </c>
      <c r="C37" t="b">
        <v>1</v>
      </c>
      <c r="D37">
        <v>8088</v>
      </c>
      <c r="E37">
        <v>8105</v>
      </c>
      <c r="F37">
        <v>263.60000000000002</v>
      </c>
      <c r="G37">
        <v>193.2</v>
      </c>
      <c r="H37">
        <v>1.3643893</v>
      </c>
      <c r="I37">
        <v>-0.36438930000000003</v>
      </c>
      <c r="J37">
        <v>0.42294221999999998</v>
      </c>
    </row>
    <row r="38" spans="1:10" x14ac:dyDescent="0.3">
      <c r="A38">
        <v>36</v>
      </c>
      <c r="B38">
        <v>685</v>
      </c>
      <c r="C38" t="b">
        <v>1</v>
      </c>
      <c r="D38">
        <v>8100</v>
      </c>
      <c r="E38">
        <v>8099</v>
      </c>
      <c r="F38">
        <v>264</v>
      </c>
      <c r="G38">
        <v>193.6</v>
      </c>
      <c r="H38">
        <v>1.3636364000000001</v>
      </c>
      <c r="I38">
        <v>-0.36363630000000002</v>
      </c>
      <c r="J38">
        <v>0.42307693000000002</v>
      </c>
    </row>
    <row r="39" spans="1:10" x14ac:dyDescent="0.3">
      <c r="A39">
        <v>37</v>
      </c>
      <c r="B39">
        <v>701</v>
      </c>
      <c r="C39" t="b">
        <v>1</v>
      </c>
      <c r="D39">
        <v>8123</v>
      </c>
      <c r="E39">
        <v>8117</v>
      </c>
      <c r="F39">
        <v>264.33334000000002</v>
      </c>
      <c r="G39">
        <v>194</v>
      </c>
      <c r="H39">
        <v>1.3625430000000001</v>
      </c>
      <c r="I39">
        <v>-0.36254301999999999</v>
      </c>
      <c r="J39">
        <v>0.42327272999999999</v>
      </c>
    </row>
    <row r="40" spans="1:10" x14ac:dyDescent="0.3">
      <c r="A40">
        <v>38</v>
      </c>
      <c r="B40">
        <v>717</v>
      </c>
      <c r="C40" t="b">
        <v>1</v>
      </c>
      <c r="D40">
        <v>8106</v>
      </c>
      <c r="E40">
        <v>8117</v>
      </c>
      <c r="F40">
        <v>264.33334000000002</v>
      </c>
      <c r="G40">
        <v>194</v>
      </c>
      <c r="H40">
        <v>1.3625430000000001</v>
      </c>
      <c r="I40">
        <v>-0.36254301999999999</v>
      </c>
      <c r="J40">
        <v>0.42327272999999999</v>
      </c>
    </row>
    <row r="41" spans="1:10" x14ac:dyDescent="0.3">
      <c r="A41">
        <v>39</v>
      </c>
      <c r="B41">
        <v>748</v>
      </c>
      <c r="C41" t="b">
        <v>1</v>
      </c>
      <c r="D41">
        <v>8094</v>
      </c>
      <c r="E41">
        <v>8105</v>
      </c>
      <c r="F41">
        <v>263.93331999999998</v>
      </c>
      <c r="G41">
        <v>193.2</v>
      </c>
      <c r="H41">
        <v>1.3661144999999999</v>
      </c>
      <c r="I41">
        <v>-0.36611450000000001</v>
      </c>
      <c r="J41">
        <v>0.42263382999999999</v>
      </c>
    </row>
    <row r="42" spans="1:10" x14ac:dyDescent="0.3">
      <c r="A42">
        <v>40</v>
      </c>
      <c r="B42">
        <v>764</v>
      </c>
      <c r="C42" t="b">
        <v>1</v>
      </c>
      <c r="D42">
        <v>8111</v>
      </c>
      <c r="E42">
        <v>8117</v>
      </c>
      <c r="F42">
        <v>263.93331999999998</v>
      </c>
      <c r="G42">
        <v>193.6</v>
      </c>
      <c r="H42">
        <v>1.3632918999999999</v>
      </c>
      <c r="I42">
        <v>-0.3632919</v>
      </c>
      <c r="J42">
        <v>0.42313859999999998</v>
      </c>
    </row>
    <row r="43" spans="1:10" x14ac:dyDescent="0.3">
      <c r="A43">
        <v>41</v>
      </c>
      <c r="B43">
        <v>780</v>
      </c>
      <c r="C43" t="b">
        <v>1</v>
      </c>
      <c r="D43">
        <v>8106</v>
      </c>
      <c r="E43">
        <v>8105</v>
      </c>
      <c r="F43">
        <v>263.93331999999998</v>
      </c>
      <c r="G43">
        <v>194</v>
      </c>
      <c r="H43">
        <v>1.3604810000000001</v>
      </c>
      <c r="I43">
        <v>-0.36048101999999999</v>
      </c>
      <c r="J43">
        <v>0.42364246</v>
      </c>
    </row>
    <row r="44" spans="1:10" x14ac:dyDescent="0.3">
      <c r="A44">
        <v>42</v>
      </c>
      <c r="B44">
        <v>796</v>
      </c>
      <c r="C44" t="b">
        <v>1</v>
      </c>
      <c r="D44">
        <v>8117</v>
      </c>
      <c r="E44">
        <v>8099</v>
      </c>
      <c r="F44">
        <v>264.33334000000002</v>
      </c>
      <c r="G44">
        <v>193.6</v>
      </c>
      <c r="H44">
        <v>1.3653580999999999</v>
      </c>
      <c r="I44">
        <v>-0.36535814</v>
      </c>
      <c r="J44">
        <v>0.42276894999999998</v>
      </c>
    </row>
    <row r="45" spans="1:10" x14ac:dyDescent="0.3">
      <c r="A45">
        <v>43</v>
      </c>
      <c r="B45">
        <v>812</v>
      </c>
      <c r="C45" t="b">
        <v>1</v>
      </c>
      <c r="D45">
        <v>8094</v>
      </c>
      <c r="E45">
        <v>8123</v>
      </c>
      <c r="F45">
        <v>264.73334</v>
      </c>
      <c r="G45">
        <v>194</v>
      </c>
      <c r="H45">
        <v>1.3646048</v>
      </c>
      <c r="I45">
        <v>-0.36460482999999999</v>
      </c>
      <c r="J45">
        <v>0.42290366000000001</v>
      </c>
    </row>
    <row r="46" spans="1:10" x14ac:dyDescent="0.3">
      <c r="A46">
        <v>44</v>
      </c>
      <c r="B46">
        <v>844</v>
      </c>
      <c r="C46" t="b">
        <v>1</v>
      </c>
      <c r="D46">
        <v>8100</v>
      </c>
      <c r="E46">
        <v>8099</v>
      </c>
      <c r="F46">
        <v>264.73334</v>
      </c>
      <c r="G46">
        <v>194.4</v>
      </c>
      <c r="H46">
        <v>1.3617971</v>
      </c>
      <c r="I46">
        <v>-0.36179703000000002</v>
      </c>
      <c r="J46">
        <v>0.42340640000000002</v>
      </c>
    </row>
    <row r="47" spans="1:10" x14ac:dyDescent="0.3">
      <c r="A47">
        <v>45</v>
      </c>
      <c r="B47">
        <v>860</v>
      </c>
      <c r="C47" t="b">
        <v>1</v>
      </c>
      <c r="D47">
        <v>8106</v>
      </c>
      <c r="E47">
        <v>8087</v>
      </c>
      <c r="F47">
        <v>265.13333</v>
      </c>
      <c r="G47">
        <v>193.6</v>
      </c>
      <c r="H47">
        <v>1.3694903</v>
      </c>
      <c r="I47">
        <v>-0.36949029999999999</v>
      </c>
      <c r="J47">
        <v>0.42203170000000001</v>
      </c>
    </row>
    <row r="48" spans="1:10" x14ac:dyDescent="0.3">
      <c r="A48">
        <v>46</v>
      </c>
      <c r="B48">
        <v>876</v>
      </c>
      <c r="C48" t="b">
        <v>1</v>
      </c>
      <c r="D48">
        <v>8106</v>
      </c>
      <c r="E48">
        <v>8099</v>
      </c>
      <c r="F48">
        <v>265.93331999999998</v>
      </c>
      <c r="G48">
        <v>192.8</v>
      </c>
      <c r="H48">
        <v>1.3793222000000001</v>
      </c>
      <c r="I48">
        <v>-0.37932217000000001</v>
      </c>
      <c r="J48">
        <v>0.42028776000000001</v>
      </c>
    </row>
    <row r="49" spans="1:10" x14ac:dyDescent="0.3">
      <c r="A49">
        <v>47</v>
      </c>
      <c r="B49">
        <v>891</v>
      </c>
      <c r="C49" t="b">
        <v>1</v>
      </c>
      <c r="D49">
        <v>8094</v>
      </c>
      <c r="E49">
        <v>8117</v>
      </c>
      <c r="F49">
        <v>265.53332999999998</v>
      </c>
      <c r="G49">
        <v>192</v>
      </c>
      <c r="H49">
        <v>1.3829861000000001</v>
      </c>
      <c r="I49">
        <v>-0.38298607000000001</v>
      </c>
      <c r="J49">
        <v>0.41964154999999997</v>
      </c>
    </row>
    <row r="50" spans="1:10" x14ac:dyDescent="0.3">
      <c r="A50">
        <v>48</v>
      </c>
      <c r="B50">
        <v>907</v>
      </c>
      <c r="C50" t="b">
        <v>1</v>
      </c>
      <c r="D50">
        <v>8100</v>
      </c>
      <c r="E50">
        <v>8099</v>
      </c>
      <c r="F50">
        <v>265.13333</v>
      </c>
      <c r="G50">
        <v>191.2</v>
      </c>
      <c r="H50">
        <v>1.3866806</v>
      </c>
      <c r="I50">
        <v>-0.38668063000000003</v>
      </c>
      <c r="J50">
        <v>0.41899197999999999</v>
      </c>
    </row>
    <row r="51" spans="1:10" x14ac:dyDescent="0.3">
      <c r="A51">
        <v>49</v>
      </c>
      <c r="B51">
        <v>923</v>
      </c>
      <c r="C51" t="b">
        <v>1</v>
      </c>
      <c r="D51">
        <v>8083</v>
      </c>
      <c r="E51">
        <v>8117</v>
      </c>
      <c r="F51">
        <v>264.73334</v>
      </c>
      <c r="G51">
        <v>190.4</v>
      </c>
      <c r="H51">
        <v>1.3904063</v>
      </c>
      <c r="I51">
        <v>-0.39040622000000003</v>
      </c>
      <c r="J51">
        <v>0.41833892</v>
      </c>
    </row>
    <row r="52" spans="1:10" x14ac:dyDescent="0.3">
      <c r="A52">
        <v>50</v>
      </c>
      <c r="B52">
        <v>955</v>
      </c>
      <c r="C52" t="b">
        <v>1</v>
      </c>
      <c r="D52">
        <v>8083</v>
      </c>
      <c r="E52">
        <v>8105</v>
      </c>
      <c r="F52">
        <v>263.93331999999998</v>
      </c>
      <c r="G52">
        <v>190</v>
      </c>
      <c r="H52">
        <v>1.3891226999999999</v>
      </c>
      <c r="I52">
        <v>-0.38912271999999998</v>
      </c>
      <c r="J52">
        <v>0.41856369999999998</v>
      </c>
    </row>
    <row r="53" spans="1:10" x14ac:dyDescent="0.3">
      <c r="A53">
        <v>51</v>
      </c>
      <c r="B53">
        <v>971</v>
      </c>
      <c r="C53" t="b">
        <v>1</v>
      </c>
      <c r="D53">
        <v>8083</v>
      </c>
      <c r="E53">
        <v>8117</v>
      </c>
      <c r="F53">
        <v>262.39999999999998</v>
      </c>
      <c r="G53">
        <v>190.8</v>
      </c>
      <c r="H53">
        <v>1.375262</v>
      </c>
      <c r="I53">
        <v>-0.37526199999999998</v>
      </c>
      <c r="J53">
        <v>0.42100617000000001</v>
      </c>
    </row>
    <row r="54" spans="1:10" x14ac:dyDescent="0.3">
      <c r="A54">
        <v>52</v>
      </c>
      <c r="B54">
        <v>987</v>
      </c>
      <c r="C54" t="b">
        <v>1</v>
      </c>
      <c r="D54">
        <v>8088</v>
      </c>
      <c r="E54">
        <v>8105</v>
      </c>
      <c r="F54">
        <v>260.53332999999998</v>
      </c>
      <c r="G54">
        <v>190.8</v>
      </c>
      <c r="H54">
        <v>1.3654786000000001</v>
      </c>
      <c r="I54">
        <v>-0.36547863000000003</v>
      </c>
      <c r="J54">
        <v>0.42274742999999998</v>
      </c>
    </row>
    <row r="55" spans="1:10" x14ac:dyDescent="0.3">
      <c r="A55">
        <v>53</v>
      </c>
      <c r="B55">
        <v>1003</v>
      </c>
      <c r="C55" t="b">
        <v>1</v>
      </c>
      <c r="D55">
        <v>8100</v>
      </c>
      <c r="E55">
        <v>8117</v>
      </c>
      <c r="F55">
        <v>259</v>
      </c>
      <c r="G55">
        <v>191.2</v>
      </c>
      <c r="H55">
        <v>1.3546026</v>
      </c>
      <c r="I55">
        <v>-0.35460255000000002</v>
      </c>
      <c r="J55">
        <v>0.42470010000000002</v>
      </c>
    </row>
    <row r="56" spans="1:10" x14ac:dyDescent="0.3">
      <c r="A56">
        <v>54</v>
      </c>
      <c r="B56">
        <v>1019</v>
      </c>
      <c r="C56" t="b">
        <v>1</v>
      </c>
      <c r="D56">
        <v>8106</v>
      </c>
      <c r="E56">
        <v>8117</v>
      </c>
      <c r="F56">
        <v>258.2</v>
      </c>
      <c r="G56">
        <v>192</v>
      </c>
      <c r="H56">
        <v>1.3447918000000001</v>
      </c>
      <c r="I56">
        <v>-0.34479174000000001</v>
      </c>
      <c r="J56">
        <v>0.4264771</v>
      </c>
    </row>
    <row r="57" spans="1:10" x14ac:dyDescent="0.3">
      <c r="A57">
        <v>55</v>
      </c>
      <c r="B57">
        <v>1051</v>
      </c>
      <c r="C57" t="b">
        <v>1</v>
      </c>
      <c r="D57">
        <v>8106</v>
      </c>
      <c r="E57">
        <v>8117</v>
      </c>
      <c r="F57">
        <v>257.8</v>
      </c>
      <c r="G57">
        <v>192</v>
      </c>
      <c r="H57">
        <v>1.3427081999999999</v>
      </c>
      <c r="I57">
        <v>-0.34270825999999999</v>
      </c>
      <c r="J57">
        <v>0.42685640000000002</v>
      </c>
    </row>
    <row r="58" spans="1:10" x14ac:dyDescent="0.3">
      <c r="A58">
        <v>56</v>
      </c>
      <c r="B58">
        <v>1067</v>
      </c>
      <c r="C58" t="b">
        <v>1</v>
      </c>
      <c r="D58">
        <v>8094</v>
      </c>
      <c r="E58">
        <v>8099</v>
      </c>
      <c r="F58">
        <v>257.39999999999998</v>
      </c>
      <c r="G58">
        <v>192</v>
      </c>
      <c r="H58">
        <v>1.3406248999999999</v>
      </c>
      <c r="I58">
        <v>-0.34062495999999998</v>
      </c>
      <c r="J58">
        <v>0.42723632</v>
      </c>
    </row>
    <row r="59" spans="1:10" x14ac:dyDescent="0.3">
      <c r="A59">
        <v>57</v>
      </c>
      <c r="B59">
        <v>1083</v>
      </c>
      <c r="C59" t="b">
        <v>1</v>
      </c>
      <c r="D59">
        <v>8088</v>
      </c>
      <c r="E59">
        <v>8069</v>
      </c>
      <c r="F59">
        <v>257</v>
      </c>
      <c r="G59">
        <v>192.8</v>
      </c>
      <c r="H59">
        <v>1.3329875</v>
      </c>
      <c r="I59">
        <v>-0.33298751999999998</v>
      </c>
      <c r="J59">
        <v>0.42863497</v>
      </c>
    </row>
    <row r="60" spans="1:10" x14ac:dyDescent="0.3">
      <c r="A60">
        <v>58</v>
      </c>
      <c r="B60">
        <v>1115</v>
      </c>
      <c r="C60" t="b">
        <v>1</v>
      </c>
      <c r="D60">
        <v>8117</v>
      </c>
      <c r="E60">
        <v>8123</v>
      </c>
      <c r="F60">
        <v>257</v>
      </c>
      <c r="G60">
        <v>193.6</v>
      </c>
      <c r="H60">
        <v>1.3274792</v>
      </c>
      <c r="I60">
        <v>-0.32747929999999997</v>
      </c>
      <c r="J60">
        <v>0.42964934999999999</v>
      </c>
    </row>
    <row r="61" spans="1:10" x14ac:dyDescent="0.3">
      <c r="A61">
        <v>59</v>
      </c>
      <c r="B61">
        <v>1146</v>
      </c>
      <c r="C61" t="b">
        <v>1</v>
      </c>
      <c r="D61">
        <v>8100</v>
      </c>
      <c r="E61">
        <v>8099</v>
      </c>
      <c r="F61">
        <v>256.60000000000002</v>
      </c>
      <c r="G61">
        <v>193.2</v>
      </c>
      <c r="H61">
        <v>1.3281574</v>
      </c>
      <c r="I61">
        <v>-0.32815739999999999</v>
      </c>
      <c r="J61">
        <v>0.42952424</v>
      </c>
    </row>
    <row r="62" spans="1:10" x14ac:dyDescent="0.3">
      <c r="A62">
        <v>60</v>
      </c>
      <c r="B62">
        <v>1178</v>
      </c>
      <c r="C62" t="b">
        <v>1</v>
      </c>
      <c r="D62">
        <v>8106</v>
      </c>
      <c r="E62">
        <v>8111</v>
      </c>
      <c r="F62">
        <v>256.2</v>
      </c>
      <c r="G62">
        <v>193.2</v>
      </c>
      <c r="H62">
        <v>1.326087</v>
      </c>
      <c r="I62">
        <v>-0.32608703</v>
      </c>
      <c r="J62">
        <v>0.42990652000000001</v>
      </c>
    </row>
    <row r="63" spans="1:10" x14ac:dyDescent="0.3">
      <c r="A63">
        <v>61</v>
      </c>
      <c r="B63">
        <v>1193</v>
      </c>
      <c r="C63" t="b">
        <v>1</v>
      </c>
      <c r="D63">
        <v>8111</v>
      </c>
      <c r="E63">
        <v>8087</v>
      </c>
      <c r="F63">
        <v>256.2</v>
      </c>
      <c r="G63">
        <v>193.2</v>
      </c>
      <c r="H63">
        <v>1.326087</v>
      </c>
      <c r="I63">
        <v>-0.32608703</v>
      </c>
      <c r="J63">
        <v>0.42990652000000001</v>
      </c>
    </row>
    <row r="64" spans="1:10" x14ac:dyDescent="0.3">
      <c r="A64">
        <v>62</v>
      </c>
      <c r="B64">
        <v>1225</v>
      </c>
      <c r="C64" t="b">
        <v>1</v>
      </c>
      <c r="D64">
        <v>8100</v>
      </c>
      <c r="E64">
        <v>8111</v>
      </c>
      <c r="F64">
        <v>256.60000000000002</v>
      </c>
      <c r="G64">
        <v>194</v>
      </c>
      <c r="H64">
        <v>1.3226804999999999</v>
      </c>
      <c r="I64">
        <v>-0.32268044000000001</v>
      </c>
      <c r="J64">
        <v>0.43053704999999998</v>
      </c>
    </row>
    <row r="65" spans="1:10" x14ac:dyDescent="0.3">
      <c r="A65">
        <v>63</v>
      </c>
      <c r="B65">
        <v>1241</v>
      </c>
      <c r="C65" t="b">
        <v>1</v>
      </c>
      <c r="D65">
        <v>8083</v>
      </c>
      <c r="E65">
        <v>8105</v>
      </c>
      <c r="F65">
        <v>256.60000000000002</v>
      </c>
      <c r="G65">
        <v>194.4</v>
      </c>
      <c r="H65">
        <v>1.3199589</v>
      </c>
      <c r="I65">
        <v>-0.31995892999999997</v>
      </c>
      <c r="J65">
        <v>0.43104209999999998</v>
      </c>
    </row>
    <row r="66" spans="1:10" x14ac:dyDescent="0.3">
      <c r="A66">
        <v>64</v>
      </c>
      <c r="B66">
        <v>1257</v>
      </c>
      <c r="C66" t="b">
        <v>1</v>
      </c>
      <c r="D66">
        <v>8106</v>
      </c>
      <c r="E66">
        <v>8105</v>
      </c>
      <c r="F66">
        <v>257</v>
      </c>
      <c r="G66">
        <v>194.8</v>
      </c>
      <c r="H66">
        <v>1.3193018000000001</v>
      </c>
      <c r="I66">
        <v>-0.31930180000000002</v>
      </c>
      <c r="J66">
        <v>0.43116426000000002</v>
      </c>
    </row>
    <row r="67" spans="1:10" x14ac:dyDescent="0.3">
      <c r="A67">
        <v>65</v>
      </c>
      <c r="B67">
        <v>1273</v>
      </c>
      <c r="C67" t="b">
        <v>1</v>
      </c>
      <c r="D67">
        <v>8100</v>
      </c>
      <c r="E67">
        <v>8105</v>
      </c>
      <c r="F67">
        <v>257.39999999999998</v>
      </c>
      <c r="G67">
        <v>194.8</v>
      </c>
      <c r="H67">
        <v>1.3213552</v>
      </c>
      <c r="I67">
        <v>-0.32135520000000001</v>
      </c>
      <c r="J67">
        <v>0.43078282000000001</v>
      </c>
    </row>
    <row r="68" spans="1:10" x14ac:dyDescent="0.3">
      <c r="A68">
        <v>66</v>
      </c>
      <c r="B68">
        <v>1288</v>
      </c>
      <c r="C68" t="b">
        <v>1</v>
      </c>
      <c r="D68">
        <v>8106</v>
      </c>
      <c r="E68">
        <v>8105</v>
      </c>
      <c r="F68">
        <v>258.53332999999998</v>
      </c>
      <c r="G68">
        <v>194</v>
      </c>
      <c r="H68">
        <v>1.332646</v>
      </c>
      <c r="I68">
        <v>-0.332646</v>
      </c>
      <c r="J68">
        <v>0.42869770000000001</v>
      </c>
    </row>
    <row r="69" spans="1:10" x14ac:dyDescent="0.3">
      <c r="A69">
        <v>67</v>
      </c>
      <c r="B69">
        <v>1304</v>
      </c>
      <c r="C69" t="b">
        <v>1</v>
      </c>
      <c r="D69">
        <v>8106</v>
      </c>
      <c r="E69">
        <v>8105</v>
      </c>
      <c r="F69">
        <v>260.06668000000002</v>
      </c>
      <c r="G69">
        <v>194</v>
      </c>
      <c r="H69">
        <v>1.3405499999999999</v>
      </c>
      <c r="I69">
        <v>-0.34054992000000001</v>
      </c>
      <c r="J69">
        <v>0.42725003</v>
      </c>
    </row>
    <row r="70" spans="1:10" x14ac:dyDescent="0.3">
      <c r="A70">
        <v>68</v>
      </c>
      <c r="B70">
        <v>1320</v>
      </c>
      <c r="C70" t="b">
        <v>1</v>
      </c>
      <c r="D70">
        <v>8083</v>
      </c>
      <c r="E70">
        <v>8099</v>
      </c>
      <c r="F70">
        <v>261.60000000000002</v>
      </c>
      <c r="G70">
        <v>193.2</v>
      </c>
      <c r="H70">
        <v>1.3540373000000001</v>
      </c>
      <c r="I70">
        <v>-0.3540373</v>
      </c>
      <c r="J70">
        <v>0.42480212000000001</v>
      </c>
    </row>
    <row r="71" spans="1:10" x14ac:dyDescent="0.3">
      <c r="A71">
        <v>69</v>
      </c>
      <c r="B71">
        <v>1336</v>
      </c>
      <c r="C71" t="b">
        <v>1</v>
      </c>
      <c r="D71">
        <v>8111</v>
      </c>
      <c r="E71">
        <v>8099</v>
      </c>
      <c r="F71">
        <v>262.8</v>
      </c>
      <c r="G71">
        <v>192.4</v>
      </c>
      <c r="H71">
        <v>1.3659043</v>
      </c>
      <c r="I71">
        <v>-0.36590433</v>
      </c>
      <c r="J71">
        <v>0.42267135</v>
      </c>
    </row>
    <row r="72" spans="1:10" x14ac:dyDescent="0.3">
      <c r="A72">
        <v>70</v>
      </c>
      <c r="B72">
        <v>1368</v>
      </c>
      <c r="C72" t="b">
        <v>1</v>
      </c>
      <c r="D72">
        <v>8094</v>
      </c>
      <c r="E72">
        <v>8105</v>
      </c>
      <c r="F72">
        <v>263.2</v>
      </c>
      <c r="G72">
        <v>191.6</v>
      </c>
      <c r="H72">
        <v>1.3736953000000001</v>
      </c>
      <c r="I72">
        <v>-0.37369521999999999</v>
      </c>
      <c r="J72">
        <v>0.42128408000000001</v>
      </c>
    </row>
    <row r="73" spans="1:10" x14ac:dyDescent="0.3">
      <c r="A73">
        <v>71</v>
      </c>
      <c r="B73">
        <v>1384</v>
      </c>
      <c r="C73" t="b">
        <v>1</v>
      </c>
      <c r="D73">
        <v>8100</v>
      </c>
      <c r="E73">
        <v>8111</v>
      </c>
      <c r="F73">
        <v>263.2</v>
      </c>
      <c r="G73">
        <v>190.8</v>
      </c>
      <c r="H73">
        <v>1.3794550000000001</v>
      </c>
      <c r="I73">
        <v>-0.37945497</v>
      </c>
      <c r="J73">
        <v>0.42026433000000002</v>
      </c>
    </row>
    <row r="74" spans="1:10" x14ac:dyDescent="0.3">
      <c r="A74">
        <v>72</v>
      </c>
      <c r="B74">
        <v>1415</v>
      </c>
      <c r="C74" t="b">
        <v>1</v>
      </c>
      <c r="D74">
        <v>8117</v>
      </c>
      <c r="E74">
        <v>8099</v>
      </c>
      <c r="F74">
        <v>263.2</v>
      </c>
      <c r="G74">
        <v>189.6</v>
      </c>
      <c r="H74">
        <v>1.3881855999999999</v>
      </c>
      <c r="I74">
        <v>-0.38818567999999998</v>
      </c>
      <c r="J74">
        <v>0.41872789999999999</v>
      </c>
    </row>
    <row r="75" spans="1:10" x14ac:dyDescent="0.3">
      <c r="A75">
        <v>73</v>
      </c>
      <c r="B75">
        <v>1447</v>
      </c>
      <c r="C75" t="b">
        <v>1</v>
      </c>
      <c r="D75">
        <v>8106</v>
      </c>
      <c r="E75">
        <v>8111</v>
      </c>
      <c r="F75">
        <v>263.2</v>
      </c>
      <c r="G75">
        <v>188.8</v>
      </c>
      <c r="H75">
        <v>1.3940679</v>
      </c>
      <c r="I75">
        <v>-0.39406782000000001</v>
      </c>
      <c r="J75">
        <v>0.41769912999999997</v>
      </c>
    </row>
    <row r="76" spans="1:10" x14ac:dyDescent="0.3">
      <c r="A76">
        <v>74</v>
      </c>
      <c r="B76">
        <v>1463</v>
      </c>
      <c r="C76" t="b">
        <v>1</v>
      </c>
      <c r="D76">
        <v>8135</v>
      </c>
      <c r="E76">
        <v>8093</v>
      </c>
      <c r="F76">
        <v>263.60000000000002</v>
      </c>
      <c r="G76">
        <v>189.2</v>
      </c>
      <c r="H76">
        <v>1.3932347</v>
      </c>
      <c r="I76">
        <v>-0.39323472999999998</v>
      </c>
      <c r="J76">
        <v>0.41784452999999999</v>
      </c>
    </row>
    <row r="77" spans="1:10" x14ac:dyDescent="0.3">
      <c r="A77">
        <v>75</v>
      </c>
      <c r="B77">
        <v>1479</v>
      </c>
      <c r="C77" t="b">
        <v>1</v>
      </c>
      <c r="D77">
        <v>8129</v>
      </c>
      <c r="E77">
        <v>8140</v>
      </c>
      <c r="F77">
        <v>264.73334</v>
      </c>
      <c r="G77">
        <v>190</v>
      </c>
      <c r="H77">
        <v>1.3933333000000001</v>
      </c>
      <c r="I77">
        <v>-0.39333335000000003</v>
      </c>
      <c r="J77">
        <v>0.41782730000000001</v>
      </c>
    </row>
    <row r="78" spans="1:10" x14ac:dyDescent="0.3">
      <c r="A78">
        <v>76</v>
      </c>
      <c r="B78">
        <v>1495</v>
      </c>
      <c r="C78" t="b">
        <v>1</v>
      </c>
      <c r="D78">
        <v>8100</v>
      </c>
      <c r="E78">
        <v>8129</v>
      </c>
      <c r="F78">
        <v>265.46667000000002</v>
      </c>
      <c r="G78">
        <v>190.8</v>
      </c>
      <c r="H78">
        <v>1.3913348000000001</v>
      </c>
      <c r="I78">
        <v>-0.39133474000000001</v>
      </c>
      <c r="J78">
        <v>0.41817650000000001</v>
      </c>
    </row>
    <row r="79" spans="1:10" x14ac:dyDescent="0.3">
      <c r="A79">
        <v>77</v>
      </c>
      <c r="B79">
        <v>1511</v>
      </c>
      <c r="C79" t="b">
        <v>1</v>
      </c>
      <c r="D79">
        <v>8094</v>
      </c>
      <c r="E79">
        <v>8117</v>
      </c>
      <c r="F79">
        <v>265.46667000000002</v>
      </c>
      <c r="G79">
        <v>191.2</v>
      </c>
      <c r="H79">
        <v>1.3884240000000001</v>
      </c>
      <c r="I79">
        <v>-0.38842404000000003</v>
      </c>
      <c r="J79">
        <v>0.41868610000000001</v>
      </c>
    </row>
    <row r="80" spans="1:10" x14ac:dyDescent="0.3">
      <c r="A80">
        <v>78</v>
      </c>
      <c r="B80">
        <v>1527</v>
      </c>
      <c r="C80" t="b">
        <v>1</v>
      </c>
      <c r="D80">
        <v>8106</v>
      </c>
      <c r="E80">
        <v>8105</v>
      </c>
      <c r="F80">
        <v>265.86667</v>
      </c>
      <c r="G80">
        <v>192</v>
      </c>
      <c r="H80">
        <v>1.3847221999999999</v>
      </c>
      <c r="I80">
        <v>-0.38472223</v>
      </c>
      <c r="J80">
        <v>0.41933605000000002</v>
      </c>
    </row>
    <row r="81" spans="1:10" x14ac:dyDescent="0.3">
      <c r="A81">
        <v>79</v>
      </c>
      <c r="B81">
        <v>1543</v>
      </c>
      <c r="C81" t="b">
        <v>1</v>
      </c>
      <c r="D81">
        <v>8106</v>
      </c>
      <c r="E81">
        <v>8099</v>
      </c>
      <c r="F81">
        <v>265.86667</v>
      </c>
      <c r="G81">
        <v>192.8</v>
      </c>
      <c r="H81">
        <v>1.3789765</v>
      </c>
      <c r="I81">
        <v>-0.37897646000000001</v>
      </c>
      <c r="J81">
        <v>0.42034882000000001</v>
      </c>
    </row>
    <row r="82" spans="1:10" x14ac:dyDescent="0.3">
      <c r="A82">
        <v>80</v>
      </c>
      <c r="B82">
        <v>1559</v>
      </c>
      <c r="C82" t="b">
        <v>1</v>
      </c>
      <c r="D82">
        <v>8117</v>
      </c>
      <c r="E82">
        <v>8117</v>
      </c>
      <c r="F82">
        <v>266.26666</v>
      </c>
      <c r="G82">
        <v>193.6</v>
      </c>
      <c r="H82">
        <v>1.3753443000000001</v>
      </c>
      <c r="I82">
        <v>-0.37534427999999997</v>
      </c>
      <c r="J82">
        <v>0.42099160000000002</v>
      </c>
    </row>
    <row r="83" spans="1:10" x14ac:dyDescent="0.3">
      <c r="A83">
        <v>81</v>
      </c>
      <c r="B83">
        <v>1575</v>
      </c>
      <c r="C83" t="b">
        <v>1</v>
      </c>
      <c r="D83">
        <v>8106</v>
      </c>
      <c r="E83">
        <v>8105</v>
      </c>
      <c r="F83">
        <v>266.66665999999998</v>
      </c>
      <c r="G83">
        <v>193.6</v>
      </c>
      <c r="H83">
        <v>1.3774104</v>
      </c>
      <c r="I83">
        <v>-0.37741037999999999</v>
      </c>
      <c r="J83">
        <v>0.42062575000000002</v>
      </c>
    </row>
    <row r="84" spans="1:10" x14ac:dyDescent="0.3">
      <c r="A84">
        <v>82</v>
      </c>
      <c r="B84">
        <v>1591</v>
      </c>
      <c r="C84" t="b">
        <v>1</v>
      </c>
      <c r="D84">
        <v>8111</v>
      </c>
      <c r="E84">
        <v>8105</v>
      </c>
      <c r="F84">
        <v>266.66665999999998</v>
      </c>
      <c r="G84">
        <v>193.6</v>
      </c>
      <c r="H84">
        <v>1.3774104</v>
      </c>
      <c r="I84">
        <v>-0.37741037999999999</v>
      </c>
      <c r="J84">
        <v>0.42062575000000002</v>
      </c>
    </row>
    <row r="85" spans="1:10" x14ac:dyDescent="0.3">
      <c r="A85">
        <v>83</v>
      </c>
      <c r="B85">
        <v>1607</v>
      </c>
      <c r="C85" t="b">
        <v>1</v>
      </c>
      <c r="D85">
        <v>8106</v>
      </c>
      <c r="E85">
        <v>8099</v>
      </c>
      <c r="F85">
        <v>266.66665999999998</v>
      </c>
      <c r="G85">
        <v>193.6</v>
      </c>
      <c r="H85">
        <v>1.3774104</v>
      </c>
      <c r="I85">
        <v>-0.37741037999999999</v>
      </c>
      <c r="J85">
        <v>0.42062575000000002</v>
      </c>
    </row>
    <row r="86" spans="1:10" x14ac:dyDescent="0.3">
      <c r="A86">
        <v>84</v>
      </c>
      <c r="B86">
        <v>1623</v>
      </c>
      <c r="C86" t="b">
        <v>1</v>
      </c>
      <c r="D86">
        <v>8106</v>
      </c>
      <c r="E86">
        <v>8087</v>
      </c>
      <c r="F86">
        <v>266.66665999999998</v>
      </c>
      <c r="G86">
        <v>193.6</v>
      </c>
      <c r="H86">
        <v>1.3774104</v>
      </c>
      <c r="I86">
        <v>-0.37741037999999999</v>
      </c>
      <c r="J86">
        <v>0.42062575000000002</v>
      </c>
    </row>
    <row r="87" spans="1:10" x14ac:dyDescent="0.3">
      <c r="A87">
        <v>85</v>
      </c>
      <c r="B87">
        <v>1639</v>
      </c>
      <c r="C87" t="b">
        <v>1</v>
      </c>
      <c r="D87">
        <v>8111</v>
      </c>
      <c r="E87">
        <v>8117</v>
      </c>
      <c r="F87">
        <v>266.66665999999998</v>
      </c>
      <c r="G87">
        <v>193.6</v>
      </c>
      <c r="H87">
        <v>1.3774104</v>
      </c>
      <c r="I87">
        <v>-0.37741037999999999</v>
      </c>
      <c r="J87">
        <v>0.42062575000000002</v>
      </c>
    </row>
    <row r="88" spans="1:10" x14ac:dyDescent="0.3">
      <c r="A88">
        <v>86</v>
      </c>
      <c r="B88">
        <v>1654</v>
      </c>
      <c r="C88" t="b">
        <v>1</v>
      </c>
      <c r="D88">
        <v>8065</v>
      </c>
      <c r="E88">
        <v>8105</v>
      </c>
      <c r="F88">
        <v>267.06668000000002</v>
      </c>
      <c r="G88">
        <v>193.6</v>
      </c>
      <c r="H88">
        <v>1.3794766999999999</v>
      </c>
      <c r="I88">
        <v>-0.3794766</v>
      </c>
      <c r="J88">
        <v>0.42026049999999998</v>
      </c>
    </row>
    <row r="89" spans="1:10" x14ac:dyDescent="0.3">
      <c r="A89">
        <v>87</v>
      </c>
      <c r="B89">
        <v>1670</v>
      </c>
      <c r="C89" t="b">
        <v>1</v>
      </c>
      <c r="D89">
        <v>8106</v>
      </c>
      <c r="E89">
        <v>8117</v>
      </c>
      <c r="F89">
        <v>267.46667000000002</v>
      </c>
      <c r="G89">
        <v>194</v>
      </c>
      <c r="H89">
        <v>1.3786942</v>
      </c>
      <c r="I89">
        <v>-0.37869419999999998</v>
      </c>
      <c r="J89">
        <v>0.42039870000000001</v>
      </c>
    </row>
    <row r="90" spans="1:10" x14ac:dyDescent="0.3">
      <c r="A90">
        <v>88</v>
      </c>
      <c r="B90">
        <v>1686</v>
      </c>
      <c r="C90" t="b">
        <v>1</v>
      </c>
      <c r="D90">
        <v>8100</v>
      </c>
      <c r="E90">
        <v>8087</v>
      </c>
      <c r="F90">
        <v>267.46667000000002</v>
      </c>
      <c r="G90">
        <v>194</v>
      </c>
      <c r="H90">
        <v>1.3786942</v>
      </c>
      <c r="I90">
        <v>-0.37869419999999998</v>
      </c>
      <c r="J90">
        <v>0.42039870000000001</v>
      </c>
    </row>
    <row r="91" spans="1:10" x14ac:dyDescent="0.3">
      <c r="A91">
        <v>89</v>
      </c>
      <c r="B91">
        <v>1702</v>
      </c>
      <c r="C91" t="b">
        <v>1</v>
      </c>
      <c r="D91">
        <v>8117</v>
      </c>
      <c r="E91">
        <v>8117</v>
      </c>
      <c r="F91">
        <v>267.46667000000002</v>
      </c>
      <c r="G91">
        <v>194.8</v>
      </c>
      <c r="H91">
        <v>1.3730321999999999</v>
      </c>
      <c r="I91">
        <v>-0.37303217999999999</v>
      </c>
      <c r="J91">
        <v>0.42140179999999999</v>
      </c>
    </row>
    <row r="92" spans="1:10" x14ac:dyDescent="0.3">
      <c r="A92">
        <v>90</v>
      </c>
      <c r="B92">
        <v>1718</v>
      </c>
      <c r="C92" t="b">
        <v>1</v>
      </c>
      <c r="D92">
        <v>8100</v>
      </c>
      <c r="E92">
        <v>8099</v>
      </c>
      <c r="F92">
        <v>266.33334000000002</v>
      </c>
      <c r="G92">
        <v>194.4</v>
      </c>
      <c r="H92">
        <v>1.3700275</v>
      </c>
      <c r="I92">
        <v>-0.37002753999999999</v>
      </c>
      <c r="J92">
        <v>0.42193604000000001</v>
      </c>
    </row>
    <row r="93" spans="1:10" x14ac:dyDescent="0.3">
      <c r="A93">
        <v>91</v>
      </c>
      <c r="B93">
        <v>1734</v>
      </c>
      <c r="C93" t="b">
        <v>1</v>
      </c>
      <c r="D93">
        <v>8083</v>
      </c>
      <c r="E93">
        <v>8123</v>
      </c>
      <c r="F93">
        <v>265.2</v>
      </c>
      <c r="G93">
        <v>194.8</v>
      </c>
      <c r="H93">
        <v>1.3613963</v>
      </c>
      <c r="I93">
        <v>-0.36139633999999998</v>
      </c>
      <c r="J93">
        <v>0.42347827999999998</v>
      </c>
    </row>
    <row r="94" spans="1:10" x14ac:dyDescent="0.3">
      <c r="A94">
        <v>92</v>
      </c>
      <c r="B94">
        <v>1766</v>
      </c>
      <c r="C94" t="b">
        <v>1</v>
      </c>
      <c r="D94">
        <v>8083</v>
      </c>
      <c r="E94">
        <v>8117</v>
      </c>
      <c r="F94">
        <v>264.8</v>
      </c>
      <c r="G94">
        <v>194.8</v>
      </c>
      <c r="H94">
        <v>1.3593428000000001</v>
      </c>
      <c r="I94">
        <v>-0.35934284</v>
      </c>
      <c r="J94">
        <v>0.42384684</v>
      </c>
    </row>
    <row r="95" spans="1:10" x14ac:dyDescent="0.3">
      <c r="A95">
        <v>93</v>
      </c>
      <c r="B95">
        <v>1782</v>
      </c>
      <c r="C95" t="b">
        <v>1</v>
      </c>
      <c r="D95">
        <v>8100</v>
      </c>
      <c r="E95">
        <v>8093</v>
      </c>
      <c r="F95">
        <v>264.39999999999998</v>
      </c>
      <c r="G95">
        <v>194.8</v>
      </c>
      <c r="H95">
        <v>1.3572894</v>
      </c>
      <c r="I95">
        <v>-0.35728946</v>
      </c>
      <c r="J95">
        <v>0.42421603000000002</v>
      </c>
    </row>
    <row r="96" spans="1:10" x14ac:dyDescent="0.3">
      <c r="A96">
        <v>94</v>
      </c>
      <c r="B96">
        <v>1798</v>
      </c>
      <c r="C96" t="b">
        <v>1</v>
      </c>
      <c r="D96">
        <v>8083</v>
      </c>
      <c r="E96">
        <v>8093</v>
      </c>
      <c r="F96">
        <v>262.86667</v>
      </c>
      <c r="G96">
        <v>193.6</v>
      </c>
      <c r="H96">
        <v>1.3577824000000001</v>
      </c>
      <c r="I96">
        <v>-0.35778232999999998</v>
      </c>
      <c r="J96">
        <v>0.42412737</v>
      </c>
    </row>
    <row r="97" spans="1:10" x14ac:dyDescent="0.3">
      <c r="A97">
        <v>95</v>
      </c>
      <c r="B97">
        <v>1829</v>
      </c>
      <c r="C97" t="b">
        <v>1</v>
      </c>
      <c r="D97">
        <v>8106</v>
      </c>
      <c r="E97">
        <v>8099</v>
      </c>
      <c r="F97">
        <v>261.33334000000002</v>
      </c>
      <c r="G97">
        <v>192.4</v>
      </c>
      <c r="H97">
        <v>1.3582814999999999</v>
      </c>
      <c r="I97">
        <v>-0.35828146</v>
      </c>
      <c r="J97">
        <v>0.42403760000000001</v>
      </c>
    </row>
    <row r="98" spans="1:10" x14ac:dyDescent="0.3">
      <c r="A98">
        <v>96</v>
      </c>
      <c r="B98">
        <v>1861</v>
      </c>
      <c r="C98" t="b">
        <v>1</v>
      </c>
      <c r="D98">
        <v>8106</v>
      </c>
      <c r="E98">
        <v>8111</v>
      </c>
      <c r="F98">
        <v>260.93331999999998</v>
      </c>
      <c r="G98">
        <v>192</v>
      </c>
      <c r="H98">
        <v>1.3590276999999999</v>
      </c>
      <c r="I98">
        <v>-0.35902770000000001</v>
      </c>
      <c r="J98">
        <v>0.42390347</v>
      </c>
    </row>
    <row r="99" spans="1:10" x14ac:dyDescent="0.3">
      <c r="A99">
        <v>97</v>
      </c>
      <c r="B99">
        <v>1877</v>
      </c>
      <c r="C99" t="b">
        <v>1</v>
      </c>
      <c r="D99">
        <v>8100</v>
      </c>
      <c r="E99">
        <v>8111</v>
      </c>
      <c r="F99">
        <v>260.53332999999998</v>
      </c>
      <c r="G99">
        <v>191.6</v>
      </c>
      <c r="H99">
        <v>1.3597771999999999</v>
      </c>
      <c r="I99">
        <v>-0.35977724</v>
      </c>
      <c r="J99">
        <v>0.42376881999999999</v>
      </c>
    </row>
    <row r="100" spans="1:10" x14ac:dyDescent="0.3">
      <c r="A100">
        <v>98</v>
      </c>
      <c r="B100">
        <v>1893</v>
      </c>
      <c r="C100" t="b">
        <v>1</v>
      </c>
      <c r="D100">
        <v>8077</v>
      </c>
      <c r="E100">
        <v>8093</v>
      </c>
      <c r="F100">
        <v>260.13333</v>
      </c>
      <c r="G100">
        <v>191.2</v>
      </c>
      <c r="H100">
        <v>1.36053</v>
      </c>
      <c r="I100">
        <v>-0.36053000000000002</v>
      </c>
      <c r="J100">
        <v>0.4236337</v>
      </c>
    </row>
    <row r="101" spans="1:10" x14ac:dyDescent="0.3">
      <c r="A101">
        <v>99</v>
      </c>
      <c r="B101">
        <v>1909</v>
      </c>
      <c r="C101" t="b">
        <v>1</v>
      </c>
      <c r="D101">
        <v>8111</v>
      </c>
      <c r="E101">
        <v>8117</v>
      </c>
      <c r="F101">
        <v>260.13333</v>
      </c>
      <c r="G101">
        <v>191.6</v>
      </c>
      <c r="H101">
        <v>1.3576896000000001</v>
      </c>
      <c r="I101">
        <v>-0.3576896</v>
      </c>
      <c r="J101">
        <v>0.42414405999999999</v>
      </c>
    </row>
    <row r="102" spans="1:10" x14ac:dyDescent="0.3">
      <c r="A102">
        <v>100</v>
      </c>
      <c r="B102">
        <v>1925</v>
      </c>
      <c r="C102" t="b">
        <v>1</v>
      </c>
      <c r="D102">
        <v>8106</v>
      </c>
      <c r="E102">
        <v>8105</v>
      </c>
      <c r="F102">
        <v>260.13333</v>
      </c>
      <c r="G102">
        <v>192</v>
      </c>
      <c r="H102">
        <v>1.3548610999999999</v>
      </c>
      <c r="I102">
        <v>-0.35486109999999998</v>
      </c>
      <c r="J102">
        <v>0.42465350000000002</v>
      </c>
    </row>
    <row r="103" spans="1:10" x14ac:dyDescent="0.3">
      <c r="A103">
        <v>101</v>
      </c>
      <c r="B103">
        <v>1956</v>
      </c>
      <c r="C103" t="b">
        <v>1</v>
      </c>
      <c r="D103">
        <v>8094</v>
      </c>
      <c r="E103">
        <v>8093</v>
      </c>
      <c r="F103">
        <v>259.73334</v>
      </c>
      <c r="G103">
        <v>192</v>
      </c>
      <c r="H103">
        <v>1.3527777999999999</v>
      </c>
      <c r="I103">
        <v>-0.35277779999999997</v>
      </c>
      <c r="J103">
        <v>0.42502951999999999</v>
      </c>
    </row>
    <row r="104" spans="1:10" x14ac:dyDescent="0.3">
      <c r="A104">
        <v>102</v>
      </c>
      <c r="B104">
        <v>1988</v>
      </c>
      <c r="C104" t="b">
        <v>1</v>
      </c>
      <c r="D104">
        <v>8100</v>
      </c>
      <c r="E104">
        <v>8111</v>
      </c>
      <c r="F104">
        <v>259.33334000000002</v>
      </c>
      <c r="G104">
        <v>192</v>
      </c>
      <c r="H104">
        <v>1.3506944999999999</v>
      </c>
      <c r="I104">
        <v>-0.35069450000000002</v>
      </c>
      <c r="J104">
        <v>0.42540620000000001</v>
      </c>
    </row>
    <row r="105" spans="1:10" x14ac:dyDescent="0.3">
      <c r="A105">
        <v>103</v>
      </c>
      <c r="B105">
        <v>2004</v>
      </c>
      <c r="C105" t="b">
        <v>1</v>
      </c>
      <c r="D105">
        <v>8111</v>
      </c>
      <c r="E105">
        <v>8093</v>
      </c>
      <c r="F105">
        <v>259.33334000000002</v>
      </c>
      <c r="G105">
        <v>192</v>
      </c>
      <c r="H105">
        <v>1.3506944999999999</v>
      </c>
      <c r="I105">
        <v>-0.35069450000000002</v>
      </c>
      <c r="J105">
        <v>0.42540620000000001</v>
      </c>
    </row>
    <row r="106" spans="1:10" x14ac:dyDescent="0.3">
      <c r="A106">
        <v>104</v>
      </c>
      <c r="B106">
        <v>2035</v>
      </c>
      <c r="C106" t="b">
        <v>1</v>
      </c>
      <c r="D106">
        <v>8111</v>
      </c>
      <c r="E106">
        <v>8111</v>
      </c>
      <c r="F106">
        <v>259.33334000000002</v>
      </c>
      <c r="G106">
        <v>191.2</v>
      </c>
      <c r="H106">
        <v>1.3563460000000001</v>
      </c>
      <c r="I106">
        <v>-0.35634595000000002</v>
      </c>
      <c r="J106">
        <v>0.42438589999999998</v>
      </c>
    </row>
    <row r="107" spans="1:10" x14ac:dyDescent="0.3">
      <c r="A107">
        <v>105</v>
      </c>
      <c r="B107">
        <v>2051</v>
      </c>
      <c r="C107" t="b">
        <v>1</v>
      </c>
      <c r="D107">
        <v>8117</v>
      </c>
      <c r="E107">
        <v>8105</v>
      </c>
      <c r="F107">
        <v>260.06668000000002</v>
      </c>
      <c r="G107">
        <v>191.2</v>
      </c>
      <c r="H107">
        <v>1.3601814999999999</v>
      </c>
      <c r="I107">
        <v>-0.36018141999999997</v>
      </c>
      <c r="J107">
        <v>0.42369625</v>
      </c>
    </row>
    <row r="108" spans="1:10" x14ac:dyDescent="0.3">
      <c r="A108">
        <v>106</v>
      </c>
      <c r="B108">
        <v>2067</v>
      </c>
      <c r="C108" t="b">
        <v>1</v>
      </c>
      <c r="D108">
        <v>8065</v>
      </c>
      <c r="E108">
        <v>8129</v>
      </c>
      <c r="F108">
        <v>260.8</v>
      </c>
      <c r="G108">
        <v>190.8</v>
      </c>
      <c r="H108">
        <v>1.3668762000000001</v>
      </c>
      <c r="I108">
        <v>-0.36687619999999999</v>
      </c>
      <c r="J108">
        <v>0.42249779999999998</v>
      </c>
    </row>
    <row r="109" spans="1:10" x14ac:dyDescent="0.3">
      <c r="A109">
        <v>107</v>
      </c>
      <c r="B109">
        <v>2098</v>
      </c>
      <c r="C109" t="b">
        <v>1</v>
      </c>
      <c r="D109">
        <v>8100</v>
      </c>
      <c r="E109">
        <v>8105</v>
      </c>
      <c r="F109">
        <v>261.53332999999998</v>
      </c>
      <c r="G109">
        <v>190</v>
      </c>
      <c r="H109">
        <v>1.3764912</v>
      </c>
      <c r="I109">
        <v>-0.37649120000000003</v>
      </c>
      <c r="J109">
        <v>0.42078843999999999</v>
      </c>
    </row>
    <row r="110" spans="1:10" x14ac:dyDescent="0.3">
      <c r="A110">
        <v>108</v>
      </c>
      <c r="B110">
        <v>2114</v>
      </c>
      <c r="C110" t="b">
        <v>1</v>
      </c>
      <c r="D110">
        <v>8088</v>
      </c>
      <c r="E110">
        <v>8117</v>
      </c>
      <c r="F110">
        <v>261.53332999999998</v>
      </c>
      <c r="G110">
        <v>189.6</v>
      </c>
      <c r="H110">
        <v>1.3793951</v>
      </c>
      <c r="I110">
        <v>-0.37939513000000002</v>
      </c>
      <c r="J110">
        <v>0.42027488000000002</v>
      </c>
    </row>
    <row r="111" spans="1:10" x14ac:dyDescent="0.3">
      <c r="A111">
        <v>109</v>
      </c>
      <c r="B111">
        <v>2146</v>
      </c>
      <c r="C111" t="b">
        <v>1</v>
      </c>
      <c r="D111">
        <v>8111</v>
      </c>
      <c r="E111">
        <v>8105</v>
      </c>
      <c r="F111">
        <v>262.66665999999998</v>
      </c>
      <c r="G111">
        <v>190</v>
      </c>
      <c r="H111">
        <v>1.3824561</v>
      </c>
      <c r="I111">
        <v>-0.38245610000000002</v>
      </c>
      <c r="J111">
        <v>0.41973493000000001</v>
      </c>
    </row>
    <row r="112" spans="1:10" x14ac:dyDescent="0.3">
      <c r="A112">
        <v>110</v>
      </c>
      <c r="B112">
        <v>2161</v>
      </c>
      <c r="C112" t="b">
        <v>1</v>
      </c>
      <c r="D112">
        <v>8100</v>
      </c>
      <c r="E112">
        <v>8134</v>
      </c>
      <c r="F112">
        <v>263.8</v>
      </c>
      <c r="G112">
        <v>191.2</v>
      </c>
      <c r="H112">
        <v>1.3797071000000001</v>
      </c>
      <c r="I112">
        <v>-0.37970706999999998</v>
      </c>
      <c r="J112">
        <v>0.42021977999999999</v>
      </c>
    </row>
    <row r="113" spans="1:10" x14ac:dyDescent="0.3">
      <c r="A113">
        <v>111</v>
      </c>
      <c r="B113">
        <v>2177</v>
      </c>
      <c r="C113" t="b">
        <v>1</v>
      </c>
      <c r="D113">
        <v>8106</v>
      </c>
      <c r="E113">
        <v>8117</v>
      </c>
      <c r="F113">
        <v>263.8</v>
      </c>
      <c r="G113">
        <v>192.4</v>
      </c>
      <c r="H113">
        <v>1.3711019</v>
      </c>
      <c r="I113">
        <v>-0.37110186000000001</v>
      </c>
      <c r="J113">
        <v>0.42174485</v>
      </c>
    </row>
    <row r="114" spans="1:10" x14ac:dyDescent="0.3">
      <c r="A114">
        <v>112</v>
      </c>
      <c r="B114">
        <v>2193</v>
      </c>
      <c r="C114" t="b">
        <v>1</v>
      </c>
      <c r="D114">
        <v>8094</v>
      </c>
      <c r="E114">
        <v>8111</v>
      </c>
      <c r="F114">
        <v>263.8</v>
      </c>
      <c r="G114">
        <v>193.6</v>
      </c>
      <c r="H114">
        <v>1.3626031999999999</v>
      </c>
      <c r="I114">
        <v>-0.36260320000000001</v>
      </c>
      <c r="J114">
        <v>0.42326194</v>
      </c>
    </row>
    <row r="115" spans="1:10" x14ac:dyDescent="0.3">
      <c r="A115">
        <v>113</v>
      </c>
      <c r="B115">
        <v>2209</v>
      </c>
      <c r="C115" t="b">
        <v>1</v>
      </c>
      <c r="D115">
        <v>8088</v>
      </c>
      <c r="E115">
        <v>8087</v>
      </c>
      <c r="F115">
        <v>263.8</v>
      </c>
      <c r="G115">
        <v>194.4</v>
      </c>
      <c r="H115">
        <v>1.3569958</v>
      </c>
      <c r="I115">
        <v>-0.35699585</v>
      </c>
      <c r="J115">
        <v>0.42426887000000002</v>
      </c>
    </row>
    <row r="116" spans="1:10" x14ac:dyDescent="0.3">
      <c r="A116">
        <v>114</v>
      </c>
      <c r="B116">
        <v>2225</v>
      </c>
      <c r="C116" t="b">
        <v>1</v>
      </c>
      <c r="D116">
        <v>8117</v>
      </c>
      <c r="E116">
        <v>8111</v>
      </c>
      <c r="F116">
        <v>263.39999999999998</v>
      </c>
      <c r="G116">
        <v>194.4</v>
      </c>
      <c r="H116">
        <v>1.3549382999999999</v>
      </c>
      <c r="I116">
        <v>-0.35493827</v>
      </c>
      <c r="J116">
        <v>0.42463958000000002</v>
      </c>
    </row>
    <row r="117" spans="1:10" x14ac:dyDescent="0.3">
      <c r="A117">
        <v>115</v>
      </c>
      <c r="B117">
        <v>2241</v>
      </c>
      <c r="C117" t="b">
        <v>1</v>
      </c>
      <c r="D117">
        <v>8100</v>
      </c>
      <c r="E117">
        <v>8093</v>
      </c>
      <c r="F117">
        <v>263</v>
      </c>
      <c r="G117">
        <v>194.4</v>
      </c>
      <c r="H117">
        <v>1.3528807</v>
      </c>
      <c r="I117">
        <v>-0.35288069999999999</v>
      </c>
      <c r="J117">
        <v>0.42501092000000001</v>
      </c>
    </row>
    <row r="118" spans="1:10" x14ac:dyDescent="0.3">
      <c r="A118">
        <v>116</v>
      </c>
      <c r="B118">
        <v>2257</v>
      </c>
      <c r="C118" t="b">
        <v>1</v>
      </c>
      <c r="D118">
        <v>8100</v>
      </c>
      <c r="E118">
        <v>8099</v>
      </c>
      <c r="F118">
        <v>263</v>
      </c>
      <c r="G118">
        <v>194</v>
      </c>
      <c r="H118">
        <v>1.3556701</v>
      </c>
      <c r="I118">
        <v>-0.35567009999999999</v>
      </c>
      <c r="J118">
        <v>0.42450765000000001</v>
      </c>
    </row>
    <row r="119" spans="1:10" x14ac:dyDescent="0.3">
      <c r="A119">
        <v>117</v>
      </c>
      <c r="B119">
        <v>2273</v>
      </c>
      <c r="C119" t="b">
        <v>1</v>
      </c>
      <c r="D119">
        <v>8100</v>
      </c>
      <c r="E119">
        <v>8105</v>
      </c>
      <c r="F119">
        <v>263</v>
      </c>
      <c r="G119">
        <v>193.6</v>
      </c>
      <c r="H119">
        <v>1.358471</v>
      </c>
      <c r="I119">
        <v>-0.35847104000000002</v>
      </c>
      <c r="J119">
        <v>0.42400349999999998</v>
      </c>
    </row>
    <row r="120" spans="1:10" x14ac:dyDescent="0.3">
      <c r="A120">
        <v>118</v>
      </c>
      <c r="B120">
        <v>2296</v>
      </c>
      <c r="C120" t="b">
        <v>1</v>
      </c>
      <c r="D120">
        <v>8111</v>
      </c>
      <c r="E120">
        <v>8105</v>
      </c>
      <c r="F120">
        <v>262.60000000000002</v>
      </c>
      <c r="G120">
        <v>193.6</v>
      </c>
      <c r="H120">
        <v>1.3564049</v>
      </c>
      <c r="I120">
        <v>-0.35640495999999999</v>
      </c>
      <c r="J120">
        <v>0.42437527000000003</v>
      </c>
    </row>
    <row r="121" spans="1:10" x14ac:dyDescent="0.3">
      <c r="A121">
        <v>119</v>
      </c>
      <c r="B121">
        <v>2328</v>
      </c>
      <c r="C121" t="b">
        <v>1</v>
      </c>
      <c r="D121">
        <v>8088</v>
      </c>
      <c r="E121">
        <v>8093</v>
      </c>
      <c r="F121">
        <v>262.2</v>
      </c>
      <c r="G121">
        <v>193.2</v>
      </c>
      <c r="H121">
        <v>1.3571428999999999</v>
      </c>
      <c r="I121">
        <v>-0.35714296000000001</v>
      </c>
      <c r="J121">
        <v>0.42424240000000002</v>
      </c>
    </row>
    <row r="122" spans="1:10" x14ac:dyDescent="0.3">
      <c r="A122">
        <v>120</v>
      </c>
      <c r="B122">
        <v>2344</v>
      </c>
      <c r="C122" t="b">
        <v>1</v>
      </c>
      <c r="D122">
        <v>8094</v>
      </c>
      <c r="E122">
        <v>8099</v>
      </c>
      <c r="F122">
        <v>261.46667000000002</v>
      </c>
      <c r="G122">
        <v>192.8</v>
      </c>
      <c r="H122">
        <v>1.3561548999999999</v>
      </c>
      <c r="I122">
        <v>-0.35615491999999999</v>
      </c>
      <c r="J122">
        <v>0.42442033000000001</v>
      </c>
    </row>
    <row r="123" spans="1:10" x14ac:dyDescent="0.3">
      <c r="A123">
        <v>121</v>
      </c>
      <c r="B123">
        <v>2360</v>
      </c>
      <c r="C123" t="b">
        <v>1</v>
      </c>
      <c r="D123">
        <v>8111</v>
      </c>
      <c r="E123">
        <v>8099</v>
      </c>
      <c r="F123">
        <v>260.73334</v>
      </c>
      <c r="G123">
        <v>192</v>
      </c>
      <c r="H123">
        <v>1.3579861</v>
      </c>
      <c r="I123">
        <v>-0.35798612000000002</v>
      </c>
      <c r="J123">
        <v>0.42409069999999999</v>
      </c>
    </row>
    <row r="124" spans="1:10" x14ac:dyDescent="0.3">
      <c r="A124">
        <v>122</v>
      </c>
      <c r="B124">
        <v>2376</v>
      </c>
      <c r="C124" t="b">
        <v>1</v>
      </c>
      <c r="D124">
        <v>8100</v>
      </c>
      <c r="E124">
        <v>8093</v>
      </c>
      <c r="F124">
        <v>260</v>
      </c>
      <c r="G124">
        <v>191.6</v>
      </c>
      <c r="H124">
        <v>1.3569937000000001</v>
      </c>
      <c r="I124">
        <v>-0.35699370000000002</v>
      </c>
      <c r="J124">
        <v>0.42426925999999998</v>
      </c>
    </row>
    <row r="125" spans="1:10" x14ac:dyDescent="0.3">
      <c r="A125">
        <v>123</v>
      </c>
      <c r="B125">
        <v>2392</v>
      </c>
      <c r="C125" t="b">
        <v>1</v>
      </c>
      <c r="D125">
        <v>8106</v>
      </c>
      <c r="E125">
        <v>8093</v>
      </c>
      <c r="F125">
        <v>260</v>
      </c>
      <c r="G125">
        <v>190.4</v>
      </c>
      <c r="H125">
        <v>1.3655462</v>
      </c>
      <c r="I125">
        <v>-0.36554626000000001</v>
      </c>
      <c r="J125">
        <v>0.42273533000000002</v>
      </c>
    </row>
    <row r="126" spans="1:10" x14ac:dyDescent="0.3">
      <c r="A126">
        <v>124</v>
      </c>
      <c r="B126">
        <v>2408</v>
      </c>
      <c r="C126" t="b">
        <v>1</v>
      </c>
      <c r="D126">
        <v>8129</v>
      </c>
      <c r="E126">
        <v>8117</v>
      </c>
      <c r="F126">
        <v>260.39999999999998</v>
      </c>
      <c r="G126">
        <v>190</v>
      </c>
      <c r="H126">
        <v>1.3705263000000001</v>
      </c>
      <c r="I126">
        <v>-0.37052627999999999</v>
      </c>
      <c r="J126">
        <v>0.42184725000000001</v>
      </c>
    </row>
    <row r="127" spans="1:10" x14ac:dyDescent="0.3">
      <c r="A127">
        <v>125</v>
      </c>
      <c r="B127">
        <v>2423</v>
      </c>
      <c r="C127" t="b">
        <v>1</v>
      </c>
      <c r="D127">
        <v>8077</v>
      </c>
      <c r="E127">
        <v>8123</v>
      </c>
      <c r="F127">
        <v>260.8</v>
      </c>
      <c r="G127">
        <v>188.8</v>
      </c>
      <c r="H127">
        <v>1.3813559</v>
      </c>
      <c r="I127">
        <v>-0.38135585</v>
      </c>
      <c r="J127">
        <v>0.41992885000000002</v>
      </c>
    </row>
    <row r="128" spans="1:10" x14ac:dyDescent="0.3">
      <c r="A128">
        <v>126</v>
      </c>
      <c r="B128">
        <v>2439</v>
      </c>
      <c r="C128" t="b">
        <v>1</v>
      </c>
      <c r="D128">
        <v>8094</v>
      </c>
      <c r="E128">
        <v>8117</v>
      </c>
      <c r="F128">
        <v>260.8</v>
      </c>
      <c r="G128">
        <v>188.8</v>
      </c>
      <c r="H128">
        <v>1.3813559</v>
      </c>
      <c r="I128">
        <v>-0.38135585</v>
      </c>
      <c r="J128">
        <v>0.41992885000000002</v>
      </c>
    </row>
    <row r="129" spans="1:10" x14ac:dyDescent="0.3">
      <c r="A129">
        <v>127</v>
      </c>
      <c r="B129">
        <v>2455</v>
      </c>
      <c r="C129" t="b">
        <v>1</v>
      </c>
      <c r="D129">
        <v>8111</v>
      </c>
      <c r="E129">
        <v>8093</v>
      </c>
      <c r="F129">
        <v>261.2</v>
      </c>
      <c r="G129">
        <v>188.8</v>
      </c>
      <c r="H129">
        <v>1.3834746</v>
      </c>
      <c r="I129">
        <v>-0.38347461999999999</v>
      </c>
      <c r="J129">
        <v>0.41955556999999999</v>
      </c>
    </row>
    <row r="130" spans="1:10" x14ac:dyDescent="0.3">
      <c r="A130">
        <v>128</v>
      </c>
      <c r="B130">
        <v>2486</v>
      </c>
      <c r="C130" t="b">
        <v>1</v>
      </c>
      <c r="D130">
        <v>8123</v>
      </c>
      <c r="E130">
        <v>8117</v>
      </c>
      <c r="F130">
        <v>261.93331999999998</v>
      </c>
      <c r="G130">
        <v>189.2</v>
      </c>
      <c r="H130">
        <v>1.3844255999999999</v>
      </c>
      <c r="I130">
        <v>-0.38442559999999998</v>
      </c>
      <c r="J130">
        <v>0.41938822999999997</v>
      </c>
    </row>
    <row r="131" spans="1:10" x14ac:dyDescent="0.3">
      <c r="A131">
        <v>129</v>
      </c>
      <c r="B131">
        <v>2518</v>
      </c>
      <c r="C131" t="b">
        <v>1</v>
      </c>
      <c r="D131">
        <v>8100</v>
      </c>
      <c r="E131">
        <v>8087</v>
      </c>
      <c r="F131">
        <v>261.93331999999998</v>
      </c>
      <c r="G131">
        <v>189.6</v>
      </c>
      <c r="H131">
        <v>1.3815048000000001</v>
      </c>
      <c r="I131">
        <v>-0.38150479999999998</v>
      </c>
      <c r="J131">
        <v>0.41990255999999998</v>
      </c>
    </row>
    <row r="132" spans="1:10" x14ac:dyDescent="0.3">
      <c r="A132">
        <v>130</v>
      </c>
      <c r="B132">
        <v>2534</v>
      </c>
      <c r="C132" t="b">
        <v>1</v>
      </c>
      <c r="D132">
        <v>8106</v>
      </c>
      <c r="E132">
        <v>8129</v>
      </c>
      <c r="F132">
        <v>262.33334000000002</v>
      </c>
      <c r="G132">
        <v>190</v>
      </c>
      <c r="H132">
        <v>1.3807018</v>
      </c>
      <c r="I132">
        <v>-0.38070179999999998</v>
      </c>
      <c r="J132">
        <v>0.42004419999999998</v>
      </c>
    </row>
    <row r="133" spans="1:10" x14ac:dyDescent="0.3">
      <c r="A133">
        <v>131</v>
      </c>
      <c r="B133">
        <v>2565</v>
      </c>
      <c r="C133" t="b">
        <v>1</v>
      </c>
      <c r="D133">
        <v>8106</v>
      </c>
      <c r="E133">
        <v>8111</v>
      </c>
      <c r="F133">
        <v>262.73334</v>
      </c>
      <c r="G133">
        <v>190.8</v>
      </c>
      <c r="H133">
        <v>1.3770089999999999</v>
      </c>
      <c r="I133">
        <v>-0.37700909999999999</v>
      </c>
      <c r="J133">
        <v>0.42069677</v>
      </c>
    </row>
    <row r="134" spans="1:10" x14ac:dyDescent="0.3">
      <c r="A134">
        <v>132</v>
      </c>
      <c r="B134">
        <v>2597</v>
      </c>
      <c r="C134" t="b">
        <v>1</v>
      </c>
      <c r="D134">
        <v>8083</v>
      </c>
      <c r="E134">
        <v>8117</v>
      </c>
      <c r="F134">
        <v>263.13333</v>
      </c>
      <c r="G134">
        <v>192</v>
      </c>
      <c r="H134">
        <v>1.3704860999999999</v>
      </c>
      <c r="I134">
        <v>-0.37048609999999998</v>
      </c>
      <c r="J134">
        <v>0.42185440000000002</v>
      </c>
    </row>
    <row r="135" spans="1:10" x14ac:dyDescent="0.3">
      <c r="A135">
        <v>133</v>
      </c>
      <c r="B135">
        <v>2629</v>
      </c>
      <c r="C135" t="b">
        <v>1</v>
      </c>
      <c r="D135">
        <v>8117</v>
      </c>
      <c r="E135">
        <v>8093</v>
      </c>
      <c r="F135">
        <v>263.53332999999998</v>
      </c>
      <c r="G135">
        <v>192.4</v>
      </c>
      <c r="H135">
        <v>1.3697159000000001</v>
      </c>
      <c r="I135">
        <v>-0.36971587</v>
      </c>
      <c r="J135">
        <v>0.42199153</v>
      </c>
    </row>
    <row r="136" spans="1:10" x14ac:dyDescent="0.3">
      <c r="A136">
        <v>134</v>
      </c>
      <c r="B136">
        <v>2661</v>
      </c>
      <c r="C136" t="b">
        <v>1</v>
      </c>
      <c r="D136">
        <v>8117</v>
      </c>
      <c r="E136">
        <v>8099</v>
      </c>
      <c r="F136">
        <v>263.93331999999998</v>
      </c>
      <c r="G136">
        <v>193.2</v>
      </c>
      <c r="H136">
        <v>1.3661144999999999</v>
      </c>
      <c r="I136">
        <v>-0.36611450000000001</v>
      </c>
      <c r="J136">
        <v>0.42263382999999999</v>
      </c>
    </row>
    <row r="137" spans="1:10" x14ac:dyDescent="0.3">
      <c r="A137">
        <v>135</v>
      </c>
      <c r="B137">
        <v>2676</v>
      </c>
      <c r="C137" t="b">
        <v>1</v>
      </c>
      <c r="D137">
        <v>8111</v>
      </c>
      <c r="E137">
        <v>8123</v>
      </c>
      <c r="F137">
        <v>264.66665999999998</v>
      </c>
      <c r="G137">
        <v>194</v>
      </c>
      <c r="H137">
        <v>1.3642612000000001</v>
      </c>
      <c r="I137">
        <v>-0.36426111999999999</v>
      </c>
      <c r="J137">
        <v>0.42296514000000002</v>
      </c>
    </row>
    <row r="138" spans="1:10" x14ac:dyDescent="0.3">
      <c r="A138">
        <v>136</v>
      </c>
      <c r="B138">
        <v>2692</v>
      </c>
      <c r="C138" t="b">
        <v>1</v>
      </c>
      <c r="D138">
        <v>8111</v>
      </c>
      <c r="E138">
        <v>8117</v>
      </c>
      <c r="F138">
        <v>265.39999999999998</v>
      </c>
      <c r="G138">
        <v>195.2</v>
      </c>
      <c r="H138">
        <v>1.3596311999999999</v>
      </c>
      <c r="I138">
        <v>-0.35963115000000001</v>
      </c>
      <c r="J138">
        <v>0.42379507</v>
      </c>
    </row>
    <row r="139" spans="1:10" x14ac:dyDescent="0.3">
      <c r="A139">
        <v>137</v>
      </c>
      <c r="B139">
        <v>2708</v>
      </c>
      <c r="C139" t="b">
        <v>1</v>
      </c>
      <c r="D139">
        <v>8094</v>
      </c>
      <c r="E139">
        <v>8093</v>
      </c>
      <c r="F139">
        <v>266.13333</v>
      </c>
      <c r="G139">
        <v>195.2</v>
      </c>
      <c r="H139">
        <v>1.363388</v>
      </c>
      <c r="I139">
        <v>-0.36338799999999999</v>
      </c>
      <c r="J139">
        <v>0.42312139999999998</v>
      </c>
    </row>
    <row r="140" spans="1:10" x14ac:dyDescent="0.3">
      <c r="A140">
        <v>138</v>
      </c>
      <c r="B140">
        <v>2724</v>
      </c>
      <c r="C140" t="b">
        <v>1</v>
      </c>
      <c r="D140">
        <v>8094</v>
      </c>
      <c r="E140">
        <v>8111</v>
      </c>
      <c r="F140">
        <v>266.86667</v>
      </c>
      <c r="G140">
        <v>196.4</v>
      </c>
      <c r="H140">
        <v>1.3587916</v>
      </c>
      <c r="I140">
        <v>-0.35879161999999998</v>
      </c>
      <c r="J140">
        <v>0.42394587</v>
      </c>
    </row>
    <row r="141" spans="1:10" x14ac:dyDescent="0.3">
      <c r="A141">
        <v>139</v>
      </c>
      <c r="B141">
        <v>2740</v>
      </c>
      <c r="C141" t="b">
        <v>1</v>
      </c>
      <c r="D141">
        <v>8094</v>
      </c>
      <c r="E141">
        <v>8099</v>
      </c>
      <c r="F141">
        <v>266.06668000000002</v>
      </c>
      <c r="G141">
        <v>197.2</v>
      </c>
      <c r="H141">
        <v>1.3492225</v>
      </c>
      <c r="I141">
        <v>-0.34922254000000003</v>
      </c>
      <c r="J141">
        <v>0.42567276999999998</v>
      </c>
    </row>
    <row r="142" spans="1:10" x14ac:dyDescent="0.3">
      <c r="A142">
        <v>140</v>
      </c>
      <c r="B142">
        <v>2771</v>
      </c>
      <c r="C142" t="b">
        <v>1</v>
      </c>
      <c r="D142">
        <v>8117</v>
      </c>
      <c r="E142">
        <v>8117</v>
      </c>
      <c r="F142">
        <v>265.26666</v>
      </c>
      <c r="G142">
        <v>198</v>
      </c>
      <c r="H142">
        <v>1.3397306</v>
      </c>
      <c r="I142">
        <v>-0.33973061999999998</v>
      </c>
      <c r="J142">
        <v>0.42739964000000003</v>
      </c>
    </row>
    <row r="143" spans="1:10" x14ac:dyDescent="0.3">
      <c r="A143">
        <v>141</v>
      </c>
      <c r="B143">
        <v>2803</v>
      </c>
      <c r="C143" t="b">
        <v>1</v>
      </c>
      <c r="D143">
        <v>8100</v>
      </c>
      <c r="E143">
        <v>8105</v>
      </c>
      <c r="F143">
        <v>264.86667</v>
      </c>
      <c r="G143">
        <v>197.2</v>
      </c>
      <c r="H143">
        <v>1.3431373</v>
      </c>
      <c r="I143">
        <v>-0.34313729999999998</v>
      </c>
      <c r="J143">
        <v>0.42677826000000002</v>
      </c>
    </row>
    <row r="144" spans="1:10" x14ac:dyDescent="0.3">
      <c r="A144">
        <v>142</v>
      </c>
      <c r="B144">
        <v>2834</v>
      </c>
      <c r="C144" t="b">
        <v>1</v>
      </c>
      <c r="D144">
        <v>8100</v>
      </c>
      <c r="E144">
        <v>8129</v>
      </c>
      <c r="F144">
        <v>264.46667000000002</v>
      </c>
      <c r="G144">
        <v>196.8</v>
      </c>
      <c r="H144">
        <v>1.3438348</v>
      </c>
      <c r="I144">
        <v>-0.34383469999999999</v>
      </c>
      <c r="J144">
        <v>0.42665127000000003</v>
      </c>
    </row>
    <row r="145" spans="1:10" x14ac:dyDescent="0.3">
      <c r="A145">
        <v>143</v>
      </c>
      <c r="B145">
        <v>2864</v>
      </c>
      <c r="C145" t="b">
        <v>1</v>
      </c>
      <c r="D145">
        <v>8094</v>
      </c>
      <c r="E145">
        <v>8105</v>
      </c>
      <c r="F145">
        <v>263.73334</v>
      </c>
      <c r="G145">
        <v>196</v>
      </c>
      <c r="H145">
        <v>1.3455782000000001</v>
      </c>
      <c r="I145">
        <v>-0.34557824999999998</v>
      </c>
      <c r="J145">
        <v>0.42633409999999999</v>
      </c>
    </row>
    <row r="146" spans="1:10" x14ac:dyDescent="0.3">
      <c r="A146">
        <v>144</v>
      </c>
      <c r="B146">
        <v>2896</v>
      </c>
      <c r="C146" t="b">
        <v>1</v>
      </c>
      <c r="D146">
        <v>8106</v>
      </c>
      <c r="E146">
        <v>8105</v>
      </c>
      <c r="F146">
        <v>263.73334</v>
      </c>
      <c r="G146">
        <v>195.2</v>
      </c>
      <c r="H146">
        <v>1.3510929</v>
      </c>
      <c r="I146">
        <v>-0.35109293000000003</v>
      </c>
      <c r="J146">
        <v>0.42533409999999999</v>
      </c>
    </row>
    <row r="147" spans="1:10" x14ac:dyDescent="0.3">
      <c r="A147">
        <v>145</v>
      </c>
      <c r="B147">
        <v>2928</v>
      </c>
      <c r="C147" t="b">
        <v>1</v>
      </c>
      <c r="D147">
        <v>8106</v>
      </c>
      <c r="E147">
        <v>8111</v>
      </c>
      <c r="F147">
        <v>263.33334000000002</v>
      </c>
      <c r="G147">
        <v>194.4</v>
      </c>
      <c r="H147">
        <v>1.3545954</v>
      </c>
      <c r="I147">
        <v>-0.35459541999999999</v>
      </c>
      <c r="J147">
        <v>0.42470142</v>
      </c>
    </row>
    <row r="148" spans="1:10" x14ac:dyDescent="0.3">
      <c r="A148">
        <v>146</v>
      </c>
      <c r="B148">
        <v>2943</v>
      </c>
      <c r="C148" t="b">
        <v>1</v>
      </c>
      <c r="D148">
        <v>8088</v>
      </c>
      <c r="E148">
        <v>8093</v>
      </c>
      <c r="F148">
        <v>262.93331999999998</v>
      </c>
      <c r="G148">
        <v>194</v>
      </c>
      <c r="H148">
        <v>1.3553264</v>
      </c>
      <c r="I148">
        <v>-0.35532638</v>
      </c>
      <c r="J148">
        <v>0.42456959999999999</v>
      </c>
    </row>
    <row r="149" spans="1:10" x14ac:dyDescent="0.3">
      <c r="A149">
        <v>147</v>
      </c>
      <c r="B149">
        <v>2959</v>
      </c>
      <c r="C149" t="b">
        <v>1</v>
      </c>
      <c r="D149">
        <v>8106</v>
      </c>
      <c r="E149">
        <v>8105</v>
      </c>
      <c r="F149">
        <v>262.93331999999998</v>
      </c>
      <c r="G149">
        <v>193.2</v>
      </c>
      <c r="H149">
        <v>1.3609385000000001</v>
      </c>
      <c r="I149">
        <v>-0.36093851999999998</v>
      </c>
      <c r="J149">
        <v>0.42356038000000001</v>
      </c>
    </row>
    <row r="150" spans="1:10" x14ac:dyDescent="0.3">
      <c r="A150">
        <v>148</v>
      </c>
      <c r="B150">
        <v>2975</v>
      </c>
      <c r="C150" t="b">
        <v>1</v>
      </c>
      <c r="D150">
        <v>8094</v>
      </c>
      <c r="E150">
        <v>8117</v>
      </c>
      <c r="F150">
        <v>262.93331999999998</v>
      </c>
      <c r="G150">
        <v>192.8</v>
      </c>
      <c r="H150">
        <v>1.3637619999999999</v>
      </c>
      <c r="I150">
        <v>-0.36376202000000002</v>
      </c>
      <c r="J150">
        <v>0.42305442999999998</v>
      </c>
    </row>
    <row r="151" spans="1:10" x14ac:dyDescent="0.3">
      <c r="A151">
        <v>149</v>
      </c>
      <c r="B151">
        <v>2990</v>
      </c>
      <c r="C151" t="b">
        <v>1</v>
      </c>
      <c r="D151">
        <v>8094</v>
      </c>
      <c r="E151">
        <v>8111</v>
      </c>
      <c r="F151">
        <v>262.13333</v>
      </c>
      <c r="G151">
        <v>192.8</v>
      </c>
      <c r="H151">
        <v>1.3596127</v>
      </c>
      <c r="I151">
        <v>-0.35961270000000001</v>
      </c>
      <c r="J151">
        <v>0.42379834999999999</v>
      </c>
    </row>
    <row r="152" spans="1:10" x14ac:dyDescent="0.3">
      <c r="A152">
        <v>150</v>
      </c>
      <c r="B152">
        <v>3006</v>
      </c>
      <c r="C152" t="b">
        <v>1</v>
      </c>
      <c r="D152">
        <v>8111</v>
      </c>
      <c r="E152">
        <v>8129</v>
      </c>
      <c r="F152">
        <v>261</v>
      </c>
      <c r="G152">
        <v>192.8</v>
      </c>
      <c r="H152">
        <v>1.3537344</v>
      </c>
      <c r="I152">
        <v>-0.3537344</v>
      </c>
      <c r="J152">
        <v>0.42485677999999999</v>
      </c>
    </row>
    <row r="153" spans="1:10" x14ac:dyDescent="0.3">
      <c r="A153">
        <v>151</v>
      </c>
      <c r="B153">
        <v>3037</v>
      </c>
      <c r="C153" t="b">
        <v>1</v>
      </c>
      <c r="D153">
        <v>8106</v>
      </c>
      <c r="E153">
        <v>8105</v>
      </c>
      <c r="F153">
        <v>260.66665999999998</v>
      </c>
      <c r="G153">
        <v>192.4</v>
      </c>
      <c r="H153">
        <v>1.3548163</v>
      </c>
      <c r="I153">
        <v>-0.35481635</v>
      </c>
      <c r="J153">
        <v>0.42466157999999998</v>
      </c>
    </row>
    <row r="154" spans="1:10" x14ac:dyDescent="0.3">
      <c r="A154">
        <v>152</v>
      </c>
      <c r="B154">
        <v>3053</v>
      </c>
      <c r="C154" t="b">
        <v>1</v>
      </c>
      <c r="D154">
        <v>8106</v>
      </c>
      <c r="E154">
        <v>8111</v>
      </c>
      <c r="F154">
        <v>260.33334000000002</v>
      </c>
      <c r="G154">
        <v>193.2</v>
      </c>
      <c r="H154">
        <v>1.3474811</v>
      </c>
      <c r="I154">
        <v>-0.34748109999999999</v>
      </c>
      <c r="J154">
        <v>0.42598852999999998</v>
      </c>
    </row>
    <row r="155" spans="1:10" x14ac:dyDescent="0.3">
      <c r="A155">
        <v>153</v>
      </c>
      <c r="B155">
        <v>3069</v>
      </c>
      <c r="C155" t="b">
        <v>1</v>
      </c>
      <c r="D155">
        <v>8106</v>
      </c>
      <c r="E155">
        <v>8111</v>
      </c>
      <c r="F155">
        <v>260</v>
      </c>
      <c r="G155">
        <v>193.2</v>
      </c>
      <c r="H155">
        <v>1.3457557</v>
      </c>
      <c r="I155">
        <v>-0.34575572999999998</v>
      </c>
      <c r="J155">
        <v>0.42630183999999999</v>
      </c>
    </row>
    <row r="156" spans="1:10" x14ac:dyDescent="0.3">
      <c r="A156">
        <v>154</v>
      </c>
      <c r="B156">
        <v>3084</v>
      </c>
      <c r="C156" t="b">
        <v>1</v>
      </c>
      <c r="D156">
        <v>8100</v>
      </c>
      <c r="E156">
        <v>8105</v>
      </c>
      <c r="F156">
        <v>260.8</v>
      </c>
      <c r="G156">
        <v>193.2</v>
      </c>
      <c r="H156">
        <v>1.3498964</v>
      </c>
      <c r="I156">
        <v>-0.34989642999999998</v>
      </c>
      <c r="J156">
        <v>0.42555063999999998</v>
      </c>
    </row>
    <row r="157" spans="1:10" x14ac:dyDescent="0.3">
      <c r="A157">
        <v>155</v>
      </c>
      <c r="B157">
        <v>3100</v>
      </c>
      <c r="C157" t="b">
        <v>1</v>
      </c>
      <c r="D157">
        <v>8111</v>
      </c>
      <c r="E157">
        <v>8123</v>
      </c>
      <c r="F157">
        <v>261.60000000000002</v>
      </c>
      <c r="G157">
        <v>193.2</v>
      </c>
      <c r="H157">
        <v>1.3540373000000001</v>
      </c>
      <c r="I157">
        <v>-0.3540373</v>
      </c>
      <c r="J157">
        <v>0.42480212000000001</v>
      </c>
    </row>
    <row r="158" spans="1:10" x14ac:dyDescent="0.3">
      <c r="A158">
        <v>156</v>
      </c>
      <c r="B158">
        <v>3116</v>
      </c>
      <c r="C158" t="b">
        <v>1</v>
      </c>
      <c r="D158">
        <v>8100</v>
      </c>
      <c r="E158">
        <v>8087</v>
      </c>
      <c r="F158">
        <v>262.39999999999998</v>
      </c>
      <c r="G158">
        <v>193.6</v>
      </c>
      <c r="H158">
        <v>1.3553717999999999</v>
      </c>
      <c r="I158">
        <v>-0.35537183</v>
      </c>
      <c r="J158">
        <v>0.42456139999999998</v>
      </c>
    </row>
    <row r="159" spans="1:10" x14ac:dyDescent="0.3">
      <c r="A159">
        <v>157</v>
      </c>
      <c r="B159">
        <v>3147</v>
      </c>
      <c r="C159" t="b">
        <v>1</v>
      </c>
      <c r="D159">
        <v>8100</v>
      </c>
      <c r="E159">
        <v>8093</v>
      </c>
      <c r="F159">
        <v>262.39999999999998</v>
      </c>
      <c r="G159">
        <v>193.2</v>
      </c>
      <c r="H159">
        <v>1.3581780000000001</v>
      </c>
      <c r="I159">
        <v>-0.35817805000000003</v>
      </c>
      <c r="J159">
        <v>0.42405619999999999</v>
      </c>
    </row>
    <row r="160" spans="1:10" x14ac:dyDescent="0.3">
      <c r="A160">
        <v>158</v>
      </c>
      <c r="B160">
        <v>3162</v>
      </c>
      <c r="C160" t="b">
        <v>1</v>
      </c>
      <c r="D160">
        <v>8083</v>
      </c>
      <c r="E160">
        <v>8129</v>
      </c>
      <c r="F160">
        <v>262.39999999999998</v>
      </c>
      <c r="G160">
        <v>193.2</v>
      </c>
      <c r="H160">
        <v>1.3581780000000001</v>
      </c>
      <c r="I160">
        <v>-0.35817805000000003</v>
      </c>
      <c r="J160">
        <v>0.42405619999999999</v>
      </c>
    </row>
    <row r="161" spans="1:10" x14ac:dyDescent="0.3">
      <c r="A161">
        <v>159</v>
      </c>
      <c r="B161">
        <v>3179</v>
      </c>
      <c r="C161" t="b">
        <v>1</v>
      </c>
      <c r="D161">
        <v>8117</v>
      </c>
      <c r="E161">
        <v>8129</v>
      </c>
      <c r="F161">
        <v>262.39999999999998</v>
      </c>
      <c r="G161">
        <v>194.4</v>
      </c>
      <c r="H161">
        <v>1.3497942999999999</v>
      </c>
      <c r="I161">
        <v>-0.34979423999999998</v>
      </c>
      <c r="J161">
        <v>0.42556917999999999</v>
      </c>
    </row>
    <row r="162" spans="1:10" x14ac:dyDescent="0.3">
      <c r="A162">
        <v>160</v>
      </c>
      <c r="B162">
        <v>3194</v>
      </c>
      <c r="C162" t="b">
        <v>1</v>
      </c>
      <c r="D162">
        <v>8123</v>
      </c>
      <c r="E162">
        <v>8111</v>
      </c>
      <c r="F162">
        <v>262.39999999999998</v>
      </c>
      <c r="G162">
        <v>194.8</v>
      </c>
      <c r="H162">
        <v>1.3470225</v>
      </c>
      <c r="I162">
        <v>-0.34702253</v>
      </c>
      <c r="J162">
        <v>0.42607172999999998</v>
      </c>
    </row>
    <row r="163" spans="1:10" x14ac:dyDescent="0.3">
      <c r="A163">
        <v>161</v>
      </c>
      <c r="B163">
        <v>3210</v>
      </c>
      <c r="C163" t="b">
        <v>1</v>
      </c>
      <c r="D163">
        <v>8088</v>
      </c>
      <c r="E163">
        <v>8111</v>
      </c>
      <c r="F163">
        <v>262.39999999999998</v>
      </c>
      <c r="G163">
        <v>195.2</v>
      </c>
      <c r="H163">
        <v>1.3442622</v>
      </c>
      <c r="I163">
        <v>-0.34426226999999998</v>
      </c>
      <c r="J163">
        <v>0.42657346000000002</v>
      </c>
    </row>
    <row r="164" spans="1:10" x14ac:dyDescent="0.3">
      <c r="A164">
        <v>162</v>
      </c>
      <c r="B164">
        <v>3226</v>
      </c>
      <c r="C164" t="b">
        <v>1</v>
      </c>
      <c r="D164">
        <v>8100</v>
      </c>
      <c r="E164">
        <v>8099</v>
      </c>
      <c r="F164">
        <v>262</v>
      </c>
      <c r="G164">
        <v>195.6</v>
      </c>
      <c r="H164">
        <v>1.3394682</v>
      </c>
      <c r="I164">
        <v>-0.33946827000000002</v>
      </c>
      <c r="J164">
        <v>0.42744756</v>
      </c>
    </row>
    <row r="165" spans="1:10" x14ac:dyDescent="0.3">
      <c r="A165">
        <v>163</v>
      </c>
      <c r="B165">
        <v>3242</v>
      </c>
      <c r="C165" t="b">
        <v>1</v>
      </c>
      <c r="D165">
        <v>8088</v>
      </c>
      <c r="E165">
        <v>8099</v>
      </c>
      <c r="F165">
        <v>261.60000000000002</v>
      </c>
      <c r="G165">
        <v>196</v>
      </c>
      <c r="H165">
        <v>1.3346939</v>
      </c>
      <c r="I165">
        <v>-0.33469389999999999</v>
      </c>
      <c r="J165">
        <v>0.42832165999999999</v>
      </c>
    </row>
    <row r="166" spans="1:10" x14ac:dyDescent="0.3">
      <c r="A166">
        <v>164</v>
      </c>
      <c r="B166">
        <v>3257</v>
      </c>
      <c r="C166" t="b">
        <v>1</v>
      </c>
      <c r="D166">
        <v>8088</v>
      </c>
      <c r="E166">
        <v>8140</v>
      </c>
      <c r="F166">
        <v>261.2</v>
      </c>
      <c r="G166">
        <v>196</v>
      </c>
      <c r="H166">
        <v>1.3326532</v>
      </c>
      <c r="I166">
        <v>-0.33265314000000001</v>
      </c>
      <c r="J166">
        <v>0.42869639999999998</v>
      </c>
    </row>
    <row r="167" spans="1:10" x14ac:dyDescent="0.3">
      <c r="A167">
        <v>165</v>
      </c>
      <c r="B167">
        <v>3274</v>
      </c>
      <c r="C167" t="b">
        <v>1</v>
      </c>
      <c r="D167">
        <v>8083</v>
      </c>
      <c r="E167">
        <v>8111</v>
      </c>
      <c r="F167">
        <v>260.8</v>
      </c>
      <c r="G167">
        <v>196</v>
      </c>
      <c r="H167">
        <v>1.3306122</v>
      </c>
      <c r="I167">
        <v>-0.33061217999999998</v>
      </c>
      <c r="J167">
        <v>0.4290718</v>
      </c>
    </row>
    <row r="168" spans="1:10" x14ac:dyDescent="0.3">
      <c r="A168">
        <v>166</v>
      </c>
      <c r="B168">
        <v>3289</v>
      </c>
      <c r="C168" t="b">
        <v>1</v>
      </c>
      <c r="D168">
        <v>8094</v>
      </c>
      <c r="E168">
        <v>8111</v>
      </c>
      <c r="F168">
        <v>259.60000000000002</v>
      </c>
      <c r="G168">
        <v>196</v>
      </c>
      <c r="H168">
        <v>1.3244898000000001</v>
      </c>
      <c r="I168">
        <v>-0.32448982999999998</v>
      </c>
      <c r="J168">
        <v>0.43020192000000002</v>
      </c>
    </row>
    <row r="169" spans="1:10" x14ac:dyDescent="0.3">
      <c r="A169">
        <v>167</v>
      </c>
      <c r="B169">
        <v>3305</v>
      </c>
      <c r="C169" t="b">
        <v>1</v>
      </c>
      <c r="D169">
        <v>8106</v>
      </c>
      <c r="E169">
        <v>8117</v>
      </c>
      <c r="F169">
        <v>258.39999999999998</v>
      </c>
      <c r="G169">
        <v>196</v>
      </c>
      <c r="H169">
        <v>1.3183674000000001</v>
      </c>
      <c r="I169">
        <v>-0.31836730000000002</v>
      </c>
      <c r="J169">
        <v>0.43133803999999998</v>
      </c>
    </row>
    <row r="170" spans="1:10" x14ac:dyDescent="0.3">
      <c r="A170">
        <v>168</v>
      </c>
      <c r="B170">
        <v>3321</v>
      </c>
      <c r="C170" t="b">
        <v>1</v>
      </c>
      <c r="D170">
        <v>8111</v>
      </c>
      <c r="E170">
        <v>8093</v>
      </c>
      <c r="F170">
        <v>257.60000000000002</v>
      </c>
      <c r="G170">
        <v>196</v>
      </c>
      <c r="H170">
        <v>1.3142857999999999</v>
      </c>
      <c r="I170">
        <v>-0.31428576000000003</v>
      </c>
      <c r="J170">
        <v>0.43209874999999998</v>
      </c>
    </row>
    <row r="171" spans="1:10" x14ac:dyDescent="0.3">
      <c r="A171">
        <v>169</v>
      </c>
      <c r="B171">
        <v>3337</v>
      </c>
      <c r="C171" t="b">
        <v>1</v>
      </c>
      <c r="D171">
        <v>8123</v>
      </c>
      <c r="E171">
        <v>8111</v>
      </c>
      <c r="F171">
        <v>257.60000000000002</v>
      </c>
      <c r="G171">
        <v>196</v>
      </c>
      <c r="H171">
        <v>1.3142857999999999</v>
      </c>
      <c r="I171">
        <v>-0.31428576000000003</v>
      </c>
      <c r="J171">
        <v>0.43209874999999998</v>
      </c>
    </row>
    <row r="172" spans="1:10" x14ac:dyDescent="0.3">
      <c r="A172">
        <v>170</v>
      </c>
      <c r="B172">
        <v>3368</v>
      </c>
      <c r="C172" t="b">
        <v>1</v>
      </c>
      <c r="D172">
        <v>8100</v>
      </c>
      <c r="E172">
        <v>8105</v>
      </c>
      <c r="F172">
        <v>257.60000000000002</v>
      </c>
      <c r="G172">
        <v>196</v>
      </c>
      <c r="H172">
        <v>1.3142857999999999</v>
      </c>
      <c r="I172">
        <v>-0.31428576000000003</v>
      </c>
      <c r="J172">
        <v>0.43209874999999998</v>
      </c>
    </row>
    <row r="173" spans="1:10" x14ac:dyDescent="0.3">
      <c r="A173">
        <v>171</v>
      </c>
      <c r="B173">
        <v>3399</v>
      </c>
      <c r="C173" t="b">
        <v>1</v>
      </c>
      <c r="D173">
        <v>8117</v>
      </c>
      <c r="E173">
        <v>8117</v>
      </c>
      <c r="F173">
        <v>257.93331999999998</v>
      </c>
      <c r="G173">
        <v>196</v>
      </c>
      <c r="H173">
        <v>1.3159863000000001</v>
      </c>
      <c r="I173">
        <v>-0.31598633999999998</v>
      </c>
      <c r="J173">
        <v>0.43178147</v>
      </c>
    </row>
    <row r="174" spans="1:10" x14ac:dyDescent="0.3">
      <c r="A174">
        <v>172</v>
      </c>
      <c r="B174">
        <v>3415</v>
      </c>
      <c r="C174" t="b">
        <v>1</v>
      </c>
      <c r="D174">
        <v>8094</v>
      </c>
      <c r="E174">
        <v>8129</v>
      </c>
      <c r="F174">
        <v>258.66665999999998</v>
      </c>
      <c r="G174">
        <v>196.4</v>
      </c>
      <c r="H174">
        <v>1.3170401</v>
      </c>
      <c r="I174">
        <v>-0.31704006000000001</v>
      </c>
      <c r="J174">
        <v>0.4315851</v>
      </c>
    </row>
    <row r="175" spans="1:10" x14ac:dyDescent="0.3">
      <c r="A175">
        <v>173</v>
      </c>
      <c r="B175">
        <v>3446</v>
      </c>
      <c r="C175" t="b">
        <v>1</v>
      </c>
      <c r="D175">
        <v>8071</v>
      </c>
      <c r="E175">
        <v>8111</v>
      </c>
      <c r="F175">
        <v>258.66665999999998</v>
      </c>
      <c r="G175">
        <v>196.8</v>
      </c>
      <c r="H175">
        <v>1.3143631</v>
      </c>
      <c r="I175">
        <v>-0.31436306000000003</v>
      </c>
      <c r="J175">
        <v>0.43208432000000002</v>
      </c>
    </row>
    <row r="176" spans="1:10" x14ac:dyDescent="0.3">
      <c r="A176">
        <v>174</v>
      </c>
      <c r="B176">
        <v>3462</v>
      </c>
      <c r="C176" t="b">
        <v>1</v>
      </c>
      <c r="D176">
        <v>8077</v>
      </c>
      <c r="E176">
        <v>8105</v>
      </c>
      <c r="F176">
        <v>258.26666</v>
      </c>
      <c r="G176">
        <v>196</v>
      </c>
      <c r="H176">
        <v>1.3176870000000001</v>
      </c>
      <c r="I176">
        <v>-0.31768706000000002</v>
      </c>
      <c r="J176">
        <v>0.43146464000000001</v>
      </c>
    </row>
    <row r="177" spans="1:10" x14ac:dyDescent="0.3">
      <c r="A177">
        <v>175</v>
      </c>
      <c r="B177">
        <v>3478</v>
      </c>
      <c r="C177" t="b">
        <v>1</v>
      </c>
      <c r="D177">
        <v>8094</v>
      </c>
      <c r="E177">
        <v>8105</v>
      </c>
      <c r="F177">
        <v>257.86667</v>
      </c>
      <c r="G177">
        <v>196</v>
      </c>
      <c r="H177">
        <v>1.3156463</v>
      </c>
      <c r="I177">
        <v>-0.31564626000000001</v>
      </c>
      <c r="J177">
        <v>0.43184489999999998</v>
      </c>
    </row>
    <row r="178" spans="1:10" x14ac:dyDescent="0.3">
      <c r="A178">
        <v>176</v>
      </c>
      <c r="B178">
        <v>3494</v>
      </c>
      <c r="C178" t="b">
        <v>1</v>
      </c>
      <c r="D178">
        <v>8123</v>
      </c>
      <c r="E178">
        <v>8099</v>
      </c>
      <c r="F178">
        <v>257.46667000000002</v>
      </c>
      <c r="G178">
        <v>195.6</v>
      </c>
      <c r="H178">
        <v>1.3162917999999999</v>
      </c>
      <c r="I178">
        <v>-0.31629174999999998</v>
      </c>
      <c r="J178">
        <v>0.43172454999999998</v>
      </c>
    </row>
    <row r="179" spans="1:10" x14ac:dyDescent="0.3">
      <c r="A179">
        <v>177</v>
      </c>
      <c r="B179">
        <v>3510</v>
      </c>
      <c r="C179" t="b">
        <v>1</v>
      </c>
      <c r="D179">
        <v>8117</v>
      </c>
      <c r="E179">
        <v>8099</v>
      </c>
      <c r="F179">
        <v>257.06668000000002</v>
      </c>
      <c r="G179">
        <v>195.2</v>
      </c>
      <c r="H179">
        <v>1.31694</v>
      </c>
      <c r="I179">
        <v>-0.31693998000000001</v>
      </c>
      <c r="J179">
        <v>0.43160376</v>
      </c>
    </row>
    <row r="180" spans="1:10" x14ac:dyDescent="0.3">
      <c r="A180">
        <v>178</v>
      </c>
      <c r="B180">
        <v>3526</v>
      </c>
      <c r="C180" t="b">
        <v>1</v>
      </c>
      <c r="D180">
        <v>8123</v>
      </c>
      <c r="E180">
        <v>8111</v>
      </c>
      <c r="F180">
        <v>258.2</v>
      </c>
      <c r="G180">
        <v>194.8</v>
      </c>
      <c r="H180">
        <v>1.3254621</v>
      </c>
      <c r="I180">
        <v>-0.32546204000000001</v>
      </c>
      <c r="J180">
        <v>0.43002210000000002</v>
      </c>
    </row>
    <row r="181" spans="1:10" x14ac:dyDescent="0.3">
      <c r="A181">
        <v>179</v>
      </c>
      <c r="B181">
        <v>3542</v>
      </c>
      <c r="C181" t="b">
        <v>1</v>
      </c>
      <c r="D181">
        <v>8111</v>
      </c>
      <c r="E181">
        <v>8111</v>
      </c>
      <c r="F181">
        <v>260.13333</v>
      </c>
      <c r="G181">
        <v>194.4</v>
      </c>
      <c r="H181">
        <v>1.3381343999999999</v>
      </c>
      <c r="I181">
        <v>-0.33813447000000002</v>
      </c>
      <c r="J181">
        <v>0.4276914</v>
      </c>
    </row>
    <row r="182" spans="1:10" x14ac:dyDescent="0.3">
      <c r="A182">
        <v>180</v>
      </c>
      <c r="B182">
        <v>3558</v>
      </c>
      <c r="C182" t="b">
        <v>1</v>
      </c>
      <c r="D182">
        <v>8094</v>
      </c>
      <c r="E182">
        <v>8117</v>
      </c>
      <c r="F182">
        <v>262.06668000000002</v>
      </c>
      <c r="G182">
        <v>194.4</v>
      </c>
      <c r="H182">
        <v>1.3480797</v>
      </c>
      <c r="I182">
        <v>-0.34807968</v>
      </c>
      <c r="J182">
        <v>0.42587993000000002</v>
      </c>
    </row>
    <row r="183" spans="1:10" x14ac:dyDescent="0.3">
      <c r="A183">
        <v>181</v>
      </c>
      <c r="B183">
        <v>3573</v>
      </c>
      <c r="C183" t="b">
        <v>1</v>
      </c>
      <c r="D183">
        <v>8088</v>
      </c>
      <c r="E183">
        <v>8099</v>
      </c>
      <c r="F183">
        <v>263.60000000000002</v>
      </c>
      <c r="G183">
        <v>194.4</v>
      </c>
      <c r="H183">
        <v>1.3559672</v>
      </c>
      <c r="I183">
        <v>-0.35596716</v>
      </c>
      <c r="J183">
        <v>0.42445411999999999</v>
      </c>
    </row>
    <row r="184" spans="1:10" x14ac:dyDescent="0.3">
      <c r="A184">
        <v>182</v>
      </c>
      <c r="B184">
        <v>3589</v>
      </c>
      <c r="C184" t="b">
        <v>1</v>
      </c>
      <c r="D184">
        <v>8083</v>
      </c>
      <c r="E184">
        <v>8099</v>
      </c>
      <c r="F184">
        <v>264</v>
      </c>
      <c r="G184">
        <v>194.4</v>
      </c>
      <c r="H184">
        <v>1.3580247000000001</v>
      </c>
      <c r="I184">
        <v>-0.35802475</v>
      </c>
      <c r="J184">
        <v>0.42408377000000003</v>
      </c>
    </row>
    <row r="185" spans="1:10" x14ac:dyDescent="0.3">
      <c r="A185">
        <v>183</v>
      </c>
      <c r="B185">
        <v>3605</v>
      </c>
      <c r="C185" t="b">
        <v>1</v>
      </c>
      <c r="D185">
        <v>8111</v>
      </c>
      <c r="E185">
        <v>8129</v>
      </c>
      <c r="F185">
        <v>264</v>
      </c>
      <c r="G185">
        <v>194.4</v>
      </c>
      <c r="H185">
        <v>1.3580247000000001</v>
      </c>
      <c r="I185">
        <v>-0.35802475</v>
      </c>
      <c r="J185">
        <v>0.42408377000000003</v>
      </c>
    </row>
    <row r="186" spans="1:10" x14ac:dyDescent="0.3">
      <c r="A186">
        <v>184</v>
      </c>
      <c r="B186">
        <v>3621</v>
      </c>
      <c r="C186" t="b">
        <v>1</v>
      </c>
      <c r="D186">
        <v>8100</v>
      </c>
      <c r="E186">
        <v>8117</v>
      </c>
      <c r="F186">
        <v>263.2</v>
      </c>
      <c r="G186">
        <v>194.8</v>
      </c>
      <c r="H186">
        <v>1.3511294</v>
      </c>
      <c r="I186">
        <v>-0.35112939999999998</v>
      </c>
      <c r="J186">
        <v>0.42532750000000002</v>
      </c>
    </row>
    <row r="187" spans="1:10" x14ac:dyDescent="0.3">
      <c r="A187">
        <v>185</v>
      </c>
      <c r="B187">
        <v>3636</v>
      </c>
      <c r="C187" t="b">
        <v>1</v>
      </c>
      <c r="D187">
        <v>8111</v>
      </c>
      <c r="E187">
        <v>8093</v>
      </c>
      <c r="F187">
        <v>262.8</v>
      </c>
      <c r="G187">
        <v>194</v>
      </c>
      <c r="H187">
        <v>1.3546389999999999</v>
      </c>
      <c r="I187">
        <v>-0.35463909999999998</v>
      </c>
      <c r="J187">
        <v>0.42469351999999999</v>
      </c>
    </row>
    <row r="188" spans="1:10" x14ac:dyDescent="0.3">
      <c r="A188">
        <v>186</v>
      </c>
      <c r="B188">
        <v>3652</v>
      </c>
      <c r="C188" t="b">
        <v>1</v>
      </c>
      <c r="D188">
        <v>8088</v>
      </c>
      <c r="E188">
        <v>8129</v>
      </c>
      <c r="F188">
        <v>262.06668000000002</v>
      </c>
      <c r="G188">
        <v>194.4</v>
      </c>
      <c r="H188">
        <v>1.3480797</v>
      </c>
      <c r="I188">
        <v>-0.34807968</v>
      </c>
      <c r="J188">
        <v>0.42587993000000002</v>
      </c>
    </row>
    <row r="189" spans="1:10" x14ac:dyDescent="0.3">
      <c r="A189">
        <v>187</v>
      </c>
      <c r="B189">
        <v>3668</v>
      </c>
      <c r="C189" t="b">
        <v>1</v>
      </c>
      <c r="D189">
        <v>8111</v>
      </c>
      <c r="E189">
        <v>8105</v>
      </c>
      <c r="F189">
        <v>262.06668000000002</v>
      </c>
      <c r="G189">
        <v>194.8</v>
      </c>
      <c r="H189">
        <v>1.3453115</v>
      </c>
      <c r="I189">
        <v>-0.34531149999999999</v>
      </c>
      <c r="J189">
        <v>0.42638257000000002</v>
      </c>
    </row>
    <row r="190" spans="1:10" x14ac:dyDescent="0.3">
      <c r="A190">
        <v>188</v>
      </c>
      <c r="B190">
        <v>3684</v>
      </c>
      <c r="C190" t="b">
        <v>1</v>
      </c>
      <c r="D190">
        <v>8094</v>
      </c>
      <c r="E190">
        <v>8099</v>
      </c>
      <c r="F190">
        <v>262.06668000000002</v>
      </c>
      <c r="G190">
        <v>194.4</v>
      </c>
      <c r="H190">
        <v>1.3480797</v>
      </c>
      <c r="I190">
        <v>-0.34807968</v>
      </c>
      <c r="J190">
        <v>0.42587993000000002</v>
      </c>
    </row>
    <row r="191" spans="1:10" x14ac:dyDescent="0.3">
      <c r="A191">
        <v>189</v>
      </c>
      <c r="B191">
        <v>3699</v>
      </c>
      <c r="C191" t="b">
        <v>1</v>
      </c>
      <c r="D191">
        <v>8100</v>
      </c>
      <c r="E191">
        <v>8105</v>
      </c>
      <c r="F191">
        <v>262.46667000000002</v>
      </c>
      <c r="G191">
        <v>194</v>
      </c>
      <c r="H191">
        <v>1.352921</v>
      </c>
      <c r="I191">
        <v>-0.35292099999999998</v>
      </c>
      <c r="J191">
        <v>0.42500365000000001</v>
      </c>
    </row>
    <row r="192" spans="1:10" x14ac:dyDescent="0.3">
      <c r="A192">
        <v>190</v>
      </c>
      <c r="B192">
        <v>3715</v>
      </c>
      <c r="C192" t="b">
        <v>1</v>
      </c>
      <c r="D192">
        <v>8100</v>
      </c>
      <c r="E192">
        <v>8099</v>
      </c>
      <c r="F192">
        <v>262.86667</v>
      </c>
      <c r="G192">
        <v>193.6</v>
      </c>
      <c r="H192">
        <v>1.3577824000000001</v>
      </c>
      <c r="I192">
        <v>-0.35778232999999998</v>
      </c>
      <c r="J192">
        <v>0.42412737</v>
      </c>
    </row>
    <row r="193" spans="1:10" x14ac:dyDescent="0.3">
      <c r="A193">
        <v>191</v>
      </c>
      <c r="B193">
        <v>3731</v>
      </c>
      <c r="C193" t="b">
        <v>1</v>
      </c>
      <c r="D193">
        <v>8106</v>
      </c>
      <c r="E193">
        <v>8111</v>
      </c>
      <c r="F193">
        <v>263.26666</v>
      </c>
      <c r="G193">
        <v>193.6</v>
      </c>
      <c r="H193">
        <v>1.3598484</v>
      </c>
      <c r="I193">
        <v>-0.35984840000000001</v>
      </c>
      <c r="J193">
        <v>0.42375603000000001</v>
      </c>
    </row>
    <row r="194" spans="1:10" x14ac:dyDescent="0.3">
      <c r="A194">
        <v>192</v>
      </c>
      <c r="B194">
        <v>3747</v>
      </c>
      <c r="C194" t="b">
        <v>1</v>
      </c>
      <c r="D194">
        <v>8100</v>
      </c>
      <c r="E194">
        <v>8117</v>
      </c>
      <c r="F194">
        <v>263.66665999999998</v>
      </c>
      <c r="G194">
        <v>193.6</v>
      </c>
      <c r="H194">
        <v>1.3619144999999999</v>
      </c>
      <c r="I194">
        <v>-0.36191452000000002</v>
      </c>
      <c r="J194">
        <v>0.42338534999999999</v>
      </c>
    </row>
    <row r="195" spans="1:10" x14ac:dyDescent="0.3">
      <c r="A195">
        <v>193</v>
      </c>
      <c r="B195">
        <v>3779</v>
      </c>
      <c r="C195" t="b">
        <v>1</v>
      </c>
      <c r="D195">
        <v>8100</v>
      </c>
      <c r="E195">
        <v>8093</v>
      </c>
      <c r="F195">
        <v>262.53332999999998</v>
      </c>
      <c r="G195">
        <v>193.6</v>
      </c>
      <c r="H195">
        <v>1.3560604999999999</v>
      </c>
      <c r="I195">
        <v>-0.35606052999999999</v>
      </c>
      <c r="J195">
        <v>0.42443730000000002</v>
      </c>
    </row>
    <row r="196" spans="1:10" x14ac:dyDescent="0.3">
      <c r="A196">
        <v>194</v>
      </c>
      <c r="B196">
        <v>3795</v>
      </c>
      <c r="C196" t="b">
        <v>1</v>
      </c>
      <c r="D196">
        <v>8077</v>
      </c>
      <c r="E196">
        <v>8117</v>
      </c>
      <c r="F196">
        <v>261.39999999999998</v>
      </c>
      <c r="G196">
        <v>194</v>
      </c>
      <c r="H196">
        <v>1.3474226</v>
      </c>
      <c r="I196">
        <v>-0.34742265999999999</v>
      </c>
      <c r="J196">
        <v>0.42599913</v>
      </c>
    </row>
    <row r="197" spans="1:10" x14ac:dyDescent="0.3">
      <c r="A197">
        <v>195</v>
      </c>
      <c r="B197">
        <v>3811</v>
      </c>
      <c r="C197" t="b">
        <v>1</v>
      </c>
      <c r="D197">
        <v>8100</v>
      </c>
      <c r="E197">
        <v>8099</v>
      </c>
      <c r="F197">
        <v>260.26666</v>
      </c>
      <c r="G197">
        <v>194</v>
      </c>
      <c r="H197">
        <v>1.3415807</v>
      </c>
      <c r="I197">
        <v>-0.34158074999999999</v>
      </c>
      <c r="J197">
        <v>0.42706195000000002</v>
      </c>
    </row>
    <row r="198" spans="1:10" x14ac:dyDescent="0.3">
      <c r="A198">
        <v>196</v>
      </c>
      <c r="B198">
        <v>3827</v>
      </c>
      <c r="C198" t="b">
        <v>1</v>
      </c>
      <c r="D198">
        <v>8100</v>
      </c>
      <c r="E198">
        <v>8140</v>
      </c>
      <c r="F198">
        <v>259.53332999999998</v>
      </c>
      <c r="G198">
        <v>194.4</v>
      </c>
      <c r="H198">
        <v>1.335048</v>
      </c>
      <c r="I198">
        <v>-0.33504802</v>
      </c>
      <c r="J198">
        <v>0.42825671999999998</v>
      </c>
    </row>
    <row r="199" spans="1:10" x14ac:dyDescent="0.3">
      <c r="A199">
        <v>197</v>
      </c>
      <c r="B199">
        <v>3843</v>
      </c>
      <c r="C199" t="b">
        <v>1</v>
      </c>
      <c r="D199">
        <v>8094</v>
      </c>
      <c r="E199">
        <v>8099</v>
      </c>
      <c r="F199">
        <v>259.93331999999998</v>
      </c>
      <c r="G199">
        <v>193.6</v>
      </c>
      <c r="H199">
        <v>1.3426307</v>
      </c>
      <c r="I199">
        <v>-0.34263073999999999</v>
      </c>
      <c r="J199">
        <v>0.42687051999999998</v>
      </c>
    </row>
    <row r="200" spans="1:10" x14ac:dyDescent="0.3">
      <c r="A200">
        <v>198</v>
      </c>
      <c r="B200">
        <v>3875</v>
      </c>
      <c r="C200" t="b">
        <v>1</v>
      </c>
      <c r="D200">
        <v>8094</v>
      </c>
      <c r="E200">
        <v>8087</v>
      </c>
      <c r="F200">
        <v>259.93331999999998</v>
      </c>
      <c r="G200">
        <v>192.8</v>
      </c>
      <c r="H200">
        <v>1.3482019000000001</v>
      </c>
      <c r="I200">
        <v>-0.34820183999999998</v>
      </c>
      <c r="J200">
        <v>0.42585774999999998</v>
      </c>
    </row>
    <row r="201" spans="1:10" x14ac:dyDescent="0.3">
      <c r="A201">
        <v>199</v>
      </c>
      <c r="B201">
        <v>3907</v>
      </c>
      <c r="C201" t="b">
        <v>1</v>
      </c>
      <c r="D201">
        <v>8094</v>
      </c>
      <c r="E201">
        <v>8129</v>
      </c>
      <c r="F201">
        <v>259.93331999999998</v>
      </c>
      <c r="G201">
        <v>191.6</v>
      </c>
      <c r="H201">
        <v>1.3566457000000001</v>
      </c>
      <c r="I201">
        <v>-0.35664567000000003</v>
      </c>
      <c r="J201">
        <v>0.42433193000000002</v>
      </c>
    </row>
    <row r="202" spans="1:10" x14ac:dyDescent="0.3">
      <c r="A202">
        <v>200</v>
      </c>
      <c r="B202">
        <v>3938</v>
      </c>
      <c r="C202" t="b">
        <v>1</v>
      </c>
      <c r="D202">
        <v>8088</v>
      </c>
      <c r="E202">
        <v>8105</v>
      </c>
      <c r="F202">
        <v>259.53332999999998</v>
      </c>
      <c r="G202">
        <v>192</v>
      </c>
      <c r="H202">
        <v>1.3517361000000001</v>
      </c>
      <c r="I202">
        <v>-0.35173607000000001</v>
      </c>
      <c r="J202">
        <v>0.42521777999999999</v>
      </c>
    </row>
    <row r="203" spans="1:10" x14ac:dyDescent="0.3">
      <c r="A203">
        <v>201</v>
      </c>
      <c r="B203">
        <v>3954</v>
      </c>
      <c r="C203" t="b">
        <v>1</v>
      </c>
      <c r="D203">
        <v>8083</v>
      </c>
      <c r="E203">
        <v>8105</v>
      </c>
      <c r="F203">
        <v>259.13333</v>
      </c>
      <c r="G203">
        <v>191.2</v>
      </c>
      <c r="H203">
        <v>1.3552998000000001</v>
      </c>
      <c r="I203">
        <v>-0.35529986000000002</v>
      </c>
      <c r="J203">
        <v>0.42457440000000002</v>
      </c>
    </row>
    <row r="204" spans="1:10" x14ac:dyDescent="0.3">
      <c r="A204">
        <v>202</v>
      </c>
      <c r="B204">
        <v>3970</v>
      </c>
      <c r="C204" t="b">
        <v>1</v>
      </c>
      <c r="D204">
        <v>8083</v>
      </c>
      <c r="E204">
        <v>8105</v>
      </c>
      <c r="F204">
        <v>257.60000000000002</v>
      </c>
      <c r="G204">
        <v>190.4</v>
      </c>
      <c r="H204">
        <v>1.3529412999999999</v>
      </c>
      <c r="I204">
        <v>-0.35294123999999999</v>
      </c>
      <c r="J204">
        <v>0.42499998</v>
      </c>
    </row>
    <row r="205" spans="1:10" x14ac:dyDescent="0.3">
      <c r="A205">
        <v>203</v>
      </c>
      <c r="B205">
        <v>3986</v>
      </c>
      <c r="C205" t="b">
        <v>1</v>
      </c>
      <c r="D205">
        <v>8117</v>
      </c>
      <c r="E205">
        <v>8111</v>
      </c>
      <c r="F205">
        <v>256.8</v>
      </c>
      <c r="G205">
        <v>190.4</v>
      </c>
      <c r="H205">
        <v>1.3487395</v>
      </c>
      <c r="I205">
        <v>-0.34873947999999999</v>
      </c>
      <c r="J205">
        <v>0.42576029999999998</v>
      </c>
    </row>
    <row r="206" spans="1:10" x14ac:dyDescent="0.3">
      <c r="A206">
        <v>204</v>
      </c>
      <c r="B206">
        <v>4002</v>
      </c>
      <c r="C206" t="b">
        <v>1</v>
      </c>
      <c r="D206">
        <v>8117</v>
      </c>
      <c r="E206">
        <v>8129</v>
      </c>
      <c r="F206">
        <v>256</v>
      </c>
      <c r="G206">
        <v>190.4</v>
      </c>
      <c r="H206">
        <v>1.3445379</v>
      </c>
      <c r="I206">
        <v>-0.34453784999999998</v>
      </c>
      <c r="J206">
        <v>0.42652329999999999</v>
      </c>
    </row>
    <row r="207" spans="1:10" x14ac:dyDescent="0.3">
      <c r="A207">
        <v>205</v>
      </c>
      <c r="B207">
        <v>4018</v>
      </c>
      <c r="C207" t="b">
        <v>1</v>
      </c>
      <c r="D207">
        <v>8077</v>
      </c>
      <c r="E207">
        <v>8129</v>
      </c>
      <c r="F207">
        <v>254.86667</v>
      </c>
      <c r="G207">
        <v>190.8</v>
      </c>
      <c r="H207">
        <v>1.3357791999999999</v>
      </c>
      <c r="I207">
        <v>-0.33577916000000002</v>
      </c>
      <c r="J207">
        <v>0.42812264</v>
      </c>
    </row>
    <row r="208" spans="1:10" x14ac:dyDescent="0.3">
      <c r="A208">
        <v>206</v>
      </c>
      <c r="B208">
        <v>4034</v>
      </c>
      <c r="C208" t="b">
        <v>1</v>
      </c>
      <c r="D208">
        <v>8094</v>
      </c>
      <c r="E208">
        <v>8105</v>
      </c>
      <c r="F208">
        <v>254.46665999999999</v>
      </c>
      <c r="G208">
        <v>191.2</v>
      </c>
      <c r="H208">
        <v>1.3308926000000001</v>
      </c>
      <c r="I208">
        <v>-0.33089259999999998</v>
      </c>
      <c r="J208">
        <v>0.42902020000000002</v>
      </c>
    </row>
    <row r="209" spans="1:10" x14ac:dyDescent="0.3">
      <c r="A209">
        <v>207</v>
      </c>
      <c r="B209">
        <v>4065</v>
      </c>
      <c r="C209" t="b">
        <v>1</v>
      </c>
      <c r="D209">
        <v>8100</v>
      </c>
      <c r="E209">
        <v>8099</v>
      </c>
      <c r="F209">
        <v>254.46665999999999</v>
      </c>
      <c r="G209">
        <v>191.6</v>
      </c>
      <c r="H209">
        <v>1.328114</v>
      </c>
      <c r="I209">
        <v>-0.32811403</v>
      </c>
      <c r="J209">
        <v>0.42953223000000001</v>
      </c>
    </row>
    <row r="210" spans="1:10" x14ac:dyDescent="0.3">
      <c r="A210">
        <v>208</v>
      </c>
      <c r="B210">
        <v>4097</v>
      </c>
      <c r="C210" t="b">
        <v>1</v>
      </c>
      <c r="D210">
        <v>8100</v>
      </c>
      <c r="E210">
        <v>8093</v>
      </c>
      <c r="F210">
        <v>254.46665999999999</v>
      </c>
      <c r="G210">
        <v>191.6</v>
      </c>
      <c r="H210">
        <v>1.328114</v>
      </c>
      <c r="I210">
        <v>-0.32811403</v>
      </c>
      <c r="J210">
        <v>0.42953223000000001</v>
      </c>
    </row>
    <row r="211" spans="1:10" x14ac:dyDescent="0.3">
      <c r="A211">
        <v>209</v>
      </c>
      <c r="B211">
        <v>4113</v>
      </c>
      <c r="C211" t="b">
        <v>1</v>
      </c>
      <c r="D211">
        <v>8100</v>
      </c>
      <c r="E211">
        <v>8105</v>
      </c>
      <c r="F211">
        <v>254.46665999999999</v>
      </c>
      <c r="G211">
        <v>191.2</v>
      </c>
      <c r="H211">
        <v>1.3308926000000001</v>
      </c>
      <c r="I211">
        <v>-0.33089259999999998</v>
      </c>
      <c r="J211">
        <v>0.42902020000000002</v>
      </c>
    </row>
    <row r="212" spans="1:10" x14ac:dyDescent="0.3">
      <c r="A212">
        <v>210</v>
      </c>
      <c r="B212">
        <v>4145</v>
      </c>
      <c r="C212" t="b">
        <v>1</v>
      </c>
      <c r="D212">
        <v>8100</v>
      </c>
      <c r="E212">
        <v>8123</v>
      </c>
      <c r="F212">
        <v>254.46665999999999</v>
      </c>
      <c r="G212">
        <v>190.8</v>
      </c>
      <c r="H212">
        <v>1.3336827</v>
      </c>
      <c r="I212">
        <v>-0.3336827</v>
      </c>
      <c r="J212">
        <v>0.42850727</v>
      </c>
    </row>
    <row r="213" spans="1:10" x14ac:dyDescent="0.3">
      <c r="A213">
        <v>211</v>
      </c>
      <c r="B213">
        <v>4160</v>
      </c>
      <c r="C213" t="b">
        <v>1</v>
      </c>
      <c r="D213">
        <v>8106</v>
      </c>
      <c r="E213">
        <v>8105</v>
      </c>
      <c r="F213">
        <v>254.46665999999999</v>
      </c>
      <c r="G213">
        <v>190</v>
      </c>
      <c r="H213">
        <v>1.3392982</v>
      </c>
      <c r="I213">
        <v>-0.33929821999999998</v>
      </c>
      <c r="J213">
        <v>0.42747859999999999</v>
      </c>
    </row>
    <row r="214" spans="1:10" x14ac:dyDescent="0.3">
      <c r="A214">
        <v>212</v>
      </c>
      <c r="B214">
        <v>4176</v>
      </c>
      <c r="C214" t="b">
        <v>1</v>
      </c>
      <c r="D214">
        <v>8111</v>
      </c>
      <c r="E214">
        <v>8099</v>
      </c>
      <c r="F214">
        <v>254.46665999999999</v>
      </c>
      <c r="G214">
        <v>190.4</v>
      </c>
      <c r="H214">
        <v>1.3364845999999999</v>
      </c>
      <c r="I214">
        <v>-0.33648460000000002</v>
      </c>
      <c r="J214">
        <v>0.42799342000000001</v>
      </c>
    </row>
    <row r="215" spans="1:10" x14ac:dyDescent="0.3">
      <c r="A215">
        <v>213</v>
      </c>
      <c r="B215">
        <v>4208</v>
      </c>
      <c r="C215" t="b">
        <v>1</v>
      </c>
      <c r="D215">
        <v>8094</v>
      </c>
      <c r="E215">
        <v>8111</v>
      </c>
      <c r="F215">
        <v>254.86667</v>
      </c>
      <c r="G215">
        <v>190.8</v>
      </c>
      <c r="H215">
        <v>1.3357791999999999</v>
      </c>
      <c r="I215">
        <v>-0.33577916000000002</v>
      </c>
      <c r="J215">
        <v>0.42812264</v>
      </c>
    </row>
    <row r="216" spans="1:10" x14ac:dyDescent="0.3">
      <c r="A216">
        <v>214</v>
      </c>
      <c r="B216">
        <v>4240</v>
      </c>
      <c r="C216" t="b">
        <v>1</v>
      </c>
      <c r="D216">
        <v>8100</v>
      </c>
      <c r="E216">
        <v>8111</v>
      </c>
      <c r="F216">
        <v>255.26666</v>
      </c>
      <c r="G216">
        <v>191.6</v>
      </c>
      <c r="H216">
        <v>1.3322894999999999</v>
      </c>
      <c r="I216">
        <v>-0.33228943</v>
      </c>
      <c r="J216">
        <v>0.42876323999999999</v>
      </c>
    </row>
    <row r="217" spans="1:10" x14ac:dyDescent="0.3">
      <c r="A217">
        <v>215</v>
      </c>
      <c r="B217">
        <v>4255</v>
      </c>
      <c r="C217" t="b">
        <v>1</v>
      </c>
      <c r="D217">
        <v>8106</v>
      </c>
      <c r="E217">
        <v>8105</v>
      </c>
      <c r="F217">
        <v>256.06668000000002</v>
      </c>
      <c r="G217">
        <v>191.6</v>
      </c>
      <c r="H217">
        <v>1.3364649</v>
      </c>
      <c r="I217">
        <v>-0.33646488000000002</v>
      </c>
      <c r="J217">
        <v>0.42799702000000001</v>
      </c>
    </row>
    <row r="218" spans="1:10" x14ac:dyDescent="0.3">
      <c r="A218">
        <v>216</v>
      </c>
      <c r="B218">
        <v>4271</v>
      </c>
      <c r="C218" t="b">
        <v>1</v>
      </c>
      <c r="D218">
        <v>8088</v>
      </c>
      <c r="E218">
        <v>8093</v>
      </c>
      <c r="F218">
        <v>256.46667000000002</v>
      </c>
      <c r="G218">
        <v>191.6</v>
      </c>
      <c r="H218">
        <v>1.3385526000000001</v>
      </c>
      <c r="I218">
        <v>-0.33855253000000002</v>
      </c>
      <c r="J218">
        <v>0.42761493</v>
      </c>
    </row>
    <row r="219" spans="1:10" x14ac:dyDescent="0.3">
      <c r="A219">
        <v>217</v>
      </c>
      <c r="B219">
        <v>4287</v>
      </c>
      <c r="C219" t="b">
        <v>1</v>
      </c>
      <c r="D219">
        <v>8117</v>
      </c>
      <c r="E219">
        <v>8117</v>
      </c>
      <c r="F219">
        <v>257.26666</v>
      </c>
      <c r="G219">
        <v>192</v>
      </c>
      <c r="H219">
        <v>1.3399304999999999</v>
      </c>
      <c r="I219">
        <v>-0.33993053000000001</v>
      </c>
      <c r="J219">
        <v>0.42736312999999998</v>
      </c>
    </row>
    <row r="220" spans="1:10" x14ac:dyDescent="0.3">
      <c r="A220">
        <v>218</v>
      </c>
      <c r="B220">
        <v>4303</v>
      </c>
      <c r="C220" t="b">
        <v>1</v>
      </c>
      <c r="D220">
        <v>8111</v>
      </c>
      <c r="E220">
        <v>8117</v>
      </c>
      <c r="F220">
        <v>258.46667000000002</v>
      </c>
      <c r="G220">
        <v>192.4</v>
      </c>
      <c r="H220">
        <v>1.3433819</v>
      </c>
      <c r="I220">
        <v>-0.34338194</v>
      </c>
      <c r="J220">
        <v>0.42673367000000001</v>
      </c>
    </row>
    <row r="221" spans="1:10" x14ac:dyDescent="0.3">
      <c r="A221">
        <v>219</v>
      </c>
      <c r="B221">
        <v>4319</v>
      </c>
      <c r="C221" t="b">
        <v>1</v>
      </c>
      <c r="D221">
        <v>8111</v>
      </c>
      <c r="E221">
        <v>8111</v>
      </c>
      <c r="F221">
        <v>260</v>
      </c>
      <c r="G221">
        <v>192.8</v>
      </c>
      <c r="H221">
        <v>1.3485476999999999</v>
      </c>
      <c r="I221">
        <v>-0.34854770000000002</v>
      </c>
      <c r="J221">
        <v>0.42579507999999999</v>
      </c>
    </row>
    <row r="222" spans="1:10" x14ac:dyDescent="0.3">
      <c r="A222">
        <v>220</v>
      </c>
      <c r="B222">
        <v>4335</v>
      </c>
      <c r="C222" t="b">
        <v>1</v>
      </c>
      <c r="D222">
        <v>8094</v>
      </c>
      <c r="E222">
        <v>8099</v>
      </c>
      <c r="F222">
        <v>261.86667</v>
      </c>
      <c r="G222">
        <v>192.8</v>
      </c>
      <c r="H222">
        <v>1.3582296</v>
      </c>
      <c r="I222">
        <v>-0.35822957999999999</v>
      </c>
      <c r="J222">
        <v>0.4240469</v>
      </c>
    </row>
    <row r="223" spans="1:10" x14ac:dyDescent="0.3">
      <c r="A223">
        <v>221</v>
      </c>
      <c r="B223">
        <v>4367</v>
      </c>
      <c r="C223" t="b">
        <v>1</v>
      </c>
      <c r="D223">
        <v>8100</v>
      </c>
      <c r="E223">
        <v>8117</v>
      </c>
      <c r="F223">
        <v>263</v>
      </c>
      <c r="G223">
        <v>193.2</v>
      </c>
      <c r="H223">
        <v>1.3612837</v>
      </c>
      <c r="I223">
        <v>-0.36128366000000001</v>
      </c>
      <c r="J223">
        <v>0.42349845000000003</v>
      </c>
    </row>
    <row r="224" spans="1:10" x14ac:dyDescent="0.3">
      <c r="A224">
        <v>222</v>
      </c>
      <c r="B224">
        <v>4382</v>
      </c>
      <c r="C224" t="b">
        <v>1</v>
      </c>
      <c r="D224">
        <v>8094</v>
      </c>
      <c r="E224">
        <v>8099</v>
      </c>
      <c r="F224">
        <v>263</v>
      </c>
      <c r="G224">
        <v>193.2</v>
      </c>
      <c r="H224">
        <v>1.3612837</v>
      </c>
      <c r="I224">
        <v>-0.36128366000000001</v>
      </c>
      <c r="J224">
        <v>0.42349845000000003</v>
      </c>
    </row>
    <row r="225" spans="1:10" x14ac:dyDescent="0.3">
      <c r="A225">
        <v>223</v>
      </c>
      <c r="B225">
        <v>4414</v>
      </c>
      <c r="C225" t="b">
        <v>1</v>
      </c>
      <c r="D225">
        <v>8077</v>
      </c>
      <c r="E225">
        <v>8105</v>
      </c>
      <c r="F225">
        <v>262.60000000000002</v>
      </c>
      <c r="G225">
        <v>193.2</v>
      </c>
      <c r="H225">
        <v>1.3592134</v>
      </c>
      <c r="I225">
        <v>-0.35921330000000001</v>
      </c>
      <c r="J225">
        <v>0.42387012000000002</v>
      </c>
    </row>
    <row r="226" spans="1:10" x14ac:dyDescent="0.3">
      <c r="A226">
        <v>224</v>
      </c>
      <c r="B226">
        <v>4430</v>
      </c>
      <c r="C226" t="b">
        <v>1</v>
      </c>
      <c r="D226">
        <v>8100</v>
      </c>
      <c r="E226">
        <v>8111</v>
      </c>
      <c r="F226">
        <v>262.2</v>
      </c>
      <c r="G226">
        <v>193.2</v>
      </c>
      <c r="H226">
        <v>1.3571428999999999</v>
      </c>
      <c r="I226">
        <v>-0.35714296000000001</v>
      </c>
      <c r="J226">
        <v>0.42424240000000002</v>
      </c>
    </row>
    <row r="227" spans="1:10" x14ac:dyDescent="0.3">
      <c r="A227">
        <v>225</v>
      </c>
      <c r="B227">
        <v>4461</v>
      </c>
      <c r="C227" t="b">
        <v>1</v>
      </c>
      <c r="D227">
        <v>8083</v>
      </c>
      <c r="E227">
        <v>8111</v>
      </c>
      <c r="F227">
        <v>261.8</v>
      </c>
      <c r="G227">
        <v>193.6</v>
      </c>
      <c r="H227">
        <v>1.3522726</v>
      </c>
      <c r="I227">
        <v>-0.35227262999999998</v>
      </c>
      <c r="J227">
        <v>0.42512080000000002</v>
      </c>
    </row>
    <row r="228" spans="1:10" x14ac:dyDescent="0.3">
      <c r="A228">
        <v>226</v>
      </c>
      <c r="B228">
        <v>4477</v>
      </c>
      <c r="C228" t="b">
        <v>1</v>
      </c>
      <c r="D228">
        <v>8094</v>
      </c>
      <c r="E228">
        <v>8111</v>
      </c>
      <c r="F228">
        <v>261.39999999999998</v>
      </c>
      <c r="G228">
        <v>194</v>
      </c>
      <c r="H228">
        <v>1.3474226</v>
      </c>
      <c r="I228">
        <v>-0.34742265999999999</v>
      </c>
      <c r="J228">
        <v>0.42599913</v>
      </c>
    </row>
    <row r="229" spans="1:10" x14ac:dyDescent="0.3">
      <c r="A229">
        <v>227</v>
      </c>
      <c r="B229">
        <v>4493</v>
      </c>
      <c r="C229" t="b">
        <v>1</v>
      </c>
      <c r="D229">
        <v>8083</v>
      </c>
      <c r="E229">
        <v>8105</v>
      </c>
      <c r="F229">
        <v>260.26666</v>
      </c>
      <c r="G229">
        <v>194.4</v>
      </c>
      <c r="H229">
        <v>1.3388203000000001</v>
      </c>
      <c r="I229">
        <v>-0.33882030000000002</v>
      </c>
      <c r="J229">
        <v>0.427566</v>
      </c>
    </row>
    <row r="230" spans="1:10" x14ac:dyDescent="0.3">
      <c r="A230">
        <v>228</v>
      </c>
      <c r="B230">
        <v>4509</v>
      </c>
      <c r="C230" t="b">
        <v>1</v>
      </c>
      <c r="D230">
        <v>8071</v>
      </c>
      <c r="E230">
        <v>8117</v>
      </c>
      <c r="F230">
        <v>259.13333</v>
      </c>
      <c r="G230">
        <v>194.8</v>
      </c>
      <c r="H230">
        <v>1.3302532</v>
      </c>
      <c r="I230">
        <v>-0.33025320000000002</v>
      </c>
      <c r="J230">
        <v>0.42913790000000002</v>
      </c>
    </row>
    <row r="231" spans="1:10" x14ac:dyDescent="0.3">
      <c r="A231">
        <v>229</v>
      </c>
      <c r="B231">
        <v>4525</v>
      </c>
      <c r="C231" t="b">
        <v>1</v>
      </c>
      <c r="D231">
        <v>8094</v>
      </c>
      <c r="E231">
        <v>8087</v>
      </c>
      <c r="F231">
        <v>258</v>
      </c>
      <c r="G231">
        <v>194.8</v>
      </c>
      <c r="H231">
        <v>1.3244354</v>
      </c>
      <c r="I231">
        <v>-0.32443529999999998</v>
      </c>
      <c r="J231">
        <v>0.43021201999999997</v>
      </c>
    </row>
    <row r="232" spans="1:10" x14ac:dyDescent="0.3">
      <c r="A232">
        <v>230</v>
      </c>
      <c r="B232">
        <v>4541</v>
      </c>
      <c r="C232" t="b">
        <v>1</v>
      </c>
      <c r="D232">
        <v>8077</v>
      </c>
      <c r="E232">
        <v>8129</v>
      </c>
      <c r="F232">
        <v>256.46667000000002</v>
      </c>
      <c r="G232">
        <v>195.2</v>
      </c>
      <c r="H232">
        <v>1.3138661</v>
      </c>
      <c r="I232">
        <v>-0.31386617</v>
      </c>
      <c r="J232">
        <v>0.43217709999999998</v>
      </c>
    </row>
    <row r="233" spans="1:10" x14ac:dyDescent="0.3">
      <c r="A233">
        <v>231</v>
      </c>
      <c r="B233">
        <v>4557</v>
      </c>
      <c r="C233" t="b">
        <v>1</v>
      </c>
      <c r="D233">
        <v>8111</v>
      </c>
      <c r="E233">
        <v>8129</v>
      </c>
      <c r="F233">
        <v>255.33332999999999</v>
      </c>
      <c r="G233">
        <v>196</v>
      </c>
      <c r="H233">
        <v>1.302721</v>
      </c>
      <c r="I233">
        <v>-0.30272104999999999</v>
      </c>
      <c r="J233">
        <v>0.43426885999999998</v>
      </c>
    </row>
    <row r="234" spans="1:10" x14ac:dyDescent="0.3">
      <c r="A234">
        <v>232</v>
      </c>
      <c r="B234">
        <v>4573</v>
      </c>
      <c r="C234" t="b">
        <v>1</v>
      </c>
      <c r="D234">
        <v>8083</v>
      </c>
      <c r="E234">
        <v>8123</v>
      </c>
      <c r="F234">
        <v>254.2</v>
      </c>
      <c r="G234">
        <v>196.8</v>
      </c>
      <c r="H234">
        <v>1.2916666000000001</v>
      </c>
      <c r="I234">
        <v>-0.29166662999999998</v>
      </c>
      <c r="J234">
        <v>0.43636364</v>
      </c>
    </row>
    <row r="235" spans="1:10" x14ac:dyDescent="0.3">
      <c r="A235">
        <v>233</v>
      </c>
      <c r="B235">
        <v>4589</v>
      </c>
      <c r="C235" t="b">
        <v>1</v>
      </c>
      <c r="D235">
        <v>8117</v>
      </c>
      <c r="E235">
        <v>8117</v>
      </c>
      <c r="F235">
        <v>253.4</v>
      </c>
      <c r="G235">
        <v>197.6</v>
      </c>
      <c r="H235">
        <v>1.2823886</v>
      </c>
      <c r="I235">
        <v>-0.28238859999999999</v>
      </c>
      <c r="J235">
        <v>0.43813746999999997</v>
      </c>
    </row>
    <row r="236" spans="1:10" x14ac:dyDescent="0.3">
      <c r="A236">
        <v>234</v>
      </c>
      <c r="B236">
        <v>4605</v>
      </c>
      <c r="C236" t="b">
        <v>1</v>
      </c>
      <c r="D236">
        <v>8100</v>
      </c>
      <c r="E236">
        <v>8117</v>
      </c>
      <c r="F236">
        <v>252.66667000000001</v>
      </c>
      <c r="G236">
        <v>198.4</v>
      </c>
      <c r="H236">
        <v>1.2735215</v>
      </c>
      <c r="I236">
        <v>-0.27352156999999999</v>
      </c>
      <c r="J236">
        <v>0.43984630000000002</v>
      </c>
    </row>
    <row r="237" spans="1:10" x14ac:dyDescent="0.3">
      <c r="A237">
        <v>235</v>
      </c>
      <c r="B237">
        <v>4636</v>
      </c>
      <c r="C237" t="b">
        <v>1</v>
      </c>
      <c r="D237">
        <v>8100</v>
      </c>
      <c r="E237">
        <v>8134</v>
      </c>
      <c r="F237">
        <v>251.93333000000001</v>
      </c>
      <c r="G237">
        <v>199.2</v>
      </c>
      <c r="H237">
        <v>1.2647256</v>
      </c>
      <c r="I237">
        <v>-0.26472560000000001</v>
      </c>
      <c r="J237">
        <v>0.44155460000000002</v>
      </c>
    </row>
    <row r="238" spans="1:10" x14ac:dyDescent="0.3">
      <c r="A238">
        <v>236</v>
      </c>
      <c r="B238">
        <v>4652</v>
      </c>
      <c r="C238" t="b">
        <v>1</v>
      </c>
      <c r="D238">
        <v>8106</v>
      </c>
      <c r="E238">
        <v>8111</v>
      </c>
      <c r="F238">
        <v>251.2</v>
      </c>
      <c r="G238">
        <v>199.2</v>
      </c>
      <c r="H238">
        <v>1.2610440999999999</v>
      </c>
      <c r="I238">
        <v>-0.26104417000000002</v>
      </c>
      <c r="J238">
        <v>0.44227353000000003</v>
      </c>
    </row>
    <row r="239" spans="1:10" x14ac:dyDescent="0.3">
      <c r="A239">
        <v>237</v>
      </c>
      <c r="B239">
        <v>4668</v>
      </c>
      <c r="C239" t="b">
        <v>1</v>
      </c>
      <c r="D239">
        <v>8077</v>
      </c>
      <c r="E239">
        <v>8105</v>
      </c>
      <c r="F239">
        <v>251.2</v>
      </c>
      <c r="G239">
        <v>199.6</v>
      </c>
      <c r="H239">
        <v>1.2585170000000001</v>
      </c>
      <c r="I239">
        <v>-0.25851697000000001</v>
      </c>
      <c r="J239">
        <v>0.44276842</v>
      </c>
    </row>
    <row r="240" spans="1:10" x14ac:dyDescent="0.3">
      <c r="A240">
        <v>238</v>
      </c>
      <c r="B240">
        <v>4684</v>
      </c>
      <c r="C240" t="b">
        <v>1</v>
      </c>
      <c r="D240">
        <v>8083</v>
      </c>
      <c r="E240">
        <v>8111</v>
      </c>
      <c r="F240">
        <v>251.6</v>
      </c>
      <c r="G240">
        <v>200</v>
      </c>
      <c r="H240">
        <v>1.258</v>
      </c>
      <c r="I240">
        <v>-0.25800002</v>
      </c>
      <c r="J240">
        <v>0.44286977999999999</v>
      </c>
    </row>
    <row r="241" spans="1:10" x14ac:dyDescent="0.3">
      <c r="A241">
        <v>239</v>
      </c>
      <c r="B241">
        <v>4700</v>
      </c>
      <c r="C241" t="b">
        <v>1</v>
      </c>
      <c r="D241">
        <v>8083</v>
      </c>
      <c r="E241">
        <v>8134</v>
      </c>
      <c r="F241">
        <v>250.86667</v>
      </c>
      <c r="G241">
        <v>200.4</v>
      </c>
      <c r="H241">
        <v>1.2518297</v>
      </c>
      <c r="I241">
        <v>-0.25182969999999999</v>
      </c>
      <c r="J241">
        <v>0.44408330000000001</v>
      </c>
    </row>
    <row r="242" spans="1:10" x14ac:dyDescent="0.3">
      <c r="A242">
        <v>240</v>
      </c>
      <c r="B242">
        <v>4716</v>
      </c>
      <c r="C242" t="b">
        <v>1</v>
      </c>
      <c r="D242">
        <v>8100</v>
      </c>
      <c r="E242">
        <v>8111</v>
      </c>
      <c r="F242">
        <v>250.13333</v>
      </c>
      <c r="G242">
        <v>200.4</v>
      </c>
      <c r="H242">
        <v>1.2481704</v>
      </c>
      <c r="I242">
        <v>-0.24817036000000001</v>
      </c>
      <c r="J242">
        <v>0.44480616000000001</v>
      </c>
    </row>
    <row r="243" spans="1:10" x14ac:dyDescent="0.3">
      <c r="A243">
        <v>241</v>
      </c>
      <c r="B243">
        <v>4747</v>
      </c>
      <c r="C243" t="b">
        <v>1</v>
      </c>
      <c r="D243">
        <v>8100</v>
      </c>
      <c r="E243">
        <v>8111</v>
      </c>
      <c r="F243">
        <v>249.4</v>
      </c>
      <c r="G243">
        <v>200.4</v>
      </c>
      <c r="H243">
        <v>1.2445109999999999</v>
      </c>
      <c r="I243">
        <v>-0.24451097999999999</v>
      </c>
      <c r="J243">
        <v>0.44553134</v>
      </c>
    </row>
    <row r="244" spans="1:10" x14ac:dyDescent="0.3">
      <c r="A244">
        <v>242</v>
      </c>
      <c r="B244">
        <v>4778</v>
      </c>
      <c r="C244" t="b">
        <v>1</v>
      </c>
      <c r="D244">
        <v>8088</v>
      </c>
      <c r="E244">
        <v>8099</v>
      </c>
      <c r="F244">
        <v>249.73334</v>
      </c>
      <c r="G244">
        <v>200.4</v>
      </c>
      <c r="H244">
        <v>1.2461743000000001</v>
      </c>
      <c r="I244">
        <v>-0.24617438</v>
      </c>
      <c r="J244">
        <v>0.44520140000000002</v>
      </c>
    </row>
    <row r="245" spans="1:10" x14ac:dyDescent="0.3">
      <c r="A245">
        <v>243</v>
      </c>
      <c r="B245">
        <v>4794</v>
      </c>
      <c r="C245" t="b">
        <v>1</v>
      </c>
      <c r="D245">
        <v>8111</v>
      </c>
      <c r="E245">
        <v>8111</v>
      </c>
      <c r="F245">
        <v>250.86667</v>
      </c>
      <c r="G245">
        <v>200.4</v>
      </c>
      <c r="H245">
        <v>1.2518297</v>
      </c>
      <c r="I245">
        <v>-0.25182969999999999</v>
      </c>
      <c r="J245">
        <v>0.44408330000000001</v>
      </c>
    </row>
    <row r="246" spans="1:10" x14ac:dyDescent="0.3">
      <c r="A246">
        <v>244</v>
      </c>
      <c r="B246">
        <v>4810</v>
      </c>
      <c r="C246" t="b">
        <v>1</v>
      </c>
      <c r="D246">
        <v>8094</v>
      </c>
      <c r="E246">
        <v>8129</v>
      </c>
      <c r="F246">
        <v>252</v>
      </c>
      <c r="G246">
        <v>200.4</v>
      </c>
      <c r="H246">
        <v>1.257485</v>
      </c>
      <c r="I246">
        <v>-0.25748505999999999</v>
      </c>
      <c r="J246">
        <v>0.4429708</v>
      </c>
    </row>
    <row r="247" spans="1:10" x14ac:dyDescent="0.3">
      <c r="A247">
        <v>245</v>
      </c>
      <c r="B247">
        <v>4842</v>
      </c>
      <c r="C247" t="b">
        <v>1</v>
      </c>
      <c r="D247">
        <v>8106</v>
      </c>
      <c r="E247">
        <v>8105</v>
      </c>
      <c r="F247">
        <v>253.13333</v>
      </c>
      <c r="G247">
        <v>200.4</v>
      </c>
      <c r="H247">
        <v>1.2631403999999999</v>
      </c>
      <c r="I247">
        <v>-0.2631404</v>
      </c>
      <c r="J247">
        <v>0.44186386</v>
      </c>
    </row>
    <row r="248" spans="1:10" x14ac:dyDescent="0.3">
      <c r="A248">
        <v>246</v>
      </c>
      <c r="B248">
        <v>4858</v>
      </c>
      <c r="C248" t="b">
        <v>1</v>
      </c>
      <c r="D248">
        <v>8111</v>
      </c>
      <c r="E248">
        <v>8117</v>
      </c>
      <c r="F248">
        <v>254.66667000000001</v>
      </c>
      <c r="G248">
        <v>200</v>
      </c>
      <c r="H248">
        <v>1.2733333</v>
      </c>
      <c r="I248">
        <v>-0.27333337000000002</v>
      </c>
      <c r="J248">
        <v>0.43988266999999998</v>
      </c>
    </row>
    <row r="249" spans="1:10" x14ac:dyDescent="0.3">
      <c r="A249">
        <v>247</v>
      </c>
      <c r="B249">
        <v>4874</v>
      </c>
      <c r="C249" t="b">
        <v>1</v>
      </c>
      <c r="D249">
        <v>8094</v>
      </c>
      <c r="E249">
        <v>8117</v>
      </c>
      <c r="F249">
        <v>256.2</v>
      </c>
      <c r="G249">
        <v>199.6</v>
      </c>
      <c r="H249">
        <v>1.2835672</v>
      </c>
      <c r="I249">
        <v>-0.28356715999999998</v>
      </c>
      <c r="J249">
        <v>0.43791136000000003</v>
      </c>
    </row>
    <row r="250" spans="1:10" x14ac:dyDescent="0.3">
      <c r="A250">
        <v>248</v>
      </c>
      <c r="B250">
        <v>4890</v>
      </c>
      <c r="C250" t="b">
        <v>1</v>
      </c>
      <c r="D250">
        <v>8088</v>
      </c>
      <c r="E250">
        <v>8123</v>
      </c>
      <c r="F250">
        <v>256.2</v>
      </c>
      <c r="G250">
        <v>199.2</v>
      </c>
      <c r="H250">
        <v>1.2861446000000001</v>
      </c>
      <c r="I250">
        <v>-0.28614466999999999</v>
      </c>
      <c r="J250">
        <v>0.43741763</v>
      </c>
    </row>
    <row r="251" spans="1:10" x14ac:dyDescent="0.3">
      <c r="A251">
        <v>249</v>
      </c>
      <c r="B251">
        <v>4922</v>
      </c>
      <c r="C251" t="b">
        <v>1</v>
      </c>
      <c r="D251">
        <v>8083</v>
      </c>
      <c r="E251">
        <v>8105</v>
      </c>
      <c r="F251">
        <v>255.8</v>
      </c>
      <c r="G251">
        <v>198.8</v>
      </c>
      <c r="H251">
        <v>1.2867203</v>
      </c>
      <c r="I251">
        <v>-0.28672029999999998</v>
      </c>
      <c r="J251">
        <v>0.43730753999999999</v>
      </c>
    </row>
    <row r="252" spans="1:10" x14ac:dyDescent="0.3">
      <c r="A252">
        <v>250</v>
      </c>
      <c r="B252">
        <v>4953</v>
      </c>
      <c r="C252" t="b">
        <v>1</v>
      </c>
      <c r="D252">
        <v>8100</v>
      </c>
      <c r="E252">
        <v>8111</v>
      </c>
      <c r="F252">
        <v>255.4</v>
      </c>
      <c r="G252">
        <v>198.4</v>
      </c>
      <c r="H252">
        <v>1.2872984000000001</v>
      </c>
      <c r="I252">
        <v>-0.28729838000000002</v>
      </c>
      <c r="J252">
        <v>0.437197</v>
      </c>
    </row>
    <row r="253" spans="1:10" x14ac:dyDescent="0.3">
      <c r="A253">
        <v>251</v>
      </c>
      <c r="B253">
        <v>4969</v>
      </c>
      <c r="C253" t="b">
        <v>1</v>
      </c>
      <c r="D253">
        <v>8100</v>
      </c>
      <c r="E253">
        <v>8117</v>
      </c>
      <c r="F253">
        <v>255</v>
      </c>
      <c r="G253">
        <v>198.4</v>
      </c>
      <c r="H253">
        <v>1.2852823</v>
      </c>
      <c r="I253">
        <v>-0.28528228</v>
      </c>
      <c r="J253">
        <v>0.43758269999999999</v>
      </c>
    </row>
    <row r="254" spans="1:10" x14ac:dyDescent="0.3">
      <c r="A254">
        <v>252</v>
      </c>
      <c r="B254">
        <v>4985</v>
      </c>
      <c r="C254" t="b">
        <v>1</v>
      </c>
      <c r="D254">
        <v>8100</v>
      </c>
      <c r="E254">
        <v>8099</v>
      </c>
      <c r="F254">
        <v>255</v>
      </c>
      <c r="G254">
        <v>198</v>
      </c>
      <c r="H254">
        <v>1.2878788000000001</v>
      </c>
      <c r="I254">
        <v>-0.28787878</v>
      </c>
      <c r="J254">
        <v>0.43708609999999998</v>
      </c>
    </row>
    <row r="255" spans="1:10" x14ac:dyDescent="0.3">
      <c r="A255">
        <v>253</v>
      </c>
      <c r="B255">
        <v>5001</v>
      </c>
      <c r="C255" t="b">
        <v>1</v>
      </c>
      <c r="D255">
        <v>8094</v>
      </c>
      <c r="E255">
        <v>8117</v>
      </c>
      <c r="F255">
        <v>255</v>
      </c>
      <c r="G255">
        <v>198</v>
      </c>
      <c r="H255">
        <v>1.2878788000000001</v>
      </c>
      <c r="I255">
        <v>-0.28787878</v>
      </c>
      <c r="J255">
        <v>0.43708609999999998</v>
      </c>
    </row>
    <row r="256" spans="1:10" x14ac:dyDescent="0.3">
      <c r="A256">
        <v>254</v>
      </c>
      <c r="B256">
        <v>5016</v>
      </c>
      <c r="C256" t="b">
        <v>1</v>
      </c>
      <c r="D256">
        <v>8083</v>
      </c>
      <c r="E256">
        <v>8093</v>
      </c>
      <c r="F256">
        <v>256.13333</v>
      </c>
      <c r="G256">
        <v>198</v>
      </c>
      <c r="H256">
        <v>1.2936027000000001</v>
      </c>
      <c r="I256">
        <v>-0.29360268</v>
      </c>
      <c r="J256">
        <v>0.43599529999999997</v>
      </c>
    </row>
    <row r="257" spans="1:10" x14ac:dyDescent="0.3">
      <c r="A257">
        <v>255</v>
      </c>
      <c r="B257">
        <v>5032</v>
      </c>
      <c r="C257" t="b">
        <v>1</v>
      </c>
      <c r="D257">
        <v>8100</v>
      </c>
      <c r="E257">
        <v>8111</v>
      </c>
      <c r="F257">
        <v>257.26666</v>
      </c>
      <c r="G257">
        <v>198</v>
      </c>
      <c r="H257">
        <v>1.2993265000000001</v>
      </c>
      <c r="I257">
        <v>-0.29932657000000001</v>
      </c>
      <c r="J257">
        <v>0.43490993999999999</v>
      </c>
    </row>
    <row r="258" spans="1:10" x14ac:dyDescent="0.3">
      <c r="A258">
        <v>256</v>
      </c>
      <c r="B258">
        <v>5064</v>
      </c>
      <c r="C258" t="b">
        <v>1</v>
      </c>
      <c r="D258">
        <v>8111</v>
      </c>
      <c r="E258">
        <v>8111</v>
      </c>
      <c r="F258">
        <v>258.39999999999998</v>
      </c>
      <c r="G258">
        <v>198</v>
      </c>
      <c r="H258">
        <v>1.3050504999999999</v>
      </c>
      <c r="I258">
        <v>-0.30505046000000002</v>
      </c>
      <c r="J258">
        <v>0.43382999999999999</v>
      </c>
    </row>
    <row r="259" spans="1:10" x14ac:dyDescent="0.3">
      <c r="A259">
        <v>257</v>
      </c>
      <c r="B259">
        <v>5080</v>
      </c>
      <c r="C259" t="b">
        <v>1</v>
      </c>
      <c r="D259">
        <v>8117</v>
      </c>
      <c r="E259">
        <v>8111</v>
      </c>
      <c r="F259">
        <v>259.2</v>
      </c>
      <c r="G259">
        <v>198</v>
      </c>
      <c r="H259">
        <v>1.309091</v>
      </c>
      <c r="I259">
        <v>-0.30909097000000002</v>
      </c>
      <c r="J259">
        <v>0.43307087</v>
      </c>
    </row>
    <row r="260" spans="1:10" x14ac:dyDescent="0.3">
      <c r="A260">
        <v>258</v>
      </c>
      <c r="B260">
        <v>5096</v>
      </c>
      <c r="C260" t="b">
        <v>1</v>
      </c>
      <c r="D260">
        <v>8111</v>
      </c>
      <c r="E260">
        <v>8093</v>
      </c>
      <c r="F260">
        <v>259.93331999999998</v>
      </c>
      <c r="G260">
        <v>198</v>
      </c>
      <c r="H260">
        <v>1.3127945999999999</v>
      </c>
      <c r="I260">
        <v>-0.31279454000000001</v>
      </c>
      <c r="J260">
        <v>0.43237736999999998</v>
      </c>
    </row>
    <row r="261" spans="1:10" x14ac:dyDescent="0.3">
      <c r="A261">
        <v>259</v>
      </c>
      <c r="B261">
        <v>5111</v>
      </c>
      <c r="C261" t="b">
        <v>1</v>
      </c>
      <c r="D261">
        <v>8106</v>
      </c>
      <c r="E261">
        <v>8117</v>
      </c>
      <c r="F261">
        <v>260.66665999999998</v>
      </c>
      <c r="G261">
        <v>198</v>
      </c>
      <c r="H261">
        <v>1.3164982999999999</v>
      </c>
      <c r="I261">
        <v>-0.31649828000000002</v>
      </c>
      <c r="J261">
        <v>0.43168603999999999</v>
      </c>
    </row>
    <row r="262" spans="1:10" x14ac:dyDescent="0.3">
      <c r="A262">
        <v>260</v>
      </c>
      <c r="B262">
        <v>5128</v>
      </c>
      <c r="C262" t="b">
        <v>1</v>
      </c>
      <c r="D262">
        <v>8111</v>
      </c>
      <c r="E262">
        <v>8111</v>
      </c>
      <c r="F262">
        <v>261.39999999999998</v>
      </c>
      <c r="G262">
        <v>198</v>
      </c>
      <c r="H262">
        <v>1.3202020000000001</v>
      </c>
      <c r="I262">
        <v>-0.32020199999999999</v>
      </c>
      <c r="J262">
        <v>0.43099694999999999</v>
      </c>
    </row>
    <row r="263" spans="1:10" x14ac:dyDescent="0.3">
      <c r="A263">
        <v>261</v>
      </c>
      <c r="B263">
        <v>5144</v>
      </c>
      <c r="C263" t="b">
        <v>1</v>
      </c>
      <c r="D263">
        <v>8106</v>
      </c>
      <c r="E263">
        <v>8099</v>
      </c>
      <c r="F263">
        <v>261.73334</v>
      </c>
      <c r="G263">
        <v>198</v>
      </c>
      <c r="H263">
        <v>1.3218856000000001</v>
      </c>
      <c r="I263">
        <v>-0.32188556000000002</v>
      </c>
      <c r="J263">
        <v>0.43068445</v>
      </c>
    </row>
    <row r="264" spans="1:10" x14ac:dyDescent="0.3">
      <c r="A264">
        <v>262</v>
      </c>
      <c r="B264">
        <v>5159</v>
      </c>
      <c r="C264" t="b">
        <v>1</v>
      </c>
      <c r="D264">
        <v>8117</v>
      </c>
      <c r="E264">
        <v>8117</v>
      </c>
      <c r="F264">
        <v>262.06668000000002</v>
      </c>
      <c r="G264">
        <v>197.6</v>
      </c>
      <c r="H264">
        <v>1.3262483</v>
      </c>
      <c r="I264">
        <v>-0.32624835000000002</v>
      </c>
      <c r="J264">
        <v>0.42987671</v>
      </c>
    </row>
    <row r="265" spans="1:10" x14ac:dyDescent="0.3">
      <c r="A265">
        <v>263</v>
      </c>
      <c r="B265">
        <v>5175</v>
      </c>
      <c r="C265" t="b">
        <v>1</v>
      </c>
      <c r="D265">
        <v>8094</v>
      </c>
      <c r="E265">
        <v>8117</v>
      </c>
      <c r="F265">
        <v>262.86667</v>
      </c>
      <c r="G265">
        <v>197.6</v>
      </c>
      <c r="H265">
        <v>1.3302969</v>
      </c>
      <c r="I265">
        <v>-0.33029687000000002</v>
      </c>
      <c r="J265">
        <v>0.42912987000000002</v>
      </c>
    </row>
    <row r="266" spans="1:10" x14ac:dyDescent="0.3">
      <c r="A266">
        <v>264</v>
      </c>
      <c r="B266">
        <v>5191</v>
      </c>
      <c r="C266" t="b">
        <v>1</v>
      </c>
      <c r="D266">
        <v>8088</v>
      </c>
      <c r="E266">
        <v>8117</v>
      </c>
      <c r="F266">
        <v>263.66665999999998</v>
      </c>
      <c r="G266">
        <v>197.6</v>
      </c>
      <c r="H266">
        <v>1.3343453000000001</v>
      </c>
      <c r="I266">
        <v>-0.33434540000000001</v>
      </c>
      <c r="J266">
        <v>0.42838562000000002</v>
      </c>
    </row>
    <row r="267" spans="1:10" x14ac:dyDescent="0.3">
      <c r="A267">
        <v>265</v>
      </c>
      <c r="B267">
        <v>5207</v>
      </c>
      <c r="C267" t="b">
        <v>1</v>
      </c>
      <c r="D267">
        <v>8071</v>
      </c>
      <c r="E267">
        <v>8111</v>
      </c>
      <c r="F267">
        <v>263.66665999999998</v>
      </c>
      <c r="G267">
        <v>197.6</v>
      </c>
      <c r="H267">
        <v>1.3343453000000001</v>
      </c>
      <c r="I267">
        <v>-0.33434540000000001</v>
      </c>
      <c r="J267">
        <v>0.42838562000000002</v>
      </c>
    </row>
    <row r="268" spans="1:10" x14ac:dyDescent="0.3">
      <c r="A268">
        <v>266</v>
      </c>
      <c r="B268">
        <v>5223</v>
      </c>
      <c r="C268" t="b">
        <v>1</v>
      </c>
      <c r="D268">
        <v>8094</v>
      </c>
      <c r="E268">
        <v>8099</v>
      </c>
      <c r="F268">
        <v>263.66665999999998</v>
      </c>
      <c r="G268">
        <v>197.6</v>
      </c>
      <c r="H268">
        <v>1.3343453000000001</v>
      </c>
      <c r="I268">
        <v>-0.33434540000000001</v>
      </c>
      <c r="J268">
        <v>0.42838562000000002</v>
      </c>
    </row>
    <row r="269" spans="1:10" x14ac:dyDescent="0.3">
      <c r="A269">
        <v>267</v>
      </c>
      <c r="B269">
        <v>5239</v>
      </c>
      <c r="C269" t="b">
        <v>1</v>
      </c>
      <c r="D269">
        <v>8094</v>
      </c>
      <c r="E269">
        <v>8093</v>
      </c>
      <c r="F269">
        <v>263.26666</v>
      </c>
      <c r="G269">
        <v>197.6</v>
      </c>
      <c r="H269">
        <v>1.3323212</v>
      </c>
      <c r="I269">
        <v>-0.33232114000000001</v>
      </c>
      <c r="J269">
        <v>0.42875742999999999</v>
      </c>
    </row>
    <row r="270" spans="1:10" x14ac:dyDescent="0.3">
      <c r="A270">
        <v>268</v>
      </c>
      <c r="B270">
        <v>5255</v>
      </c>
      <c r="C270" t="b">
        <v>1</v>
      </c>
      <c r="D270">
        <v>8117</v>
      </c>
      <c r="E270">
        <v>8105</v>
      </c>
      <c r="F270">
        <v>262.86667</v>
      </c>
      <c r="G270">
        <v>197.2</v>
      </c>
      <c r="H270">
        <v>1.3329953000000001</v>
      </c>
      <c r="I270">
        <v>-0.33299529999999999</v>
      </c>
      <c r="J270">
        <v>0.42863353999999998</v>
      </c>
    </row>
    <row r="271" spans="1:10" x14ac:dyDescent="0.3">
      <c r="A271">
        <v>269</v>
      </c>
      <c r="B271">
        <v>5271</v>
      </c>
      <c r="C271" t="b">
        <v>1</v>
      </c>
      <c r="D271">
        <v>8088</v>
      </c>
      <c r="E271">
        <v>8117</v>
      </c>
      <c r="F271">
        <v>262.46667000000002</v>
      </c>
      <c r="G271">
        <v>196.8</v>
      </c>
      <c r="H271">
        <v>1.3336722000000001</v>
      </c>
      <c r="I271">
        <v>-0.33367210000000003</v>
      </c>
      <c r="J271">
        <v>0.42850924000000001</v>
      </c>
    </row>
    <row r="272" spans="1:10" x14ac:dyDescent="0.3">
      <c r="A272">
        <v>270</v>
      </c>
      <c r="B272">
        <v>5287</v>
      </c>
      <c r="C272" t="b">
        <v>1</v>
      </c>
      <c r="D272">
        <v>8065</v>
      </c>
      <c r="E272">
        <v>8111</v>
      </c>
      <c r="F272">
        <v>262.06668000000002</v>
      </c>
      <c r="G272">
        <v>196.4</v>
      </c>
      <c r="H272">
        <v>1.3343518000000001</v>
      </c>
      <c r="I272">
        <v>-0.33435177999999999</v>
      </c>
      <c r="J272">
        <v>0.42838445000000003</v>
      </c>
    </row>
    <row r="273" spans="1:10" x14ac:dyDescent="0.3">
      <c r="A273">
        <v>271</v>
      </c>
      <c r="B273">
        <v>5303</v>
      </c>
      <c r="C273" t="b">
        <v>1</v>
      </c>
      <c r="D273">
        <v>8106</v>
      </c>
      <c r="E273">
        <v>8123</v>
      </c>
      <c r="F273">
        <v>261.66665999999998</v>
      </c>
      <c r="G273">
        <v>196.4</v>
      </c>
      <c r="H273">
        <v>1.3323149999999999</v>
      </c>
      <c r="I273">
        <v>-0.33231500000000003</v>
      </c>
      <c r="J273">
        <v>0.42875856000000001</v>
      </c>
    </row>
    <row r="274" spans="1:10" x14ac:dyDescent="0.3">
      <c r="A274">
        <v>272</v>
      </c>
      <c r="B274">
        <v>5319</v>
      </c>
      <c r="C274" t="b">
        <v>1</v>
      </c>
      <c r="D274">
        <v>8088</v>
      </c>
      <c r="E274">
        <v>8117</v>
      </c>
      <c r="F274">
        <v>260.86667</v>
      </c>
      <c r="G274">
        <v>196.8</v>
      </c>
      <c r="H274">
        <v>1.325542</v>
      </c>
      <c r="I274">
        <v>-0.325542</v>
      </c>
      <c r="J274">
        <v>0.43000727999999999</v>
      </c>
    </row>
    <row r="275" spans="1:10" x14ac:dyDescent="0.3">
      <c r="A275">
        <v>273</v>
      </c>
      <c r="B275">
        <v>5335</v>
      </c>
      <c r="C275" t="b">
        <v>1</v>
      </c>
      <c r="D275">
        <v>8106</v>
      </c>
      <c r="E275">
        <v>8099</v>
      </c>
      <c r="F275">
        <v>259.33334000000002</v>
      </c>
      <c r="G275">
        <v>197.2</v>
      </c>
      <c r="H275">
        <v>1.3150778000000001</v>
      </c>
      <c r="I275">
        <v>-0.31507784</v>
      </c>
      <c r="J275">
        <v>0.43195093000000001</v>
      </c>
    </row>
    <row r="276" spans="1:10" x14ac:dyDescent="0.3">
      <c r="A276">
        <v>274</v>
      </c>
      <c r="B276">
        <v>5351</v>
      </c>
      <c r="C276" t="b">
        <v>1</v>
      </c>
      <c r="D276">
        <v>8088</v>
      </c>
      <c r="E276">
        <v>8099</v>
      </c>
      <c r="F276">
        <v>257.8</v>
      </c>
      <c r="G276">
        <v>197.2</v>
      </c>
      <c r="H276">
        <v>1.3073022000000001</v>
      </c>
      <c r="I276">
        <v>-0.30730217999999998</v>
      </c>
      <c r="J276">
        <v>0.43340659999999998</v>
      </c>
    </row>
    <row r="277" spans="1:10" x14ac:dyDescent="0.3">
      <c r="A277">
        <v>275</v>
      </c>
      <c r="B277">
        <v>5366</v>
      </c>
      <c r="C277" t="b">
        <v>1</v>
      </c>
      <c r="D277">
        <v>8094</v>
      </c>
      <c r="E277">
        <v>8117</v>
      </c>
      <c r="F277">
        <v>256.66665999999998</v>
      </c>
      <c r="G277">
        <v>197.6</v>
      </c>
      <c r="H277">
        <v>1.2989203</v>
      </c>
      <c r="I277">
        <v>-0.29892026999999999</v>
      </c>
      <c r="J277">
        <v>0.43498680000000001</v>
      </c>
    </row>
    <row r="278" spans="1:10" x14ac:dyDescent="0.3">
      <c r="A278">
        <v>276</v>
      </c>
      <c r="B278">
        <v>5382</v>
      </c>
      <c r="C278" t="b">
        <v>1</v>
      </c>
      <c r="D278">
        <v>8100</v>
      </c>
      <c r="E278">
        <v>8117</v>
      </c>
      <c r="F278">
        <v>255.53334000000001</v>
      </c>
      <c r="G278">
        <v>198</v>
      </c>
      <c r="H278">
        <v>1.2905724000000001</v>
      </c>
      <c r="I278">
        <v>-0.29057242999999999</v>
      </c>
      <c r="J278">
        <v>0.43657210000000002</v>
      </c>
    </row>
    <row r="279" spans="1:10" x14ac:dyDescent="0.3">
      <c r="A279">
        <v>277</v>
      </c>
      <c r="B279">
        <v>5398</v>
      </c>
      <c r="C279" t="b">
        <v>1</v>
      </c>
      <c r="D279">
        <v>8083</v>
      </c>
      <c r="E279">
        <v>8117</v>
      </c>
      <c r="F279">
        <v>254.4</v>
      </c>
      <c r="G279">
        <v>198.4</v>
      </c>
      <c r="H279">
        <v>1.2822579999999999</v>
      </c>
      <c r="I279">
        <v>-0.28225805999999998</v>
      </c>
      <c r="J279">
        <v>0.43816253999999999</v>
      </c>
    </row>
    <row r="280" spans="1:10" x14ac:dyDescent="0.3">
      <c r="A280">
        <v>278</v>
      </c>
      <c r="B280">
        <v>5430</v>
      </c>
      <c r="C280" t="b">
        <v>1</v>
      </c>
      <c r="D280">
        <v>8094</v>
      </c>
      <c r="E280">
        <v>8111</v>
      </c>
      <c r="F280">
        <v>253.6</v>
      </c>
      <c r="G280">
        <v>198.4</v>
      </c>
      <c r="H280">
        <v>1.2782259</v>
      </c>
      <c r="I280">
        <v>-0.27822586999999999</v>
      </c>
      <c r="J280">
        <v>0.43893805000000002</v>
      </c>
    </row>
    <row r="281" spans="1:10" x14ac:dyDescent="0.3">
      <c r="A281">
        <v>279</v>
      </c>
      <c r="B281">
        <v>5446</v>
      </c>
      <c r="C281" t="b">
        <v>1</v>
      </c>
      <c r="D281">
        <v>8106</v>
      </c>
      <c r="E281">
        <v>8129</v>
      </c>
      <c r="F281">
        <v>252.8</v>
      </c>
      <c r="G281">
        <v>198.4</v>
      </c>
      <c r="H281">
        <v>1.2741936</v>
      </c>
      <c r="I281">
        <v>-0.27419359999999998</v>
      </c>
      <c r="J281">
        <v>0.43971628000000001</v>
      </c>
    </row>
    <row r="282" spans="1:10" x14ac:dyDescent="0.3">
      <c r="A282">
        <v>280</v>
      </c>
      <c r="B282">
        <v>5462</v>
      </c>
      <c r="C282" t="b">
        <v>1</v>
      </c>
      <c r="D282">
        <v>8094</v>
      </c>
      <c r="E282">
        <v>8105</v>
      </c>
      <c r="F282">
        <v>252.8</v>
      </c>
      <c r="G282">
        <v>198.4</v>
      </c>
      <c r="H282">
        <v>1.2741936</v>
      </c>
      <c r="I282">
        <v>-0.27419359999999998</v>
      </c>
      <c r="J282">
        <v>0.43971628000000001</v>
      </c>
    </row>
    <row r="283" spans="1:10" x14ac:dyDescent="0.3">
      <c r="A283">
        <v>281</v>
      </c>
      <c r="B283">
        <v>5478</v>
      </c>
      <c r="C283" t="b">
        <v>1</v>
      </c>
      <c r="D283">
        <v>8100</v>
      </c>
      <c r="E283">
        <v>8134</v>
      </c>
      <c r="F283">
        <v>252.8</v>
      </c>
      <c r="G283">
        <v>198.4</v>
      </c>
      <c r="H283">
        <v>1.2741936</v>
      </c>
      <c r="I283">
        <v>-0.27419359999999998</v>
      </c>
      <c r="J283">
        <v>0.43971628000000001</v>
      </c>
    </row>
    <row r="284" spans="1:10" x14ac:dyDescent="0.3">
      <c r="A284">
        <v>282</v>
      </c>
      <c r="B284">
        <v>5494</v>
      </c>
      <c r="C284" t="b">
        <v>1</v>
      </c>
      <c r="D284">
        <v>8100</v>
      </c>
      <c r="E284">
        <v>8087</v>
      </c>
      <c r="F284">
        <v>253.2</v>
      </c>
      <c r="G284">
        <v>198.4</v>
      </c>
      <c r="H284">
        <v>1.2762096999999999</v>
      </c>
      <c r="I284">
        <v>-0.2762097</v>
      </c>
      <c r="J284">
        <v>0.43932684999999999</v>
      </c>
    </row>
    <row r="285" spans="1:10" x14ac:dyDescent="0.3">
      <c r="A285">
        <v>283</v>
      </c>
      <c r="B285">
        <v>5527</v>
      </c>
      <c r="C285" t="b">
        <v>1</v>
      </c>
      <c r="D285">
        <v>8106</v>
      </c>
      <c r="E285">
        <v>8134</v>
      </c>
      <c r="F285">
        <v>253.6</v>
      </c>
      <c r="G285">
        <v>200</v>
      </c>
      <c r="H285">
        <v>1.268</v>
      </c>
      <c r="I285">
        <v>-0.26800003999999999</v>
      </c>
      <c r="J285">
        <v>0.44091710000000001</v>
      </c>
    </row>
    <row r="286" spans="1:10" x14ac:dyDescent="0.3">
      <c r="A286">
        <v>284</v>
      </c>
      <c r="B286">
        <v>5558</v>
      </c>
      <c r="C286" t="b">
        <v>1</v>
      </c>
      <c r="D286">
        <v>8088</v>
      </c>
      <c r="E286">
        <v>8105</v>
      </c>
      <c r="F286">
        <v>254</v>
      </c>
      <c r="G286">
        <v>200</v>
      </c>
      <c r="H286">
        <v>1.27</v>
      </c>
      <c r="I286">
        <v>-0.27</v>
      </c>
      <c r="J286">
        <v>0.44052862999999998</v>
      </c>
    </row>
    <row r="287" spans="1:10" x14ac:dyDescent="0.3">
      <c r="A287">
        <v>285</v>
      </c>
      <c r="B287">
        <v>5574</v>
      </c>
      <c r="C287" t="b">
        <v>1</v>
      </c>
      <c r="D287">
        <v>8071</v>
      </c>
      <c r="E287">
        <v>8117</v>
      </c>
      <c r="F287">
        <v>254.4</v>
      </c>
      <c r="G287">
        <v>200.8</v>
      </c>
      <c r="H287">
        <v>1.2669322000000001</v>
      </c>
      <c r="I287">
        <v>-0.26693222</v>
      </c>
      <c r="J287">
        <v>0.44112477</v>
      </c>
    </row>
    <row r="288" spans="1:10" x14ac:dyDescent="0.3">
      <c r="A288">
        <v>286</v>
      </c>
      <c r="B288">
        <v>5589</v>
      </c>
      <c r="C288" t="b">
        <v>1</v>
      </c>
      <c r="D288">
        <v>8106</v>
      </c>
      <c r="E288">
        <v>8111</v>
      </c>
      <c r="F288">
        <v>254.8</v>
      </c>
      <c r="G288">
        <v>200.8</v>
      </c>
      <c r="H288">
        <v>1.2689244</v>
      </c>
      <c r="I288">
        <v>-0.26892430000000001</v>
      </c>
      <c r="J288">
        <v>0.4407375</v>
      </c>
    </row>
    <row r="289" spans="1:10" x14ac:dyDescent="0.3">
      <c r="A289">
        <v>287</v>
      </c>
      <c r="B289">
        <v>5622</v>
      </c>
      <c r="C289" t="b">
        <v>1</v>
      </c>
      <c r="D289">
        <v>8100</v>
      </c>
      <c r="E289">
        <v>8111</v>
      </c>
      <c r="F289">
        <v>255.6</v>
      </c>
      <c r="G289">
        <v>200.4</v>
      </c>
      <c r="H289">
        <v>1.2754491999999999</v>
      </c>
      <c r="I289">
        <v>-0.27544916000000003</v>
      </c>
      <c r="J289">
        <v>0.43947365999999999</v>
      </c>
    </row>
    <row r="290" spans="1:10" x14ac:dyDescent="0.3">
      <c r="A290">
        <v>288</v>
      </c>
      <c r="B290">
        <v>5654</v>
      </c>
      <c r="C290" t="b">
        <v>1</v>
      </c>
      <c r="D290">
        <v>8111</v>
      </c>
      <c r="E290">
        <v>8111</v>
      </c>
      <c r="F290">
        <v>256.39999999999998</v>
      </c>
      <c r="G290">
        <v>200</v>
      </c>
      <c r="H290">
        <v>1.282</v>
      </c>
      <c r="I290">
        <v>-0.28199997999999998</v>
      </c>
      <c r="J290">
        <v>0.43821209999999999</v>
      </c>
    </row>
    <row r="291" spans="1:10" x14ac:dyDescent="0.3">
      <c r="A291">
        <v>289</v>
      </c>
      <c r="B291">
        <v>5684</v>
      </c>
      <c r="C291" t="b">
        <v>1</v>
      </c>
      <c r="D291">
        <v>8106</v>
      </c>
      <c r="E291">
        <v>8117</v>
      </c>
      <c r="F291">
        <v>257.60000000000002</v>
      </c>
      <c r="G291">
        <v>200</v>
      </c>
      <c r="H291">
        <v>1.288</v>
      </c>
      <c r="I291">
        <v>-0.28800002000000002</v>
      </c>
      <c r="J291">
        <v>0.43706292000000002</v>
      </c>
    </row>
    <row r="292" spans="1:10" x14ac:dyDescent="0.3">
      <c r="A292">
        <v>290</v>
      </c>
      <c r="B292">
        <v>5700</v>
      </c>
      <c r="C292" t="b">
        <v>1</v>
      </c>
      <c r="D292">
        <v>8094</v>
      </c>
      <c r="E292">
        <v>8093</v>
      </c>
      <c r="F292">
        <v>258.39999999999998</v>
      </c>
      <c r="G292">
        <v>199.6</v>
      </c>
      <c r="H292">
        <v>1.2945892000000001</v>
      </c>
      <c r="I292">
        <v>-0.29458909999999999</v>
      </c>
      <c r="J292">
        <v>0.43580787999999998</v>
      </c>
    </row>
    <row r="293" spans="1:10" x14ac:dyDescent="0.3">
      <c r="A293">
        <v>291</v>
      </c>
      <c r="B293">
        <v>5716</v>
      </c>
      <c r="C293" t="b">
        <v>1</v>
      </c>
      <c r="D293">
        <v>8106</v>
      </c>
      <c r="E293">
        <v>8093</v>
      </c>
      <c r="F293">
        <v>259.2</v>
      </c>
      <c r="G293">
        <v>199.2</v>
      </c>
      <c r="H293">
        <v>1.3012049000000001</v>
      </c>
      <c r="I293">
        <v>-0.3012049</v>
      </c>
      <c r="J293">
        <v>0.43455493000000001</v>
      </c>
    </row>
    <row r="294" spans="1:10" x14ac:dyDescent="0.3">
      <c r="A294">
        <v>292</v>
      </c>
      <c r="B294">
        <v>5732</v>
      </c>
      <c r="C294" t="b">
        <v>1</v>
      </c>
      <c r="D294">
        <v>8129</v>
      </c>
      <c r="E294">
        <v>8117</v>
      </c>
      <c r="F294">
        <v>260</v>
      </c>
      <c r="G294">
        <v>198.8</v>
      </c>
      <c r="H294">
        <v>1.307847</v>
      </c>
      <c r="I294">
        <v>-0.30784705000000001</v>
      </c>
      <c r="J294">
        <v>0.43330427999999999</v>
      </c>
    </row>
    <row r="295" spans="1:10" x14ac:dyDescent="0.3">
      <c r="A295">
        <v>293</v>
      </c>
      <c r="B295">
        <v>5764</v>
      </c>
      <c r="C295" t="b">
        <v>1</v>
      </c>
      <c r="D295">
        <v>8111</v>
      </c>
      <c r="E295">
        <v>8117</v>
      </c>
      <c r="F295">
        <v>260.8</v>
      </c>
      <c r="G295">
        <v>198.8</v>
      </c>
      <c r="H295">
        <v>1.3118711999999999</v>
      </c>
      <c r="I295">
        <v>-0.31187113999999999</v>
      </c>
      <c r="J295">
        <v>0.43255007000000001</v>
      </c>
    </row>
    <row r="296" spans="1:10" x14ac:dyDescent="0.3">
      <c r="A296">
        <v>294</v>
      </c>
      <c r="B296">
        <v>5779</v>
      </c>
      <c r="C296" t="b">
        <v>1</v>
      </c>
      <c r="D296">
        <v>8111</v>
      </c>
      <c r="E296">
        <v>8105</v>
      </c>
      <c r="F296">
        <v>261.93331999999998</v>
      </c>
      <c r="G296">
        <v>198</v>
      </c>
      <c r="H296">
        <v>1.3228955</v>
      </c>
      <c r="I296">
        <v>-0.32289556000000003</v>
      </c>
      <c r="J296">
        <v>0.43049720000000002</v>
      </c>
    </row>
    <row r="297" spans="1:10" x14ac:dyDescent="0.3">
      <c r="A297">
        <v>295</v>
      </c>
      <c r="B297">
        <v>5795</v>
      </c>
      <c r="C297" t="b">
        <v>1</v>
      </c>
      <c r="D297">
        <v>8117</v>
      </c>
      <c r="E297">
        <v>8099</v>
      </c>
      <c r="F297">
        <v>263.06668000000002</v>
      </c>
      <c r="G297">
        <v>197.2</v>
      </c>
      <c r="H297">
        <v>1.3340095000000001</v>
      </c>
      <c r="I297">
        <v>-0.33400955999999998</v>
      </c>
      <c r="J297">
        <v>0.42844727999999999</v>
      </c>
    </row>
    <row r="298" spans="1:10" x14ac:dyDescent="0.3">
      <c r="A298">
        <v>296</v>
      </c>
      <c r="B298">
        <v>5811</v>
      </c>
      <c r="C298" t="b">
        <v>1</v>
      </c>
      <c r="D298">
        <v>8100</v>
      </c>
      <c r="E298">
        <v>8093</v>
      </c>
      <c r="F298">
        <v>264.2</v>
      </c>
      <c r="G298">
        <v>196.4</v>
      </c>
      <c r="H298">
        <v>1.3452139999999999</v>
      </c>
      <c r="I298">
        <v>-0.34521394999999999</v>
      </c>
      <c r="J298">
        <v>0.42640032999999999</v>
      </c>
    </row>
    <row r="299" spans="1:10" x14ac:dyDescent="0.3">
      <c r="A299">
        <v>297</v>
      </c>
      <c r="B299">
        <v>5827</v>
      </c>
      <c r="C299" t="b">
        <v>1</v>
      </c>
      <c r="D299">
        <v>8106</v>
      </c>
      <c r="E299">
        <v>8099</v>
      </c>
      <c r="F299">
        <v>264.93331999999998</v>
      </c>
      <c r="G299">
        <v>195.6</v>
      </c>
      <c r="H299">
        <v>1.3544647999999999</v>
      </c>
      <c r="I299">
        <v>-0.35446476999999998</v>
      </c>
      <c r="J299">
        <v>0.42472496999999998</v>
      </c>
    </row>
    <row r="300" spans="1:10" x14ac:dyDescent="0.3">
      <c r="A300">
        <v>298</v>
      </c>
      <c r="B300">
        <v>5843</v>
      </c>
      <c r="C300" t="b">
        <v>1</v>
      </c>
      <c r="D300">
        <v>8106</v>
      </c>
      <c r="E300">
        <v>8117</v>
      </c>
      <c r="F300">
        <v>265.33334000000002</v>
      </c>
      <c r="G300">
        <v>193.6</v>
      </c>
      <c r="H300">
        <v>1.3705235</v>
      </c>
      <c r="I300">
        <v>-0.37052341999999999</v>
      </c>
      <c r="J300">
        <v>0.42184776000000002</v>
      </c>
    </row>
    <row r="301" spans="1:10" x14ac:dyDescent="0.3">
      <c r="A301">
        <v>299</v>
      </c>
      <c r="B301">
        <v>5859</v>
      </c>
      <c r="C301" t="b">
        <v>1</v>
      </c>
      <c r="D301">
        <v>8094</v>
      </c>
      <c r="E301">
        <v>8123</v>
      </c>
      <c r="F301">
        <v>265.73334</v>
      </c>
      <c r="G301">
        <v>193.2</v>
      </c>
      <c r="H301">
        <v>1.3754314000000001</v>
      </c>
      <c r="I301">
        <v>-0.37543140000000003</v>
      </c>
      <c r="J301">
        <v>0.42097615999999999</v>
      </c>
    </row>
    <row r="302" spans="1:10" x14ac:dyDescent="0.3">
      <c r="A302">
        <v>300</v>
      </c>
      <c r="B302">
        <v>5875</v>
      </c>
      <c r="C302" t="b">
        <v>1</v>
      </c>
      <c r="D302">
        <v>8106</v>
      </c>
      <c r="E302">
        <v>8099</v>
      </c>
      <c r="F302">
        <v>266.13333</v>
      </c>
      <c r="G302">
        <v>192</v>
      </c>
      <c r="H302">
        <v>1.3861110999999999</v>
      </c>
      <c r="I302">
        <v>-0.38611109999999998</v>
      </c>
      <c r="J302">
        <v>0.41909196999999998</v>
      </c>
    </row>
    <row r="303" spans="1:10" x14ac:dyDescent="0.3">
      <c r="A303">
        <v>301</v>
      </c>
      <c r="B303">
        <v>5891</v>
      </c>
      <c r="C303" t="b">
        <v>1</v>
      </c>
      <c r="D303">
        <v>8100</v>
      </c>
      <c r="E303">
        <v>8111</v>
      </c>
      <c r="F303">
        <v>266.53332999999998</v>
      </c>
      <c r="G303">
        <v>192</v>
      </c>
      <c r="H303">
        <v>1.3881943999999999</v>
      </c>
      <c r="I303">
        <v>-0.3881944</v>
      </c>
      <c r="J303">
        <v>0.41872638000000001</v>
      </c>
    </row>
    <row r="304" spans="1:10" x14ac:dyDescent="0.3">
      <c r="A304">
        <v>302</v>
      </c>
      <c r="B304">
        <v>5907</v>
      </c>
      <c r="C304" t="b">
        <v>1</v>
      </c>
      <c r="D304">
        <v>8094</v>
      </c>
      <c r="E304">
        <v>8099</v>
      </c>
      <c r="F304">
        <v>266.53332999999998</v>
      </c>
      <c r="G304">
        <v>192</v>
      </c>
      <c r="H304">
        <v>1.3881943999999999</v>
      </c>
      <c r="I304">
        <v>-0.3881944</v>
      </c>
      <c r="J304">
        <v>0.41872638000000001</v>
      </c>
    </row>
    <row r="305" spans="1:10" x14ac:dyDescent="0.3">
      <c r="A305">
        <v>303</v>
      </c>
      <c r="B305">
        <v>5923</v>
      </c>
      <c r="C305" t="b">
        <v>1</v>
      </c>
      <c r="D305">
        <v>8117</v>
      </c>
      <c r="E305">
        <v>8134</v>
      </c>
      <c r="F305">
        <v>266.53332999999998</v>
      </c>
      <c r="G305">
        <v>192</v>
      </c>
      <c r="H305">
        <v>1.3881943999999999</v>
      </c>
      <c r="I305">
        <v>-0.3881944</v>
      </c>
      <c r="J305">
        <v>0.41872638000000001</v>
      </c>
    </row>
    <row r="306" spans="1:10" x14ac:dyDescent="0.3">
      <c r="A306">
        <v>304</v>
      </c>
      <c r="B306">
        <v>5938</v>
      </c>
      <c r="C306" t="b">
        <v>1</v>
      </c>
      <c r="D306">
        <v>8077</v>
      </c>
      <c r="E306">
        <v>8134</v>
      </c>
      <c r="F306">
        <v>266.13333</v>
      </c>
      <c r="G306">
        <v>192</v>
      </c>
      <c r="H306">
        <v>1.3861110999999999</v>
      </c>
      <c r="I306">
        <v>-0.38611109999999998</v>
      </c>
      <c r="J306">
        <v>0.41909196999999998</v>
      </c>
    </row>
    <row r="307" spans="1:10" x14ac:dyDescent="0.3">
      <c r="A307">
        <v>305</v>
      </c>
      <c r="B307">
        <v>5970</v>
      </c>
      <c r="C307" t="b">
        <v>1</v>
      </c>
      <c r="D307">
        <v>8111</v>
      </c>
      <c r="E307">
        <v>8123</v>
      </c>
      <c r="F307">
        <v>265.73334</v>
      </c>
      <c r="G307">
        <v>192.8</v>
      </c>
      <c r="H307">
        <v>1.3782848999999999</v>
      </c>
      <c r="I307">
        <v>-0.37828493000000002</v>
      </c>
      <c r="J307">
        <v>0.42047107</v>
      </c>
    </row>
    <row r="308" spans="1:10" x14ac:dyDescent="0.3">
      <c r="A308">
        <v>306</v>
      </c>
      <c r="B308">
        <v>5986</v>
      </c>
      <c r="C308" t="b">
        <v>1</v>
      </c>
      <c r="D308">
        <v>8106</v>
      </c>
      <c r="E308">
        <v>8117</v>
      </c>
      <c r="F308">
        <v>265.73334</v>
      </c>
      <c r="G308">
        <v>193.6</v>
      </c>
      <c r="H308">
        <v>1.3725894999999999</v>
      </c>
      <c r="I308">
        <v>-0.37258950000000002</v>
      </c>
      <c r="J308">
        <v>0.42148042000000002</v>
      </c>
    </row>
    <row r="309" spans="1:10" x14ac:dyDescent="0.3">
      <c r="A309">
        <v>307</v>
      </c>
      <c r="B309">
        <v>6002</v>
      </c>
      <c r="C309" t="b">
        <v>1</v>
      </c>
      <c r="D309">
        <v>8100</v>
      </c>
      <c r="E309">
        <v>8111</v>
      </c>
      <c r="F309">
        <v>265.73334</v>
      </c>
      <c r="G309">
        <v>194.4</v>
      </c>
      <c r="H309">
        <v>1.3669411</v>
      </c>
      <c r="I309">
        <v>-0.36694105999999999</v>
      </c>
      <c r="J309">
        <v>0.42248622000000002</v>
      </c>
    </row>
    <row r="310" spans="1:10" x14ac:dyDescent="0.3">
      <c r="A310">
        <v>308</v>
      </c>
      <c r="B310">
        <v>6018</v>
      </c>
      <c r="C310" t="b">
        <v>1</v>
      </c>
      <c r="D310">
        <v>8088</v>
      </c>
      <c r="E310">
        <v>8129</v>
      </c>
      <c r="F310">
        <v>265.33334000000002</v>
      </c>
      <c r="G310">
        <v>194.8</v>
      </c>
      <c r="H310">
        <v>1.3620808</v>
      </c>
      <c r="I310">
        <v>-0.36208077999999999</v>
      </c>
      <c r="J310">
        <v>0.42335551999999999</v>
      </c>
    </row>
    <row r="311" spans="1:10" x14ac:dyDescent="0.3">
      <c r="A311">
        <v>309</v>
      </c>
      <c r="B311">
        <v>6034</v>
      </c>
      <c r="C311" t="b">
        <v>1</v>
      </c>
      <c r="D311">
        <v>8106</v>
      </c>
      <c r="E311">
        <v>8093</v>
      </c>
      <c r="F311">
        <v>265</v>
      </c>
      <c r="G311">
        <v>195.6</v>
      </c>
      <c r="H311">
        <v>1.3548057</v>
      </c>
      <c r="I311">
        <v>-0.35480568000000001</v>
      </c>
      <c r="J311">
        <v>0.42466347999999998</v>
      </c>
    </row>
    <row r="312" spans="1:10" x14ac:dyDescent="0.3">
      <c r="A312">
        <v>310</v>
      </c>
      <c r="B312">
        <v>6050</v>
      </c>
      <c r="C312" t="b">
        <v>1</v>
      </c>
      <c r="D312">
        <v>8106</v>
      </c>
      <c r="E312">
        <v>8111</v>
      </c>
      <c r="F312">
        <v>264.66665999999998</v>
      </c>
      <c r="G312">
        <v>196</v>
      </c>
      <c r="H312">
        <v>1.3503400999999999</v>
      </c>
      <c r="I312">
        <v>-0.35034009999999999</v>
      </c>
      <c r="J312">
        <v>0.42547035</v>
      </c>
    </row>
    <row r="313" spans="1:10" x14ac:dyDescent="0.3">
      <c r="A313">
        <v>311</v>
      </c>
      <c r="B313">
        <v>6081</v>
      </c>
      <c r="C313" t="b">
        <v>1</v>
      </c>
      <c r="D313">
        <v>8106</v>
      </c>
      <c r="E313">
        <v>8129</v>
      </c>
      <c r="F313">
        <v>264.33334000000002</v>
      </c>
      <c r="G313">
        <v>196.4</v>
      </c>
      <c r="H313">
        <v>1.3458927999999999</v>
      </c>
      <c r="I313">
        <v>-0.34589281999999999</v>
      </c>
      <c r="J313">
        <v>0.42627692</v>
      </c>
    </row>
    <row r="314" spans="1:10" x14ac:dyDescent="0.3">
      <c r="A314">
        <v>312</v>
      </c>
      <c r="B314">
        <v>6097</v>
      </c>
      <c r="C314" t="b">
        <v>1</v>
      </c>
      <c r="D314">
        <v>8094</v>
      </c>
      <c r="E314">
        <v>8117</v>
      </c>
      <c r="F314">
        <v>264</v>
      </c>
      <c r="G314">
        <v>197.6</v>
      </c>
      <c r="H314">
        <v>1.3360323999999999</v>
      </c>
      <c r="I314">
        <v>-0.33603235999999997</v>
      </c>
      <c r="J314">
        <v>0.42807626999999998</v>
      </c>
    </row>
    <row r="315" spans="1:10" x14ac:dyDescent="0.3">
      <c r="A315">
        <v>313</v>
      </c>
      <c r="B315">
        <v>6128</v>
      </c>
      <c r="C315" t="b">
        <v>1</v>
      </c>
      <c r="D315">
        <v>8071</v>
      </c>
      <c r="E315">
        <v>8105</v>
      </c>
      <c r="F315">
        <v>264</v>
      </c>
      <c r="G315">
        <v>198.4</v>
      </c>
      <c r="H315">
        <v>1.3306452</v>
      </c>
      <c r="I315">
        <v>-0.33064519999999997</v>
      </c>
      <c r="J315">
        <v>0.42906572999999998</v>
      </c>
    </row>
    <row r="316" spans="1:10" x14ac:dyDescent="0.3">
      <c r="A316">
        <v>314</v>
      </c>
      <c r="B316">
        <v>6144</v>
      </c>
      <c r="C316" t="b">
        <v>1</v>
      </c>
      <c r="D316">
        <v>8106</v>
      </c>
      <c r="E316">
        <v>8117</v>
      </c>
      <c r="F316">
        <v>264</v>
      </c>
      <c r="G316">
        <v>199.6</v>
      </c>
      <c r="H316">
        <v>1.3226453</v>
      </c>
      <c r="I316">
        <v>-0.32264524999999999</v>
      </c>
      <c r="J316">
        <v>0.43054356999999999</v>
      </c>
    </row>
    <row r="317" spans="1:10" x14ac:dyDescent="0.3">
      <c r="A317">
        <v>315</v>
      </c>
      <c r="B317">
        <v>6160</v>
      </c>
      <c r="C317" t="b">
        <v>1</v>
      </c>
      <c r="D317">
        <v>8111</v>
      </c>
      <c r="E317">
        <v>8105</v>
      </c>
      <c r="F317">
        <v>264</v>
      </c>
      <c r="G317">
        <v>200.8</v>
      </c>
      <c r="H317">
        <v>1.3147409999999999</v>
      </c>
      <c r="I317">
        <v>-0.31474101999999998</v>
      </c>
      <c r="J317">
        <v>0.43201378000000001</v>
      </c>
    </row>
    <row r="318" spans="1:10" x14ac:dyDescent="0.3">
      <c r="A318">
        <v>316</v>
      </c>
      <c r="B318">
        <v>6175</v>
      </c>
      <c r="C318" t="b">
        <v>1</v>
      </c>
      <c r="D318">
        <v>8100</v>
      </c>
      <c r="E318">
        <v>8117</v>
      </c>
      <c r="F318">
        <v>263.60000000000002</v>
      </c>
      <c r="G318">
        <v>201.2</v>
      </c>
      <c r="H318">
        <v>1.3101392000000001</v>
      </c>
      <c r="I318">
        <v>-0.3101392</v>
      </c>
      <c r="J318">
        <v>0.43287435000000002</v>
      </c>
    </row>
    <row r="319" spans="1:10" x14ac:dyDescent="0.3">
      <c r="A319">
        <v>317</v>
      </c>
      <c r="B319">
        <v>6191</v>
      </c>
      <c r="C319" t="b">
        <v>1</v>
      </c>
      <c r="D319">
        <v>8106</v>
      </c>
      <c r="E319">
        <v>8105</v>
      </c>
      <c r="F319">
        <v>264</v>
      </c>
      <c r="G319">
        <v>200.8</v>
      </c>
      <c r="H319">
        <v>1.3147409999999999</v>
      </c>
      <c r="I319">
        <v>-0.31474101999999998</v>
      </c>
      <c r="J319">
        <v>0.43201378000000001</v>
      </c>
    </row>
    <row r="320" spans="1:10" x14ac:dyDescent="0.3">
      <c r="A320">
        <v>318</v>
      </c>
      <c r="B320">
        <v>6207</v>
      </c>
      <c r="C320" t="b">
        <v>1</v>
      </c>
      <c r="D320">
        <v>8123</v>
      </c>
      <c r="E320">
        <v>8105</v>
      </c>
      <c r="F320">
        <v>264.39999999999998</v>
      </c>
      <c r="G320">
        <v>200.4</v>
      </c>
      <c r="H320">
        <v>1.3193613</v>
      </c>
      <c r="I320">
        <v>-0.31936130000000001</v>
      </c>
      <c r="J320">
        <v>0.43115318000000002</v>
      </c>
    </row>
    <row r="321" spans="1:10" x14ac:dyDescent="0.3">
      <c r="A321">
        <v>319</v>
      </c>
      <c r="B321">
        <v>6222</v>
      </c>
      <c r="C321" t="b">
        <v>1</v>
      </c>
      <c r="D321">
        <v>8088</v>
      </c>
      <c r="E321">
        <v>8111</v>
      </c>
      <c r="F321">
        <v>264.8</v>
      </c>
      <c r="G321">
        <v>200</v>
      </c>
      <c r="H321">
        <v>1.3239999</v>
      </c>
      <c r="I321">
        <v>-0.32399993999999999</v>
      </c>
      <c r="J321">
        <v>0.43029260000000003</v>
      </c>
    </row>
    <row r="322" spans="1:10" x14ac:dyDescent="0.3">
      <c r="A322">
        <v>320</v>
      </c>
      <c r="B322">
        <v>6238</v>
      </c>
      <c r="C322" t="b">
        <v>1</v>
      </c>
      <c r="D322">
        <v>8083</v>
      </c>
      <c r="E322">
        <v>8111</v>
      </c>
      <c r="F322">
        <v>264.8</v>
      </c>
      <c r="G322">
        <v>199.2</v>
      </c>
      <c r="H322">
        <v>1.3293172</v>
      </c>
      <c r="I322">
        <v>-0.32931724000000001</v>
      </c>
      <c r="J322">
        <v>0.42931035000000001</v>
      </c>
    </row>
    <row r="323" spans="1:10" x14ac:dyDescent="0.3">
      <c r="A323">
        <v>321</v>
      </c>
      <c r="B323">
        <v>6254</v>
      </c>
      <c r="C323" t="b">
        <v>1</v>
      </c>
      <c r="D323">
        <v>8094</v>
      </c>
      <c r="E323">
        <v>8081</v>
      </c>
      <c r="F323">
        <v>264</v>
      </c>
      <c r="G323">
        <v>198</v>
      </c>
      <c r="H323">
        <v>1.3333333999999999</v>
      </c>
      <c r="I323">
        <v>-0.33333333999999998</v>
      </c>
      <c r="J323">
        <v>0.42857142999999998</v>
      </c>
    </row>
    <row r="324" spans="1:10" x14ac:dyDescent="0.3">
      <c r="A324">
        <v>322</v>
      </c>
      <c r="B324">
        <v>6270</v>
      </c>
      <c r="C324" t="b">
        <v>1</v>
      </c>
      <c r="D324">
        <v>8117</v>
      </c>
      <c r="E324">
        <v>8105</v>
      </c>
      <c r="F324">
        <v>263.2</v>
      </c>
      <c r="G324">
        <v>196.8</v>
      </c>
      <c r="H324">
        <v>1.3373984000000001</v>
      </c>
      <c r="I324">
        <v>-0.33739839999999999</v>
      </c>
      <c r="J324">
        <v>0.42782609999999999</v>
      </c>
    </row>
    <row r="325" spans="1:10" x14ac:dyDescent="0.3">
      <c r="A325">
        <v>323</v>
      </c>
      <c r="B325">
        <v>6286</v>
      </c>
      <c r="C325" t="b">
        <v>1</v>
      </c>
      <c r="D325">
        <v>8111</v>
      </c>
      <c r="E325">
        <v>8105</v>
      </c>
      <c r="F325">
        <v>262.8</v>
      </c>
      <c r="G325">
        <v>195.6</v>
      </c>
      <c r="H325">
        <v>1.3435581999999999</v>
      </c>
      <c r="I325">
        <v>-0.34355819999999998</v>
      </c>
      <c r="J325">
        <v>0.42670158000000002</v>
      </c>
    </row>
    <row r="326" spans="1:10" x14ac:dyDescent="0.3">
      <c r="A326">
        <v>324</v>
      </c>
      <c r="B326">
        <v>6318</v>
      </c>
      <c r="C326" t="b">
        <v>1</v>
      </c>
      <c r="D326">
        <v>8100</v>
      </c>
      <c r="E326">
        <v>8099</v>
      </c>
      <c r="F326">
        <v>262.39999999999998</v>
      </c>
      <c r="G326">
        <v>194.8</v>
      </c>
      <c r="H326">
        <v>1.3470225</v>
      </c>
      <c r="I326">
        <v>-0.34702253</v>
      </c>
      <c r="J326">
        <v>0.42607172999999998</v>
      </c>
    </row>
    <row r="327" spans="1:10" x14ac:dyDescent="0.3">
      <c r="A327">
        <v>325</v>
      </c>
      <c r="B327">
        <v>6333</v>
      </c>
      <c r="C327" t="b">
        <v>1</v>
      </c>
      <c r="D327">
        <v>8106</v>
      </c>
      <c r="E327">
        <v>8105</v>
      </c>
      <c r="F327">
        <v>262.39999999999998</v>
      </c>
      <c r="G327">
        <v>194.4</v>
      </c>
      <c r="H327">
        <v>1.3497942999999999</v>
      </c>
      <c r="I327">
        <v>-0.34979423999999998</v>
      </c>
      <c r="J327">
        <v>0.42556917999999999</v>
      </c>
    </row>
    <row r="328" spans="1:10" x14ac:dyDescent="0.3">
      <c r="A328">
        <v>326</v>
      </c>
      <c r="B328">
        <v>6349</v>
      </c>
      <c r="C328" t="b">
        <v>1</v>
      </c>
      <c r="D328">
        <v>8106</v>
      </c>
      <c r="E328">
        <v>8087</v>
      </c>
      <c r="F328">
        <v>262.39999999999998</v>
      </c>
      <c r="G328">
        <v>194</v>
      </c>
      <c r="H328">
        <v>1.3525773000000001</v>
      </c>
      <c r="I328">
        <v>-0.35257729999999998</v>
      </c>
      <c r="J328">
        <v>0.42506572999999997</v>
      </c>
    </row>
    <row r="329" spans="1:10" x14ac:dyDescent="0.3">
      <c r="A329">
        <v>327</v>
      </c>
      <c r="B329">
        <v>6365</v>
      </c>
      <c r="C329" t="b">
        <v>1</v>
      </c>
      <c r="D329">
        <v>8106</v>
      </c>
      <c r="E329">
        <v>8099</v>
      </c>
      <c r="F329">
        <v>262.39999999999998</v>
      </c>
      <c r="G329">
        <v>192.8</v>
      </c>
      <c r="H329">
        <v>1.3609958</v>
      </c>
      <c r="I329">
        <v>-0.36099579999999998</v>
      </c>
      <c r="J329">
        <v>0.42355007</v>
      </c>
    </row>
    <row r="330" spans="1:10" x14ac:dyDescent="0.3">
      <c r="A330">
        <v>328</v>
      </c>
      <c r="B330">
        <v>6381</v>
      </c>
      <c r="C330" t="b">
        <v>1</v>
      </c>
      <c r="D330">
        <v>8106</v>
      </c>
      <c r="E330">
        <v>8099</v>
      </c>
      <c r="F330">
        <v>262.39999999999998</v>
      </c>
      <c r="G330">
        <v>192</v>
      </c>
      <c r="H330">
        <v>1.3666666999999999</v>
      </c>
      <c r="I330">
        <v>-0.36666663999999999</v>
      </c>
      <c r="J330">
        <v>0.4225352</v>
      </c>
    </row>
    <row r="331" spans="1:10" x14ac:dyDescent="0.3">
      <c r="A331">
        <v>329</v>
      </c>
      <c r="B331">
        <v>6397</v>
      </c>
      <c r="C331" t="b">
        <v>1</v>
      </c>
      <c r="D331">
        <v>8100</v>
      </c>
      <c r="E331">
        <v>8099</v>
      </c>
      <c r="F331">
        <v>262.39999999999998</v>
      </c>
      <c r="G331">
        <v>190.8</v>
      </c>
      <c r="H331">
        <v>1.375262</v>
      </c>
      <c r="I331">
        <v>-0.37526199999999998</v>
      </c>
      <c r="J331">
        <v>0.42100617000000001</v>
      </c>
    </row>
    <row r="332" spans="1:10" x14ac:dyDescent="0.3">
      <c r="A332">
        <v>330</v>
      </c>
      <c r="B332">
        <v>6429</v>
      </c>
      <c r="C332" t="b">
        <v>1</v>
      </c>
      <c r="D332">
        <v>8117</v>
      </c>
      <c r="E332">
        <v>8105</v>
      </c>
      <c r="F332">
        <v>262.39999999999998</v>
      </c>
      <c r="G332">
        <v>189.6</v>
      </c>
      <c r="H332">
        <v>1.3839661999999999</v>
      </c>
      <c r="I332">
        <v>-0.38396617999999999</v>
      </c>
      <c r="J332">
        <v>0.41946903000000002</v>
      </c>
    </row>
    <row r="333" spans="1:10" x14ac:dyDescent="0.3">
      <c r="A333">
        <v>331</v>
      </c>
      <c r="B333">
        <v>6461</v>
      </c>
      <c r="C333" t="b">
        <v>1</v>
      </c>
      <c r="D333">
        <v>8106</v>
      </c>
      <c r="E333">
        <v>8123</v>
      </c>
      <c r="F333">
        <v>262.8</v>
      </c>
      <c r="G333">
        <v>188.4</v>
      </c>
      <c r="H333">
        <v>1.3949045</v>
      </c>
      <c r="I333">
        <v>-0.39490442999999997</v>
      </c>
      <c r="J333">
        <v>0.41755320000000001</v>
      </c>
    </row>
    <row r="334" spans="1:10" x14ac:dyDescent="0.3">
      <c r="A334">
        <v>332</v>
      </c>
      <c r="B334">
        <v>6476</v>
      </c>
      <c r="C334" t="b">
        <v>1</v>
      </c>
      <c r="D334">
        <v>8123</v>
      </c>
      <c r="E334">
        <v>8099</v>
      </c>
      <c r="F334">
        <v>262.8</v>
      </c>
      <c r="G334">
        <v>188</v>
      </c>
      <c r="H334">
        <v>1.3978723</v>
      </c>
      <c r="I334">
        <v>-0.39787226999999997</v>
      </c>
      <c r="J334">
        <v>0.41703637999999998</v>
      </c>
    </row>
    <row r="335" spans="1:10" x14ac:dyDescent="0.3">
      <c r="A335">
        <v>333</v>
      </c>
      <c r="B335">
        <v>6492</v>
      </c>
      <c r="C335" t="b">
        <v>1</v>
      </c>
      <c r="D335">
        <v>8100</v>
      </c>
      <c r="E335">
        <v>8099</v>
      </c>
      <c r="F335">
        <v>262.8</v>
      </c>
      <c r="G335">
        <v>187.6</v>
      </c>
      <c r="H335">
        <v>1.4008528</v>
      </c>
      <c r="I335">
        <v>-0.40085277000000002</v>
      </c>
      <c r="J335">
        <v>0.41651865999999999</v>
      </c>
    </row>
    <row r="336" spans="1:10" x14ac:dyDescent="0.3">
      <c r="A336">
        <v>334</v>
      </c>
      <c r="B336">
        <v>6508</v>
      </c>
      <c r="C336" t="b">
        <v>1</v>
      </c>
      <c r="D336">
        <v>8106</v>
      </c>
      <c r="E336">
        <v>8140</v>
      </c>
      <c r="F336">
        <v>262.8</v>
      </c>
      <c r="G336">
        <v>187.6</v>
      </c>
      <c r="H336">
        <v>1.4008528</v>
      </c>
      <c r="I336">
        <v>-0.40085277000000002</v>
      </c>
      <c r="J336">
        <v>0.41651865999999999</v>
      </c>
    </row>
    <row r="337" spans="1:10" x14ac:dyDescent="0.3">
      <c r="A337">
        <v>335</v>
      </c>
      <c r="B337">
        <v>6524</v>
      </c>
      <c r="C337" t="b">
        <v>1</v>
      </c>
      <c r="D337">
        <v>8111</v>
      </c>
      <c r="E337">
        <v>8117</v>
      </c>
      <c r="F337">
        <v>263.2</v>
      </c>
      <c r="G337">
        <v>188</v>
      </c>
      <c r="H337">
        <v>1.4000001</v>
      </c>
      <c r="I337">
        <v>-0.40000006999999999</v>
      </c>
      <c r="J337">
        <v>0.41666666000000002</v>
      </c>
    </row>
    <row r="338" spans="1:10" x14ac:dyDescent="0.3">
      <c r="A338">
        <v>336</v>
      </c>
      <c r="B338">
        <v>6540</v>
      </c>
      <c r="C338" t="b">
        <v>1</v>
      </c>
      <c r="D338">
        <v>8083</v>
      </c>
      <c r="E338">
        <v>8087</v>
      </c>
      <c r="F338">
        <v>264</v>
      </c>
      <c r="G338">
        <v>187.6</v>
      </c>
      <c r="H338">
        <v>1.4072495</v>
      </c>
      <c r="I338">
        <v>-0.40724941999999997</v>
      </c>
      <c r="J338">
        <v>0.4154119</v>
      </c>
    </row>
    <row r="339" spans="1:10" x14ac:dyDescent="0.3">
      <c r="A339">
        <v>337</v>
      </c>
      <c r="B339">
        <v>6556</v>
      </c>
      <c r="C339" t="b">
        <v>1</v>
      </c>
      <c r="D339">
        <v>8083</v>
      </c>
      <c r="E339">
        <v>8140</v>
      </c>
      <c r="F339">
        <v>264.39999999999998</v>
      </c>
      <c r="G339">
        <v>188.4</v>
      </c>
      <c r="H339">
        <v>1.4033971000000001</v>
      </c>
      <c r="I339">
        <v>-0.40339704999999998</v>
      </c>
      <c r="J339">
        <v>0.41607772999999998</v>
      </c>
    </row>
    <row r="340" spans="1:10" x14ac:dyDescent="0.3">
      <c r="A340">
        <v>338</v>
      </c>
      <c r="B340">
        <v>6571</v>
      </c>
      <c r="C340" t="b">
        <v>1</v>
      </c>
      <c r="D340">
        <v>8111</v>
      </c>
      <c r="E340">
        <v>8129</v>
      </c>
      <c r="F340">
        <v>265.2</v>
      </c>
      <c r="G340">
        <v>190</v>
      </c>
      <c r="H340">
        <v>1.3957895</v>
      </c>
      <c r="I340">
        <v>-0.39578953</v>
      </c>
      <c r="J340">
        <v>0.41739893</v>
      </c>
    </row>
    <row r="341" spans="1:10" x14ac:dyDescent="0.3">
      <c r="A341">
        <v>339</v>
      </c>
      <c r="B341">
        <v>6587</v>
      </c>
      <c r="C341" t="b">
        <v>1</v>
      </c>
      <c r="D341">
        <v>8100</v>
      </c>
      <c r="E341">
        <v>8087</v>
      </c>
      <c r="F341">
        <v>265.2</v>
      </c>
      <c r="G341">
        <v>190.8</v>
      </c>
      <c r="H341">
        <v>1.3899372000000001</v>
      </c>
      <c r="I341">
        <v>-0.38993716</v>
      </c>
      <c r="J341">
        <v>0.41842106000000001</v>
      </c>
    </row>
    <row r="342" spans="1:10" x14ac:dyDescent="0.3">
      <c r="A342">
        <v>340</v>
      </c>
      <c r="B342">
        <v>6603</v>
      </c>
      <c r="C342" t="b">
        <v>1</v>
      </c>
      <c r="D342">
        <v>8106</v>
      </c>
      <c r="E342">
        <v>8117</v>
      </c>
      <c r="F342">
        <v>264.8</v>
      </c>
      <c r="G342">
        <v>191.6</v>
      </c>
      <c r="H342">
        <v>1.3820459</v>
      </c>
      <c r="I342">
        <v>-0.38204584000000003</v>
      </c>
      <c r="J342">
        <v>0.41980719999999999</v>
      </c>
    </row>
    <row r="343" spans="1:10" x14ac:dyDescent="0.3">
      <c r="A343">
        <v>341</v>
      </c>
      <c r="B343">
        <v>6619</v>
      </c>
      <c r="C343" t="b">
        <v>1</v>
      </c>
      <c r="D343">
        <v>8100</v>
      </c>
      <c r="E343">
        <v>8111</v>
      </c>
      <c r="F343">
        <v>264.39999999999998</v>
      </c>
      <c r="G343">
        <v>192.4</v>
      </c>
      <c r="H343">
        <v>1.3742204</v>
      </c>
      <c r="I343">
        <v>-0.37422037000000002</v>
      </c>
      <c r="J343">
        <v>0.42119089999999998</v>
      </c>
    </row>
    <row r="344" spans="1:10" x14ac:dyDescent="0.3">
      <c r="A344">
        <v>342</v>
      </c>
      <c r="B344">
        <v>6650</v>
      </c>
      <c r="C344" t="b">
        <v>1</v>
      </c>
      <c r="D344">
        <v>8083</v>
      </c>
      <c r="E344">
        <v>8117</v>
      </c>
      <c r="F344">
        <v>264</v>
      </c>
      <c r="G344">
        <v>193.6</v>
      </c>
      <c r="H344">
        <v>1.3636364000000001</v>
      </c>
      <c r="I344">
        <v>-0.36363630000000002</v>
      </c>
      <c r="J344">
        <v>0.42307693000000002</v>
      </c>
    </row>
    <row r="345" spans="1:10" x14ac:dyDescent="0.3">
      <c r="A345">
        <v>343</v>
      </c>
      <c r="B345">
        <v>6682</v>
      </c>
      <c r="C345" t="b">
        <v>1</v>
      </c>
      <c r="D345">
        <v>8111</v>
      </c>
      <c r="E345">
        <v>8129</v>
      </c>
      <c r="F345">
        <v>263.60000000000002</v>
      </c>
      <c r="G345">
        <v>194.8</v>
      </c>
      <c r="H345">
        <v>1.3531827999999999</v>
      </c>
      <c r="I345">
        <v>-0.35318275999999998</v>
      </c>
      <c r="J345">
        <v>0.42495634999999998</v>
      </c>
    </row>
    <row r="346" spans="1:10" x14ac:dyDescent="0.3">
      <c r="A346">
        <v>344</v>
      </c>
      <c r="B346">
        <v>6698</v>
      </c>
      <c r="C346" t="b">
        <v>1</v>
      </c>
      <c r="D346">
        <v>8117</v>
      </c>
      <c r="E346">
        <v>8129</v>
      </c>
      <c r="F346">
        <v>263.60000000000002</v>
      </c>
      <c r="G346">
        <v>196</v>
      </c>
      <c r="H346">
        <v>1.3448979999999999</v>
      </c>
      <c r="I346">
        <v>-0.34489799999999998</v>
      </c>
      <c r="J346">
        <v>0.4264578</v>
      </c>
    </row>
    <row r="347" spans="1:10" x14ac:dyDescent="0.3">
      <c r="A347">
        <v>345</v>
      </c>
      <c r="B347">
        <v>6714</v>
      </c>
      <c r="C347" t="b">
        <v>1</v>
      </c>
      <c r="D347">
        <v>8100</v>
      </c>
      <c r="E347">
        <v>8111</v>
      </c>
      <c r="F347">
        <v>263.2</v>
      </c>
      <c r="G347">
        <v>197.2</v>
      </c>
      <c r="H347">
        <v>1.3346857000000001</v>
      </c>
      <c r="I347">
        <v>-0.33468567999999999</v>
      </c>
      <c r="J347">
        <v>0.42832318000000003</v>
      </c>
    </row>
    <row r="348" spans="1:10" x14ac:dyDescent="0.3">
      <c r="A348">
        <v>346</v>
      </c>
      <c r="B348">
        <v>6730</v>
      </c>
      <c r="C348" t="b">
        <v>1</v>
      </c>
      <c r="D348">
        <v>8094</v>
      </c>
      <c r="E348">
        <v>8111</v>
      </c>
      <c r="F348">
        <v>262.8</v>
      </c>
      <c r="G348">
        <v>198.4</v>
      </c>
      <c r="H348">
        <v>1.3245967999999999</v>
      </c>
      <c r="I348">
        <v>-0.32459675999999998</v>
      </c>
      <c r="J348">
        <v>0.43018213</v>
      </c>
    </row>
    <row r="349" spans="1:10" x14ac:dyDescent="0.3">
      <c r="A349">
        <v>347</v>
      </c>
      <c r="B349">
        <v>6746</v>
      </c>
      <c r="C349" t="b">
        <v>1</v>
      </c>
      <c r="D349">
        <v>8100</v>
      </c>
      <c r="E349">
        <v>8129</v>
      </c>
      <c r="F349">
        <v>262.39999999999998</v>
      </c>
      <c r="G349">
        <v>200.4</v>
      </c>
      <c r="H349">
        <v>1.3093812</v>
      </c>
      <c r="I349">
        <v>-0.30938125</v>
      </c>
      <c r="J349">
        <v>0.43301642000000001</v>
      </c>
    </row>
    <row r="350" spans="1:10" x14ac:dyDescent="0.3">
      <c r="A350">
        <v>348</v>
      </c>
      <c r="B350">
        <v>6762</v>
      </c>
      <c r="C350" t="b">
        <v>1</v>
      </c>
      <c r="D350">
        <v>8094</v>
      </c>
      <c r="E350">
        <v>8111</v>
      </c>
      <c r="F350">
        <v>262</v>
      </c>
      <c r="G350">
        <v>201.2</v>
      </c>
      <c r="H350">
        <v>1.3021868000000001</v>
      </c>
      <c r="I350">
        <v>-0.30218689999999998</v>
      </c>
      <c r="J350">
        <v>0.43436960000000002</v>
      </c>
    </row>
    <row r="351" spans="1:10" x14ac:dyDescent="0.3">
      <c r="A351">
        <v>349</v>
      </c>
      <c r="B351">
        <v>6778</v>
      </c>
      <c r="C351" t="b">
        <v>1</v>
      </c>
      <c r="D351">
        <v>8111</v>
      </c>
      <c r="E351">
        <v>8123</v>
      </c>
      <c r="F351">
        <v>261.60000000000002</v>
      </c>
      <c r="G351">
        <v>201.6</v>
      </c>
      <c r="H351">
        <v>1.2976190000000001</v>
      </c>
      <c r="I351">
        <v>-0.29761904</v>
      </c>
      <c r="J351">
        <v>0.43523318</v>
      </c>
    </row>
    <row r="352" spans="1:10" x14ac:dyDescent="0.3">
      <c r="A352">
        <v>350</v>
      </c>
      <c r="B352">
        <v>6794</v>
      </c>
      <c r="C352" t="b">
        <v>1</v>
      </c>
      <c r="D352">
        <v>8094</v>
      </c>
      <c r="E352">
        <v>8105</v>
      </c>
      <c r="F352">
        <v>260.8</v>
      </c>
      <c r="G352">
        <v>201.2</v>
      </c>
      <c r="H352">
        <v>1.2962225999999999</v>
      </c>
      <c r="I352">
        <v>-0.29622262999999999</v>
      </c>
      <c r="J352">
        <v>0.43549781999999998</v>
      </c>
    </row>
    <row r="353" spans="1:10" x14ac:dyDescent="0.3">
      <c r="A353">
        <v>351</v>
      </c>
      <c r="B353">
        <v>6810</v>
      </c>
      <c r="C353" t="b">
        <v>1</v>
      </c>
      <c r="D353">
        <v>8083</v>
      </c>
      <c r="E353">
        <v>8117</v>
      </c>
      <c r="F353">
        <v>260</v>
      </c>
      <c r="G353">
        <v>202.4</v>
      </c>
      <c r="H353">
        <v>1.2845850000000001</v>
      </c>
      <c r="I353">
        <v>-0.28458503000000002</v>
      </c>
      <c r="J353">
        <v>0.43771624999999997</v>
      </c>
    </row>
    <row r="354" spans="1:10" x14ac:dyDescent="0.3">
      <c r="A354">
        <v>352</v>
      </c>
      <c r="B354">
        <v>6826</v>
      </c>
      <c r="C354" t="b">
        <v>1</v>
      </c>
      <c r="D354">
        <v>8106</v>
      </c>
      <c r="E354">
        <v>8111</v>
      </c>
      <c r="F354">
        <v>259.60000000000002</v>
      </c>
      <c r="G354">
        <v>202</v>
      </c>
      <c r="H354">
        <v>1.2851485</v>
      </c>
      <c r="I354">
        <v>-0.28514853000000001</v>
      </c>
      <c r="J354">
        <v>0.43760830000000001</v>
      </c>
    </row>
    <row r="355" spans="1:10" x14ac:dyDescent="0.3">
      <c r="A355">
        <v>353</v>
      </c>
      <c r="B355">
        <v>6842</v>
      </c>
      <c r="C355" t="b">
        <v>1</v>
      </c>
      <c r="D355">
        <v>8077</v>
      </c>
      <c r="E355">
        <v>8111</v>
      </c>
      <c r="F355">
        <v>258.8</v>
      </c>
      <c r="G355">
        <v>200.8</v>
      </c>
      <c r="H355">
        <v>1.2888446</v>
      </c>
      <c r="I355">
        <v>-0.28884455999999997</v>
      </c>
      <c r="J355">
        <v>0.4369017</v>
      </c>
    </row>
    <row r="356" spans="1:10" x14ac:dyDescent="0.3">
      <c r="A356">
        <v>354</v>
      </c>
      <c r="B356">
        <v>6858</v>
      </c>
      <c r="C356" t="b">
        <v>1</v>
      </c>
      <c r="D356">
        <v>8094</v>
      </c>
      <c r="E356">
        <v>8117</v>
      </c>
      <c r="F356">
        <v>258.39999999999998</v>
      </c>
      <c r="G356">
        <v>200.4</v>
      </c>
      <c r="H356">
        <v>1.2894212</v>
      </c>
      <c r="I356">
        <v>-0.28942117000000001</v>
      </c>
      <c r="J356">
        <v>0.43679162999999999</v>
      </c>
    </row>
    <row r="357" spans="1:10" x14ac:dyDescent="0.3">
      <c r="A357">
        <v>355</v>
      </c>
      <c r="B357">
        <v>6874</v>
      </c>
      <c r="C357" t="b">
        <v>1</v>
      </c>
      <c r="D357">
        <v>8088</v>
      </c>
      <c r="E357">
        <v>8117</v>
      </c>
      <c r="F357">
        <v>257.60000000000002</v>
      </c>
      <c r="G357">
        <v>200.4</v>
      </c>
      <c r="H357">
        <v>1.2854292</v>
      </c>
      <c r="I357">
        <v>-0.28542919999999999</v>
      </c>
      <c r="J357">
        <v>0.43755456999999998</v>
      </c>
    </row>
    <row r="358" spans="1:10" x14ac:dyDescent="0.3">
      <c r="A358">
        <v>356</v>
      </c>
      <c r="B358">
        <v>6889</v>
      </c>
      <c r="C358" t="b">
        <v>1</v>
      </c>
      <c r="D358">
        <v>8123</v>
      </c>
      <c r="E358">
        <v>8123</v>
      </c>
      <c r="F358">
        <v>257.2</v>
      </c>
      <c r="G358">
        <v>200.4</v>
      </c>
      <c r="H358">
        <v>1.2834331999999999</v>
      </c>
      <c r="I358">
        <v>-0.28343322999999998</v>
      </c>
      <c r="J358">
        <v>0.43793704999999999</v>
      </c>
    </row>
    <row r="359" spans="1:10" x14ac:dyDescent="0.3">
      <c r="A359">
        <v>357</v>
      </c>
      <c r="B359">
        <v>6921</v>
      </c>
      <c r="C359" t="b">
        <v>1</v>
      </c>
      <c r="D359">
        <v>8100</v>
      </c>
      <c r="E359">
        <v>8099</v>
      </c>
      <c r="F359">
        <v>256.8</v>
      </c>
      <c r="G359">
        <v>200.4</v>
      </c>
      <c r="H359">
        <v>1.2814372000000001</v>
      </c>
      <c r="I359">
        <v>-0.2814371</v>
      </c>
      <c r="J359">
        <v>0.43832021999999998</v>
      </c>
    </row>
    <row r="360" spans="1:10" x14ac:dyDescent="0.3">
      <c r="A360">
        <v>358</v>
      </c>
      <c r="B360">
        <v>6953</v>
      </c>
      <c r="C360" t="b">
        <v>1</v>
      </c>
      <c r="D360">
        <v>8123</v>
      </c>
      <c r="E360">
        <v>8087</v>
      </c>
      <c r="F360">
        <v>256.8</v>
      </c>
      <c r="G360">
        <v>200.4</v>
      </c>
      <c r="H360">
        <v>1.2814372000000001</v>
      </c>
      <c r="I360">
        <v>-0.2814371</v>
      </c>
      <c r="J360">
        <v>0.43832021999999998</v>
      </c>
    </row>
    <row r="361" spans="1:10" x14ac:dyDescent="0.3">
      <c r="A361">
        <v>359</v>
      </c>
      <c r="B361">
        <v>6984</v>
      </c>
      <c r="C361" t="b">
        <v>1</v>
      </c>
      <c r="D361">
        <v>8083</v>
      </c>
      <c r="E361">
        <v>8093</v>
      </c>
      <c r="F361">
        <v>256.39999999999998</v>
      </c>
      <c r="G361">
        <v>199.2</v>
      </c>
      <c r="H361">
        <v>1.2871486000000001</v>
      </c>
      <c r="I361">
        <v>-0.28714859999999998</v>
      </c>
      <c r="J361">
        <v>0.43722564000000003</v>
      </c>
    </row>
    <row r="362" spans="1:10" x14ac:dyDescent="0.3">
      <c r="A362">
        <v>360</v>
      </c>
      <c r="B362">
        <v>7016</v>
      </c>
      <c r="C362" t="b">
        <v>1</v>
      </c>
      <c r="D362">
        <v>8100</v>
      </c>
      <c r="E362">
        <v>8105</v>
      </c>
      <c r="F362">
        <v>256.39999999999998</v>
      </c>
      <c r="G362">
        <v>198</v>
      </c>
      <c r="H362">
        <v>1.2949493999999999</v>
      </c>
      <c r="I362">
        <v>-0.29494946999999999</v>
      </c>
      <c r="J362">
        <v>0.43573942999999998</v>
      </c>
    </row>
    <row r="363" spans="1:10" x14ac:dyDescent="0.3">
      <c r="A363">
        <v>361</v>
      </c>
      <c r="B363">
        <v>7032</v>
      </c>
      <c r="C363" t="b">
        <v>1</v>
      </c>
      <c r="D363">
        <v>8111</v>
      </c>
      <c r="E363">
        <v>8117</v>
      </c>
      <c r="F363">
        <v>256.39999999999998</v>
      </c>
      <c r="G363">
        <v>196.8</v>
      </c>
      <c r="H363">
        <v>1.3028455000000001</v>
      </c>
      <c r="I363">
        <v>-0.30284548</v>
      </c>
      <c r="J363">
        <v>0.43424534999999997</v>
      </c>
    </row>
    <row r="364" spans="1:10" x14ac:dyDescent="0.3">
      <c r="A364">
        <v>362</v>
      </c>
      <c r="B364">
        <v>7048</v>
      </c>
      <c r="C364" t="b">
        <v>1</v>
      </c>
      <c r="D364">
        <v>8106</v>
      </c>
      <c r="E364">
        <v>8111</v>
      </c>
      <c r="F364">
        <v>256.8</v>
      </c>
      <c r="G364">
        <v>195.2</v>
      </c>
      <c r="H364">
        <v>1.3155737000000001</v>
      </c>
      <c r="I364">
        <v>-0.31557372</v>
      </c>
      <c r="J364">
        <v>0.43185839999999998</v>
      </c>
    </row>
    <row r="365" spans="1:10" x14ac:dyDescent="0.3">
      <c r="A365">
        <v>363</v>
      </c>
      <c r="B365">
        <v>7064</v>
      </c>
      <c r="C365" t="b">
        <v>1</v>
      </c>
      <c r="D365">
        <v>8100</v>
      </c>
      <c r="E365">
        <v>8087</v>
      </c>
      <c r="F365">
        <v>256.8</v>
      </c>
      <c r="G365">
        <v>194.8</v>
      </c>
      <c r="H365">
        <v>1.3182750999999999</v>
      </c>
      <c r="I365">
        <v>-0.31827506</v>
      </c>
      <c r="J365">
        <v>0.43135519999999999</v>
      </c>
    </row>
    <row r="366" spans="1:10" x14ac:dyDescent="0.3">
      <c r="A366">
        <v>364</v>
      </c>
      <c r="B366">
        <v>7080</v>
      </c>
      <c r="C366" t="b">
        <v>1</v>
      </c>
      <c r="D366">
        <v>8117</v>
      </c>
      <c r="E366">
        <v>8105</v>
      </c>
      <c r="F366">
        <v>257.2</v>
      </c>
      <c r="G366">
        <v>194.4</v>
      </c>
      <c r="H366">
        <v>1.3230454</v>
      </c>
      <c r="I366">
        <v>-0.32304537</v>
      </c>
      <c r="J366">
        <v>0.43046941999999999</v>
      </c>
    </row>
    <row r="367" spans="1:10" x14ac:dyDescent="0.3">
      <c r="A367">
        <v>365</v>
      </c>
      <c r="B367">
        <v>7096</v>
      </c>
      <c r="C367" t="b">
        <v>1</v>
      </c>
      <c r="D367">
        <v>8106</v>
      </c>
      <c r="E367">
        <v>8105</v>
      </c>
      <c r="F367">
        <v>258</v>
      </c>
      <c r="G367">
        <v>194</v>
      </c>
      <c r="H367">
        <v>1.3298969</v>
      </c>
      <c r="I367">
        <v>-0.32989689999999999</v>
      </c>
      <c r="J367">
        <v>0.42920353999999999</v>
      </c>
    </row>
    <row r="368" spans="1:10" x14ac:dyDescent="0.3">
      <c r="A368">
        <v>366</v>
      </c>
      <c r="B368">
        <v>7112</v>
      </c>
      <c r="C368" t="b">
        <v>1</v>
      </c>
      <c r="D368">
        <v>8083</v>
      </c>
      <c r="E368">
        <v>8111</v>
      </c>
      <c r="F368">
        <v>258.8</v>
      </c>
      <c r="G368">
        <v>193.2</v>
      </c>
      <c r="H368">
        <v>1.3395444000000001</v>
      </c>
      <c r="I368">
        <v>-0.33954447999999998</v>
      </c>
      <c r="J368">
        <v>0.42743360000000002</v>
      </c>
    </row>
    <row r="369" spans="1:10" x14ac:dyDescent="0.3">
      <c r="A369">
        <v>367</v>
      </c>
      <c r="B369">
        <v>7128</v>
      </c>
      <c r="C369" t="b">
        <v>1</v>
      </c>
      <c r="D369">
        <v>8100</v>
      </c>
      <c r="E369">
        <v>8105</v>
      </c>
      <c r="F369">
        <v>259.2</v>
      </c>
      <c r="G369">
        <v>192.8</v>
      </c>
      <c r="H369">
        <v>1.3443984</v>
      </c>
      <c r="I369">
        <v>-0.34439838</v>
      </c>
      <c r="J369">
        <v>0.4265487</v>
      </c>
    </row>
    <row r="370" spans="1:10" x14ac:dyDescent="0.3">
      <c r="A370">
        <v>368</v>
      </c>
      <c r="B370">
        <v>7144</v>
      </c>
      <c r="C370" t="b">
        <v>1</v>
      </c>
      <c r="D370">
        <v>8106</v>
      </c>
      <c r="E370">
        <v>8105</v>
      </c>
      <c r="F370">
        <v>260</v>
      </c>
      <c r="G370">
        <v>192.4</v>
      </c>
      <c r="H370">
        <v>1.3513514</v>
      </c>
      <c r="I370">
        <v>-0.35135137999999999</v>
      </c>
      <c r="J370">
        <v>0.42528734000000001</v>
      </c>
    </row>
    <row r="371" spans="1:10" x14ac:dyDescent="0.3">
      <c r="A371">
        <v>369</v>
      </c>
      <c r="B371">
        <v>7159</v>
      </c>
      <c r="C371" t="b">
        <v>1</v>
      </c>
      <c r="D371">
        <v>8088</v>
      </c>
      <c r="E371">
        <v>8123</v>
      </c>
      <c r="F371">
        <v>260.39999999999998</v>
      </c>
      <c r="G371">
        <v>192</v>
      </c>
      <c r="H371">
        <v>1.3562498999999999</v>
      </c>
      <c r="I371">
        <v>-0.35624995999999998</v>
      </c>
      <c r="J371">
        <v>0.42440319999999998</v>
      </c>
    </row>
    <row r="372" spans="1:10" x14ac:dyDescent="0.3">
      <c r="A372">
        <v>370</v>
      </c>
      <c r="B372">
        <v>7175</v>
      </c>
      <c r="C372" t="b">
        <v>1</v>
      </c>
      <c r="D372">
        <v>8083</v>
      </c>
      <c r="E372">
        <v>8087</v>
      </c>
      <c r="F372">
        <v>260.39999999999998</v>
      </c>
      <c r="G372">
        <v>191.2</v>
      </c>
      <c r="H372">
        <v>1.3619246</v>
      </c>
      <c r="I372">
        <v>-0.36192468</v>
      </c>
      <c r="J372">
        <v>0.42338353000000001</v>
      </c>
    </row>
    <row r="373" spans="1:10" x14ac:dyDescent="0.3">
      <c r="A373">
        <v>371</v>
      </c>
      <c r="B373">
        <v>7191</v>
      </c>
      <c r="C373" t="b">
        <v>1</v>
      </c>
      <c r="D373">
        <v>8088</v>
      </c>
      <c r="E373">
        <v>8111</v>
      </c>
      <c r="F373">
        <v>260</v>
      </c>
      <c r="G373">
        <v>190.4</v>
      </c>
      <c r="H373">
        <v>1.3655462</v>
      </c>
      <c r="I373">
        <v>-0.36554626000000001</v>
      </c>
      <c r="J373">
        <v>0.42273533000000002</v>
      </c>
    </row>
    <row r="374" spans="1:10" x14ac:dyDescent="0.3">
      <c r="A374">
        <v>372</v>
      </c>
      <c r="B374">
        <v>7207</v>
      </c>
      <c r="C374" t="b">
        <v>1</v>
      </c>
      <c r="D374">
        <v>8083</v>
      </c>
      <c r="E374">
        <v>8123</v>
      </c>
      <c r="F374">
        <v>259.60000000000002</v>
      </c>
      <c r="G374">
        <v>190</v>
      </c>
      <c r="H374">
        <v>1.3663158</v>
      </c>
      <c r="I374">
        <v>-0.36631580000000002</v>
      </c>
      <c r="J374">
        <v>0.42259785999999999</v>
      </c>
    </row>
    <row r="375" spans="1:10" x14ac:dyDescent="0.3">
      <c r="A375">
        <v>373</v>
      </c>
      <c r="B375">
        <v>7223</v>
      </c>
      <c r="C375" t="b">
        <v>1</v>
      </c>
      <c r="D375">
        <v>8083</v>
      </c>
      <c r="E375">
        <v>8105</v>
      </c>
      <c r="F375">
        <v>258.46667000000002</v>
      </c>
      <c r="G375">
        <v>189.6</v>
      </c>
      <c r="H375">
        <v>1.3632207999999999</v>
      </c>
      <c r="I375">
        <v>-0.36322080000000001</v>
      </c>
      <c r="J375">
        <v>0.42315130000000001</v>
      </c>
    </row>
    <row r="376" spans="1:10" x14ac:dyDescent="0.3">
      <c r="A376">
        <v>374</v>
      </c>
      <c r="B376">
        <v>7239</v>
      </c>
      <c r="C376" t="b">
        <v>1</v>
      </c>
      <c r="D376">
        <v>8094</v>
      </c>
      <c r="E376">
        <v>8111</v>
      </c>
      <c r="F376">
        <v>257.33334000000002</v>
      </c>
      <c r="G376">
        <v>190.4</v>
      </c>
      <c r="H376">
        <v>1.3515406999999999</v>
      </c>
      <c r="I376">
        <v>-0.35154069999999998</v>
      </c>
      <c r="J376">
        <v>0.42525311999999998</v>
      </c>
    </row>
    <row r="377" spans="1:10" x14ac:dyDescent="0.3">
      <c r="A377">
        <v>375</v>
      </c>
      <c r="B377">
        <v>7255</v>
      </c>
      <c r="C377" t="b">
        <v>1</v>
      </c>
      <c r="D377">
        <v>8100</v>
      </c>
      <c r="E377">
        <v>8129</v>
      </c>
      <c r="F377">
        <v>256.53332999999998</v>
      </c>
      <c r="G377">
        <v>191.2</v>
      </c>
      <c r="H377">
        <v>1.3417015000000001</v>
      </c>
      <c r="I377">
        <v>-0.34170149999999999</v>
      </c>
      <c r="J377">
        <v>0.42703989999999997</v>
      </c>
    </row>
    <row r="378" spans="1:10" x14ac:dyDescent="0.3">
      <c r="A378">
        <v>376</v>
      </c>
      <c r="B378">
        <v>7271</v>
      </c>
      <c r="C378" t="b">
        <v>1</v>
      </c>
      <c r="D378">
        <v>8094</v>
      </c>
      <c r="E378">
        <v>8123</v>
      </c>
      <c r="F378">
        <v>256.13333</v>
      </c>
      <c r="G378">
        <v>192.8</v>
      </c>
      <c r="H378">
        <v>1.3284924</v>
      </c>
      <c r="I378">
        <v>-0.32849236999999998</v>
      </c>
      <c r="J378">
        <v>0.42946243000000001</v>
      </c>
    </row>
    <row r="379" spans="1:10" x14ac:dyDescent="0.3">
      <c r="A379">
        <v>377</v>
      </c>
      <c r="B379">
        <v>7289</v>
      </c>
      <c r="C379" t="b">
        <v>1</v>
      </c>
      <c r="D379">
        <v>8071</v>
      </c>
      <c r="E379">
        <v>8087</v>
      </c>
      <c r="F379">
        <v>255.33332999999999</v>
      </c>
      <c r="G379">
        <v>193.2</v>
      </c>
      <c r="H379">
        <v>1.3216011999999999</v>
      </c>
      <c r="I379">
        <v>-0.32160109999999997</v>
      </c>
      <c r="J379">
        <v>0.43073723000000003</v>
      </c>
    </row>
    <row r="380" spans="1:10" x14ac:dyDescent="0.3">
      <c r="A380">
        <v>378</v>
      </c>
      <c r="B380">
        <v>7312</v>
      </c>
      <c r="C380" t="b">
        <v>1</v>
      </c>
      <c r="D380">
        <v>8088</v>
      </c>
      <c r="E380">
        <v>8105</v>
      </c>
      <c r="F380">
        <v>254.93333000000001</v>
      </c>
      <c r="G380">
        <v>193.6</v>
      </c>
      <c r="H380">
        <v>1.3168044000000001</v>
      </c>
      <c r="I380">
        <v>-0.31680438</v>
      </c>
      <c r="J380">
        <v>0.43162903000000002</v>
      </c>
    </row>
    <row r="381" spans="1:10" x14ac:dyDescent="0.3">
      <c r="A381">
        <v>379</v>
      </c>
      <c r="B381">
        <v>7344</v>
      </c>
      <c r="C381" t="b">
        <v>1</v>
      </c>
      <c r="D381">
        <v>8071</v>
      </c>
      <c r="E381">
        <v>8093</v>
      </c>
      <c r="F381">
        <v>253.73334</v>
      </c>
      <c r="G381">
        <v>193.6</v>
      </c>
      <c r="H381">
        <v>1.3106059999999999</v>
      </c>
      <c r="I381">
        <v>-0.31060602999999998</v>
      </c>
      <c r="J381">
        <v>0.43278687999999998</v>
      </c>
    </row>
    <row r="382" spans="1:10" x14ac:dyDescent="0.3">
      <c r="A382">
        <v>380</v>
      </c>
      <c r="B382">
        <v>7360</v>
      </c>
      <c r="C382" t="b">
        <v>1</v>
      </c>
      <c r="D382">
        <v>8106</v>
      </c>
      <c r="E382">
        <v>8111</v>
      </c>
      <c r="F382">
        <v>252.53334000000001</v>
      </c>
      <c r="G382">
        <v>193.6</v>
      </c>
      <c r="H382">
        <v>1.3044077000000001</v>
      </c>
      <c r="I382">
        <v>-0.30440771999999999</v>
      </c>
      <c r="J382">
        <v>0.43395096</v>
      </c>
    </row>
    <row r="383" spans="1:10" x14ac:dyDescent="0.3">
      <c r="A383">
        <v>381</v>
      </c>
      <c r="B383">
        <v>7375</v>
      </c>
      <c r="C383" t="b">
        <v>1</v>
      </c>
      <c r="D383">
        <v>8111</v>
      </c>
      <c r="E383">
        <v>8093</v>
      </c>
      <c r="F383">
        <v>251.33332999999999</v>
      </c>
      <c r="G383">
        <v>192.8</v>
      </c>
      <c r="H383">
        <v>1.3035961</v>
      </c>
      <c r="I383">
        <v>-0.30359607999999999</v>
      </c>
      <c r="J383">
        <v>0.43410388</v>
      </c>
    </row>
    <row r="384" spans="1:10" x14ac:dyDescent="0.3">
      <c r="A384">
        <v>382</v>
      </c>
      <c r="B384">
        <v>7407</v>
      </c>
      <c r="C384" t="b">
        <v>1</v>
      </c>
      <c r="D384">
        <v>8100</v>
      </c>
      <c r="E384">
        <v>8105</v>
      </c>
      <c r="F384">
        <v>251.33332999999999</v>
      </c>
      <c r="G384">
        <v>192.8</v>
      </c>
      <c r="H384">
        <v>1.3035961</v>
      </c>
      <c r="I384">
        <v>-0.30359607999999999</v>
      </c>
      <c r="J384">
        <v>0.43410388</v>
      </c>
    </row>
    <row r="385" spans="1:10" x14ac:dyDescent="0.3">
      <c r="A385">
        <v>383</v>
      </c>
      <c r="B385">
        <v>7423</v>
      </c>
      <c r="C385" t="b">
        <v>1</v>
      </c>
      <c r="D385">
        <v>8106</v>
      </c>
      <c r="E385">
        <v>8111</v>
      </c>
      <c r="F385">
        <v>251.33332999999999</v>
      </c>
      <c r="G385">
        <v>192.8</v>
      </c>
      <c r="H385">
        <v>1.3035961</v>
      </c>
      <c r="I385">
        <v>-0.30359607999999999</v>
      </c>
      <c r="J385">
        <v>0.43410388</v>
      </c>
    </row>
    <row r="386" spans="1:10" x14ac:dyDescent="0.3">
      <c r="A386">
        <v>384</v>
      </c>
      <c r="B386">
        <v>7439</v>
      </c>
      <c r="C386" t="b">
        <v>1</v>
      </c>
      <c r="D386">
        <v>8094</v>
      </c>
      <c r="E386">
        <v>8105</v>
      </c>
      <c r="F386">
        <v>251.73334</v>
      </c>
      <c r="G386">
        <v>192.8</v>
      </c>
      <c r="H386">
        <v>1.3056709</v>
      </c>
      <c r="I386">
        <v>-0.30567083</v>
      </c>
      <c r="J386">
        <v>0.43371325999999999</v>
      </c>
    </row>
    <row r="387" spans="1:10" x14ac:dyDescent="0.3">
      <c r="A387">
        <v>385</v>
      </c>
      <c r="B387">
        <v>7455</v>
      </c>
      <c r="C387" t="b">
        <v>1</v>
      </c>
      <c r="D387">
        <v>8117</v>
      </c>
      <c r="E387">
        <v>8087</v>
      </c>
      <c r="F387">
        <v>252.93333000000001</v>
      </c>
      <c r="G387">
        <v>192.8</v>
      </c>
      <c r="H387">
        <v>1.3118949</v>
      </c>
      <c r="I387">
        <v>-0.31189486</v>
      </c>
      <c r="J387">
        <v>0.43254563000000001</v>
      </c>
    </row>
    <row r="388" spans="1:10" x14ac:dyDescent="0.3">
      <c r="A388">
        <v>386</v>
      </c>
      <c r="B388">
        <v>7486</v>
      </c>
      <c r="C388" t="b">
        <v>1</v>
      </c>
      <c r="D388">
        <v>8083</v>
      </c>
      <c r="E388">
        <v>8105</v>
      </c>
      <c r="F388">
        <v>253.73334</v>
      </c>
      <c r="G388">
        <v>192.8</v>
      </c>
      <c r="H388">
        <v>1.3160442000000001</v>
      </c>
      <c r="I388">
        <v>-0.31604427000000002</v>
      </c>
      <c r="J388">
        <v>0.43177068000000002</v>
      </c>
    </row>
    <row r="389" spans="1:10" x14ac:dyDescent="0.3">
      <c r="A389">
        <v>387</v>
      </c>
      <c r="B389">
        <v>7502</v>
      </c>
      <c r="C389" t="b">
        <v>1</v>
      </c>
      <c r="D389">
        <v>8106</v>
      </c>
      <c r="E389">
        <v>8105</v>
      </c>
      <c r="F389">
        <v>254.93333000000001</v>
      </c>
      <c r="G389">
        <v>192.4</v>
      </c>
      <c r="H389">
        <v>1.3250173000000001</v>
      </c>
      <c r="I389">
        <v>-0.32501735999999998</v>
      </c>
      <c r="J389">
        <v>0.43010431999999998</v>
      </c>
    </row>
    <row r="390" spans="1:10" x14ac:dyDescent="0.3">
      <c r="A390">
        <v>388</v>
      </c>
      <c r="B390">
        <v>7517</v>
      </c>
      <c r="C390" t="b">
        <v>1</v>
      </c>
      <c r="D390">
        <v>8083</v>
      </c>
      <c r="E390">
        <v>8111</v>
      </c>
      <c r="F390">
        <v>255.66667000000001</v>
      </c>
      <c r="G390">
        <v>192</v>
      </c>
      <c r="H390">
        <v>1.3315972</v>
      </c>
      <c r="I390">
        <v>-0.33159724000000002</v>
      </c>
      <c r="J390">
        <v>0.42889052999999999</v>
      </c>
    </row>
    <row r="391" spans="1:10" x14ac:dyDescent="0.3">
      <c r="A391">
        <v>389</v>
      </c>
      <c r="B391">
        <v>7533</v>
      </c>
      <c r="C391" t="b">
        <v>1</v>
      </c>
      <c r="D391">
        <v>8106</v>
      </c>
      <c r="E391">
        <v>8111</v>
      </c>
      <c r="F391">
        <v>257.2</v>
      </c>
      <c r="G391">
        <v>191.6</v>
      </c>
      <c r="H391">
        <v>1.3423799000000001</v>
      </c>
      <c r="I391">
        <v>-0.34238000000000002</v>
      </c>
      <c r="J391">
        <v>0.42691620000000002</v>
      </c>
    </row>
    <row r="392" spans="1:10" x14ac:dyDescent="0.3">
      <c r="A392">
        <v>390</v>
      </c>
      <c r="B392">
        <v>7549</v>
      </c>
      <c r="C392" t="b">
        <v>1</v>
      </c>
      <c r="D392">
        <v>8100</v>
      </c>
      <c r="E392">
        <v>8105</v>
      </c>
      <c r="F392">
        <v>258</v>
      </c>
      <c r="G392">
        <v>191.2</v>
      </c>
      <c r="H392">
        <v>1.3493724</v>
      </c>
      <c r="I392">
        <v>-0.34937242000000002</v>
      </c>
      <c r="J392">
        <v>0.42564555999999998</v>
      </c>
    </row>
    <row r="393" spans="1:10" x14ac:dyDescent="0.3">
      <c r="A393">
        <v>391</v>
      </c>
      <c r="B393">
        <v>7565</v>
      </c>
      <c r="C393" t="b">
        <v>1</v>
      </c>
      <c r="D393">
        <v>8117</v>
      </c>
      <c r="E393">
        <v>8105</v>
      </c>
      <c r="F393">
        <v>258.8</v>
      </c>
      <c r="G393">
        <v>190</v>
      </c>
      <c r="H393">
        <v>1.3621053000000001</v>
      </c>
      <c r="I393">
        <v>-0.36210520000000002</v>
      </c>
      <c r="J393">
        <v>0.42335117</v>
      </c>
    </row>
    <row r="394" spans="1:10" x14ac:dyDescent="0.3">
      <c r="A394">
        <v>392</v>
      </c>
      <c r="B394">
        <v>7581</v>
      </c>
      <c r="C394" t="b">
        <v>1</v>
      </c>
      <c r="D394">
        <v>8123</v>
      </c>
      <c r="E394">
        <v>8123</v>
      </c>
      <c r="F394">
        <v>259.60000000000002</v>
      </c>
      <c r="G394">
        <v>190</v>
      </c>
      <c r="H394">
        <v>1.3663158</v>
      </c>
      <c r="I394">
        <v>-0.36631580000000002</v>
      </c>
      <c r="J394">
        <v>0.42259785999999999</v>
      </c>
    </row>
    <row r="395" spans="1:10" x14ac:dyDescent="0.3">
      <c r="A395">
        <v>393</v>
      </c>
      <c r="B395">
        <v>7597</v>
      </c>
      <c r="C395" t="b">
        <v>1</v>
      </c>
      <c r="D395">
        <v>8106</v>
      </c>
      <c r="E395">
        <v>8129</v>
      </c>
      <c r="F395">
        <v>260.39999999999998</v>
      </c>
      <c r="G395">
        <v>190</v>
      </c>
      <c r="H395">
        <v>1.3705263000000001</v>
      </c>
      <c r="I395">
        <v>-0.37052627999999999</v>
      </c>
      <c r="J395">
        <v>0.42184725000000001</v>
      </c>
    </row>
    <row r="396" spans="1:10" x14ac:dyDescent="0.3">
      <c r="A396">
        <v>394</v>
      </c>
      <c r="B396">
        <v>7613</v>
      </c>
      <c r="C396" t="b">
        <v>1</v>
      </c>
      <c r="D396">
        <v>8117</v>
      </c>
      <c r="E396">
        <v>8105</v>
      </c>
      <c r="F396">
        <v>262.33334000000002</v>
      </c>
      <c r="G396">
        <v>190</v>
      </c>
      <c r="H396">
        <v>1.3807018</v>
      </c>
      <c r="I396">
        <v>-0.38070179999999998</v>
      </c>
      <c r="J396">
        <v>0.42004419999999998</v>
      </c>
    </row>
    <row r="397" spans="1:10" x14ac:dyDescent="0.3">
      <c r="A397">
        <v>395</v>
      </c>
      <c r="B397">
        <v>7629</v>
      </c>
      <c r="C397" t="b">
        <v>1</v>
      </c>
      <c r="D397">
        <v>8094</v>
      </c>
      <c r="E397">
        <v>8099</v>
      </c>
      <c r="F397">
        <v>264.26666</v>
      </c>
      <c r="G397">
        <v>190</v>
      </c>
      <c r="H397">
        <v>1.3908771</v>
      </c>
      <c r="I397">
        <v>-0.39087716</v>
      </c>
      <c r="J397">
        <v>0.41825652000000002</v>
      </c>
    </row>
    <row r="398" spans="1:10" x14ac:dyDescent="0.3">
      <c r="A398">
        <v>396</v>
      </c>
      <c r="B398">
        <v>7661</v>
      </c>
      <c r="C398" t="b">
        <v>1</v>
      </c>
      <c r="D398">
        <v>8106</v>
      </c>
      <c r="E398">
        <v>8111</v>
      </c>
      <c r="F398">
        <v>265.46667000000002</v>
      </c>
      <c r="G398">
        <v>191.2</v>
      </c>
      <c r="H398">
        <v>1.3884240000000001</v>
      </c>
      <c r="I398">
        <v>-0.38842404000000003</v>
      </c>
      <c r="J398">
        <v>0.41868610000000001</v>
      </c>
    </row>
    <row r="399" spans="1:10" x14ac:dyDescent="0.3">
      <c r="A399">
        <v>397</v>
      </c>
      <c r="B399">
        <v>7677</v>
      </c>
      <c r="C399" t="b">
        <v>1</v>
      </c>
      <c r="D399">
        <v>8106</v>
      </c>
      <c r="E399">
        <v>8123</v>
      </c>
      <c r="F399">
        <v>265.86667</v>
      </c>
      <c r="G399">
        <v>191.6</v>
      </c>
      <c r="H399">
        <v>1.387613</v>
      </c>
      <c r="I399">
        <v>-0.38761306000000001</v>
      </c>
      <c r="J399">
        <v>0.41882834000000002</v>
      </c>
    </row>
    <row r="400" spans="1:10" x14ac:dyDescent="0.3">
      <c r="A400">
        <v>398</v>
      </c>
      <c r="B400">
        <v>7708</v>
      </c>
      <c r="C400" t="b">
        <v>1</v>
      </c>
      <c r="D400">
        <v>8106</v>
      </c>
      <c r="E400">
        <v>8093</v>
      </c>
      <c r="F400">
        <v>265.86667</v>
      </c>
      <c r="G400">
        <v>191.6</v>
      </c>
      <c r="H400">
        <v>1.387613</v>
      </c>
      <c r="I400">
        <v>-0.38761306000000001</v>
      </c>
      <c r="J400">
        <v>0.41882834000000002</v>
      </c>
    </row>
    <row r="401" spans="1:10" x14ac:dyDescent="0.3">
      <c r="A401">
        <v>399</v>
      </c>
      <c r="B401">
        <v>7724</v>
      </c>
      <c r="C401" t="b">
        <v>1</v>
      </c>
      <c r="D401">
        <v>8088</v>
      </c>
      <c r="E401">
        <v>8111</v>
      </c>
      <c r="F401">
        <v>265.86667</v>
      </c>
      <c r="G401">
        <v>192</v>
      </c>
      <c r="H401">
        <v>1.3847221999999999</v>
      </c>
      <c r="I401">
        <v>-0.38472223</v>
      </c>
      <c r="J401">
        <v>0.41933605000000002</v>
      </c>
    </row>
    <row r="402" spans="1:10" x14ac:dyDescent="0.3">
      <c r="A402">
        <v>400</v>
      </c>
      <c r="B402">
        <v>7740</v>
      </c>
      <c r="C402" t="b">
        <v>1</v>
      </c>
      <c r="D402">
        <v>8088</v>
      </c>
      <c r="E402">
        <v>8134</v>
      </c>
      <c r="F402">
        <v>265.86667</v>
      </c>
      <c r="G402">
        <v>192.4</v>
      </c>
      <c r="H402">
        <v>1.3818433999999999</v>
      </c>
      <c r="I402">
        <v>-0.38184344999999997</v>
      </c>
      <c r="J402">
        <v>0.41984286999999998</v>
      </c>
    </row>
    <row r="403" spans="1:10" x14ac:dyDescent="0.3">
      <c r="A403">
        <v>401</v>
      </c>
      <c r="B403">
        <v>7757</v>
      </c>
      <c r="C403" t="b">
        <v>1</v>
      </c>
      <c r="D403">
        <v>8100</v>
      </c>
      <c r="E403">
        <v>8105</v>
      </c>
      <c r="F403">
        <v>265.86667</v>
      </c>
      <c r="G403">
        <v>192.8</v>
      </c>
      <c r="H403">
        <v>1.3789765</v>
      </c>
      <c r="I403">
        <v>-0.37897646000000001</v>
      </c>
      <c r="J403">
        <v>0.42034882000000001</v>
      </c>
    </row>
    <row r="404" spans="1:10" x14ac:dyDescent="0.3">
      <c r="A404">
        <v>402</v>
      </c>
      <c r="B404">
        <v>7773</v>
      </c>
      <c r="C404" t="b">
        <v>1</v>
      </c>
      <c r="D404">
        <v>8094</v>
      </c>
      <c r="E404">
        <v>8099</v>
      </c>
      <c r="F404">
        <v>265.06668000000002</v>
      </c>
      <c r="G404">
        <v>192.8</v>
      </c>
      <c r="H404">
        <v>1.3748271000000001</v>
      </c>
      <c r="I404">
        <v>-0.37482715</v>
      </c>
      <c r="J404">
        <v>0.42108327000000001</v>
      </c>
    </row>
    <row r="405" spans="1:10" x14ac:dyDescent="0.3">
      <c r="A405">
        <v>403</v>
      </c>
      <c r="B405">
        <v>7789</v>
      </c>
      <c r="C405" t="b">
        <v>1</v>
      </c>
      <c r="D405">
        <v>8094</v>
      </c>
      <c r="E405">
        <v>8117</v>
      </c>
      <c r="F405">
        <v>265.06668000000002</v>
      </c>
      <c r="G405">
        <v>193.2</v>
      </c>
      <c r="H405">
        <v>1.3719808</v>
      </c>
      <c r="I405">
        <v>-0.3719808</v>
      </c>
      <c r="J405">
        <v>0.42158859999999998</v>
      </c>
    </row>
    <row r="406" spans="1:10" x14ac:dyDescent="0.3">
      <c r="A406">
        <v>404</v>
      </c>
      <c r="B406">
        <v>7804</v>
      </c>
      <c r="C406" t="b">
        <v>1</v>
      </c>
      <c r="D406">
        <v>8094</v>
      </c>
      <c r="E406">
        <v>8105</v>
      </c>
      <c r="F406">
        <v>264.26666</v>
      </c>
      <c r="G406">
        <v>193.2</v>
      </c>
      <c r="H406">
        <v>1.3678399000000001</v>
      </c>
      <c r="I406">
        <v>-0.3678399</v>
      </c>
      <c r="J406">
        <v>0.42232585</v>
      </c>
    </row>
    <row r="407" spans="1:10" x14ac:dyDescent="0.3">
      <c r="A407">
        <v>405</v>
      </c>
      <c r="B407">
        <v>7820</v>
      </c>
      <c r="C407" t="b">
        <v>1</v>
      </c>
      <c r="D407">
        <v>8111</v>
      </c>
      <c r="E407">
        <v>8111</v>
      </c>
      <c r="F407">
        <v>263.86667</v>
      </c>
      <c r="G407">
        <v>193.2</v>
      </c>
      <c r="H407">
        <v>1.3657695000000001</v>
      </c>
      <c r="I407">
        <v>-0.36576954</v>
      </c>
      <c r="J407">
        <v>0.42269546000000002</v>
      </c>
    </row>
    <row r="408" spans="1:10" x14ac:dyDescent="0.3">
      <c r="A408">
        <v>406</v>
      </c>
      <c r="B408">
        <v>7836</v>
      </c>
      <c r="C408" t="b">
        <v>1</v>
      </c>
      <c r="D408">
        <v>8094</v>
      </c>
      <c r="E408">
        <v>8099</v>
      </c>
      <c r="F408">
        <v>263.06668000000002</v>
      </c>
      <c r="G408">
        <v>193.2</v>
      </c>
      <c r="H408">
        <v>1.3616288000000001</v>
      </c>
      <c r="I408">
        <v>-0.36162879999999997</v>
      </c>
      <c r="J408">
        <v>0.42343658000000001</v>
      </c>
    </row>
    <row r="409" spans="1:10" x14ac:dyDescent="0.3">
      <c r="A409">
        <v>407</v>
      </c>
      <c r="B409">
        <v>7851</v>
      </c>
      <c r="C409" t="b">
        <v>1</v>
      </c>
      <c r="D409">
        <v>8111</v>
      </c>
      <c r="E409">
        <v>8099</v>
      </c>
      <c r="F409">
        <v>262.26666</v>
      </c>
      <c r="G409">
        <v>192.8</v>
      </c>
      <c r="H409">
        <v>1.3603042000000001</v>
      </c>
      <c r="I409">
        <v>-0.36030424</v>
      </c>
      <c r="J409">
        <v>0.4236742</v>
      </c>
    </row>
    <row r="410" spans="1:10" x14ac:dyDescent="0.3">
      <c r="A410">
        <v>408</v>
      </c>
      <c r="B410">
        <v>7867</v>
      </c>
      <c r="C410" t="b">
        <v>1</v>
      </c>
      <c r="D410">
        <v>8083</v>
      </c>
      <c r="E410">
        <v>8111</v>
      </c>
      <c r="F410">
        <v>261.46667000000002</v>
      </c>
      <c r="G410">
        <v>192.4</v>
      </c>
      <c r="H410">
        <v>1.3589745</v>
      </c>
      <c r="I410">
        <v>-0.35897446</v>
      </c>
      <c r="J410">
        <v>0.42391303000000002</v>
      </c>
    </row>
    <row r="411" spans="1:10" x14ac:dyDescent="0.3">
      <c r="A411">
        <v>409</v>
      </c>
      <c r="B411">
        <v>7883</v>
      </c>
      <c r="C411" t="b">
        <v>1</v>
      </c>
      <c r="D411">
        <v>8077</v>
      </c>
      <c r="E411">
        <v>8111</v>
      </c>
      <c r="F411">
        <v>259.93331999999998</v>
      </c>
      <c r="G411">
        <v>192.8</v>
      </c>
      <c r="H411">
        <v>1.3482019000000001</v>
      </c>
      <c r="I411">
        <v>-0.34820183999999998</v>
      </c>
      <c r="J411">
        <v>0.42585774999999998</v>
      </c>
    </row>
    <row r="412" spans="1:10" x14ac:dyDescent="0.3">
      <c r="A412">
        <v>410</v>
      </c>
      <c r="B412">
        <v>7915</v>
      </c>
      <c r="C412" t="b">
        <v>1</v>
      </c>
      <c r="D412">
        <v>8100</v>
      </c>
      <c r="E412">
        <v>8075</v>
      </c>
      <c r="F412">
        <v>258.39999999999998</v>
      </c>
      <c r="G412">
        <v>192.4</v>
      </c>
      <c r="H412">
        <v>1.3430352999999999</v>
      </c>
      <c r="I412">
        <v>-0.34303534000000002</v>
      </c>
      <c r="J412">
        <v>0.42679679999999998</v>
      </c>
    </row>
    <row r="413" spans="1:10" x14ac:dyDescent="0.3">
      <c r="A413">
        <v>411</v>
      </c>
      <c r="B413">
        <v>7946</v>
      </c>
      <c r="C413" t="b">
        <v>1</v>
      </c>
      <c r="D413">
        <v>8123</v>
      </c>
      <c r="E413">
        <v>8105</v>
      </c>
      <c r="F413">
        <v>258</v>
      </c>
      <c r="G413">
        <v>192</v>
      </c>
      <c r="H413">
        <v>1.34375</v>
      </c>
      <c r="I413">
        <v>-0.34375</v>
      </c>
      <c r="J413">
        <v>0.42666668000000002</v>
      </c>
    </row>
    <row r="414" spans="1:10" x14ac:dyDescent="0.3">
      <c r="A414">
        <v>412</v>
      </c>
      <c r="B414">
        <v>7978</v>
      </c>
      <c r="C414" t="b">
        <v>1</v>
      </c>
      <c r="D414">
        <v>8088</v>
      </c>
      <c r="E414">
        <v>8093</v>
      </c>
      <c r="F414">
        <v>256.8</v>
      </c>
      <c r="G414">
        <v>191.6</v>
      </c>
      <c r="H414">
        <v>1.3402921999999999</v>
      </c>
      <c r="I414">
        <v>-0.34029216000000001</v>
      </c>
      <c r="J414">
        <v>0.42729709999999999</v>
      </c>
    </row>
    <row r="415" spans="1:10" x14ac:dyDescent="0.3">
      <c r="A415">
        <v>413</v>
      </c>
      <c r="B415">
        <v>8010</v>
      </c>
      <c r="C415" t="b">
        <v>1</v>
      </c>
      <c r="D415">
        <v>8117</v>
      </c>
      <c r="E415">
        <v>8111</v>
      </c>
      <c r="F415">
        <v>256.39999999999998</v>
      </c>
      <c r="G415">
        <v>191.6</v>
      </c>
      <c r="H415">
        <v>1.3382045</v>
      </c>
      <c r="I415">
        <v>-0.33820453</v>
      </c>
      <c r="J415">
        <v>0.42767859000000003</v>
      </c>
    </row>
    <row r="416" spans="1:10" x14ac:dyDescent="0.3">
      <c r="A416">
        <v>414</v>
      </c>
      <c r="B416">
        <v>8026</v>
      </c>
      <c r="C416" t="b">
        <v>1</v>
      </c>
      <c r="D416">
        <v>8111</v>
      </c>
      <c r="E416">
        <v>8087</v>
      </c>
      <c r="F416">
        <v>256.73334</v>
      </c>
      <c r="G416">
        <v>190.4</v>
      </c>
      <c r="H416">
        <v>1.3483894000000001</v>
      </c>
      <c r="I416">
        <v>-0.34838942000000001</v>
      </c>
      <c r="J416">
        <v>0.42582375</v>
      </c>
    </row>
    <row r="417" spans="1:10" x14ac:dyDescent="0.3">
      <c r="A417">
        <v>415</v>
      </c>
      <c r="B417">
        <v>8042</v>
      </c>
      <c r="C417" t="b">
        <v>1</v>
      </c>
      <c r="D417">
        <v>8123</v>
      </c>
      <c r="E417">
        <v>8111</v>
      </c>
      <c r="F417">
        <v>257.46667000000002</v>
      </c>
      <c r="G417">
        <v>190</v>
      </c>
      <c r="H417">
        <v>1.3550878</v>
      </c>
      <c r="I417">
        <v>-0.35508775999999997</v>
      </c>
      <c r="J417">
        <v>0.42461260000000001</v>
      </c>
    </row>
    <row r="418" spans="1:10" x14ac:dyDescent="0.3">
      <c r="A418">
        <v>416</v>
      </c>
      <c r="B418">
        <v>8057</v>
      </c>
      <c r="C418" t="b">
        <v>1</v>
      </c>
      <c r="D418">
        <v>8106</v>
      </c>
      <c r="E418">
        <v>8111</v>
      </c>
      <c r="F418">
        <v>258.2</v>
      </c>
      <c r="G418">
        <v>190</v>
      </c>
      <c r="H418">
        <v>1.3589473999999999</v>
      </c>
      <c r="I418">
        <v>-0.35894743000000001</v>
      </c>
      <c r="J418">
        <v>0.42391790000000001</v>
      </c>
    </row>
    <row r="419" spans="1:10" x14ac:dyDescent="0.3">
      <c r="A419">
        <v>417</v>
      </c>
      <c r="B419">
        <v>8073</v>
      </c>
      <c r="C419" t="b">
        <v>1</v>
      </c>
      <c r="D419">
        <v>8111</v>
      </c>
      <c r="E419">
        <v>8105</v>
      </c>
      <c r="F419">
        <v>259.33334000000002</v>
      </c>
      <c r="G419">
        <v>190.4</v>
      </c>
      <c r="H419">
        <v>1.3620448999999999</v>
      </c>
      <c r="I419">
        <v>-0.3620449</v>
      </c>
      <c r="J419">
        <v>0.42336200000000002</v>
      </c>
    </row>
    <row r="420" spans="1:10" x14ac:dyDescent="0.3">
      <c r="A420">
        <v>418</v>
      </c>
      <c r="B420">
        <v>8105</v>
      </c>
      <c r="C420" t="b">
        <v>1</v>
      </c>
      <c r="D420">
        <v>8083</v>
      </c>
      <c r="E420">
        <v>8129</v>
      </c>
      <c r="F420">
        <v>260.46667000000002</v>
      </c>
      <c r="G420">
        <v>190.4</v>
      </c>
      <c r="H420">
        <v>1.3679973000000001</v>
      </c>
      <c r="I420">
        <v>-0.36799730000000003</v>
      </c>
      <c r="J420">
        <v>0.42229778000000001</v>
      </c>
    </row>
    <row r="421" spans="1:10" x14ac:dyDescent="0.3">
      <c r="A421">
        <v>419</v>
      </c>
      <c r="B421">
        <v>8136</v>
      </c>
      <c r="C421" t="b">
        <v>1</v>
      </c>
      <c r="D421">
        <v>8088</v>
      </c>
      <c r="E421">
        <v>8105</v>
      </c>
      <c r="F421">
        <v>261.26666</v>
      </c>
      <c r="G421">
        <v>190.8</v>
      </c>
      <c r="H421">
        <v>1.3693221</v>
      </c>
      <c r="I421">
        <v>-0.36932211999999998</v>
      </c>
      <c r="J421">
        <v>0.42206165000000001</v>
      </c>
    </row>
    <row r="422" spans="1:10" x14ac:dyDescent="0.3">
      <c r="A422">
        <v>420</v>
      </c>
      <c r="B422">
        <v>8152</v>
      </c>
      <c r="C422" t="b">
        <v>1</v>
      </c>
      <c r="D422">
        <v>8094</v>
      </c>
      <c r="E422">
        <v>8093</v>
      </c>
      <c r="F422">
        <v>261.26666</v>
      </c>
      <c r="G422">
        <v>190.8</v>
      </c>
      <c r="H422">
        <v>1.3693221</v>
      </c>
      <c r="I422">
        <v>-0.36932211999999998</v>
      </c>
      <c r="J422">
        <v>0.42206165000000001</v>
      </c>
    </row>
    <row r="423" spans="1:10" x14ac:dyDescent="0.3">
      <c r="A423">
        <v>421</v>
      </c>
      <c r="B423">
        <v>8184</v>
      </c>
      <c r="C423" t="b">
        <v>1</v>
      </c>
      <c r="D423">
        <v>8094</v>
      </c>
      <c r="E423">
        <v>8111</v>
      </c>
      <c r="F423">
        <v>261.26666</v>
      </c>
      <c r="G423">
        <v>190.8</v>
      </c>
      <c r="H423">
        <v>1.3693221</v>
      </c>
      <c r="I423">
        <v>-0.36932211999999998</v>
      </c>
      <c r="J423">
        <v>0.42206165000000001</v>
      </c>
    </row>
    <row r="424" spans="1:10" x14ac:dyDescent="0.3">
      <c r="A424">
        <v>422</v>
      </c>
      <c r="B424">
        <v>8200</v>
      </c>
      <c r="C424" t="b">
        <v>1</v>
      </c>
      <c r="D424">
        <v>8094</v>
      </c>
      <c r="E424">
        <v>8111</v>
      </c>
      <c r="F424">
        <v>261.26666</v>
      </c>
      <c r="G424">
        <v>191.2</v>
      </c>
      <c r="H424">
        <v>1.3664575000000001</v>
      </c>
      <c r="I424">
        <v>-0.36645746000000001</v>
      </c>
      <c r="J424">
        <v>0.42257254999999999</v>
      </c>
    </row>
    <row r="425" spans="1:10" x14ac:dyDescent="0.3">
      <c r="A425">
        <v>423</v>
      </c>
      <c r="B425">
        <v>8215</v>
      </c>
      <c r="C425" t="b">
        <v>1</v>
      </c>
      <c r="D425">
        <v>8111</v>
      </c>
      <c r="E425">
        <v>8123</v>
      </c>
      <c r="F425">
        <v>261.26666</v>
      </c>
      <c r="G425">
        <v>191.6</v>
      </c>
      <c r="H425">
        <v>1.3636047</v>
      </c>
      <c r="I425">
        <v>-0.36360466000000002</v>
      </c>
      <c r="J425">
        <v>0.42308259999999998</v>
      </c>
    </row>
    <row r="426" spans="1:10" x14ac:dyDescent="0.3">
      <c r="A426">
        <v>424</v>
      </c>
      <c r="B426">
        <v>8232</v>
      </c>
      <c r="C426" t="b">
        <v>1</v>
      </c>
      <c r="D426">
        <v>8100</v>
      </c>
      <c r="E426">
        <v>8111</v>
      </c>
      <c r="F426">
        <v>261.26666</v>
      </c>
      <c r="G426">
        <v>191.6</v>
      </c>
      <c r="H426">
        <v>1.3636047</v>
      </c>
      <c r="I426">
        <v>-0.36360466000000002</v>
      </c>
      <c r="J426">
        <v>0.42308259999999998</v>
      </c>
    </row>
    <row r="427" spans="1:10" x14ac:dyDescent="0.3">
      <c r="A427">
        <v>425</v>
      </c>
      <c r="B427">
        <v>8248</v>
      </c>
      <c r="C427" t="b">
        <v>1</v>
      </c>
      <c r="D427">
        <v>8106</v>
      </c>
      <c r="E427">
        <v>8111</v>
      </c>
      <c r="F427">
        <v>261.66665999999998</v>
      </c>
      <c r="G427">
        <v>192.4</v>
      </c>
      <c r="H427">
        <v>1.3600137999999999</v>
      </c>
      <c r="I427">
        <v>-0.36001383999999997</v>
      </c>
      <c r="J427">
        <v>0.42372631999999999</v>
      </c>
    </row>
    <row r="428" spans="1:10" x14ac:dyDescent="0.3">
      <c r="A428">
        <v>426</v>
      </c>
      <c r="B428">
        <v>8280</v>
      </c>
      <c r="C428" t="b">
        <v>1</v>
      </c>
      <c r="D428">
        <v>8094</v>
      </c>
      <c r="E428">
        <v>8099</v>
      </c>
      <c r="F428">
        <v>261.66665999999998</v>
      </c>
      <c r="G428">
        <v>192.8</v>
      </c>
      <c r="H428">
        <v>1.3571922000000001</v>
      </c>
      <c r="I428">
        <v>-0.35719220000000002</v>
      </c>
      <c r="J428">
        <v>0.42423353000000003</v>
      </c>
    </row>
    <row r="429" spans="1:10" x14ac:dyDescent="0.3">
      <c r="A429">
        <v>427</v>
      </c>
      <c r="B429">
        <v>8311</v>
      </c>
      <c r="C429" t="b">
        <v>1</v>
      </c>
      <c r="D429">
        <v>8077</v>
      </c>
      <c r="E429">
        <v>8099</v>
      </c>
      <c r="F429">
        <v>262.46667000000002</v>
      </c>
      <c r="G429">
        <v>193.2</v>
      </c>
      <c r="H429">
        <v>1.3585231</v>
      </c>
      <c r="I429">
        <v>-0.35852319999999999</v>
      </c>
      <c r="J429">
        <v>0.42399411999999997</v>
      </c>
    </row>
    <row r="430" spans="1:10" x14ac:dyDescent="0.3">
      <c r="A430">
        <v>428</v>
      </c>
      <c r="B430">
        <v>8327</v>
      </c>
      <c r="C430" t="b">
        <v>1</v>
      </c>
      <c r="D430">
        <v>8123</v>
      </c>
      <c r="E430">
        <v>8087</v>
      </c>
      <c r="F430">
        <v>262.46667000000002</v>
      </c>
      <c r="G430">
        <v>192.8</v>
      </c>
      <c r="H430">
        <v>1.3613416</v>
      </c>
      <c r="I430">
        <v>-0.36134166000000001</v>
      </c>
      <c r="J430">
        <v>0.42348807999999999</v>
      </c>
    </row>
    <row r="431" spans="1:10" x14ac:dyDescent="0.3">
      <c r="A431">
        <v>429</v>
      </c>
      <c r="B431">
        <v>8343</v>
      </c>
      <c r="C431" t="b">
        <v>1</v>
      </c>
      <c r="D431">
        <v>8100</v>
      </c>
      <c r="E431">
        <v>8087</v>
      </c>
      <c r="F431">
        <v>261.73334</v>
      </c>
      <c r="G431">
        <v>193.2</v>
      </c>
      <c r="H431">
        <v>1.3547274</v>
      </c>
      <c r="I431">
        <v>-0.35472745</v>
      </c>
      <c r="J431">
        <v>0.42467758</v>
      </c>
    </row>
    <row r="432" spans="1:10" x14ac:dyDescent="0.3">
      <c r="A432">
        <v>430</v>
      </c>
      <c r="B432">
        <v>8359</v>
      </c>
      <c r="C432" t="b">
        <v>1</v>
      </c>
      <c r="D432">
        <v>8077</v>
      </c>
      <c r="E432">
        <v>8093</v>
      </c>
      <c r="F432">
        <v>260.2</v>
      </c>
      <c r="G432">
        <v>192.4</v>
      </c>
      <c r="H432">
        <v>1.3523909999999999</v>
      </c>
      <c r="I432">
        <v>-0.35239093999999999</v>
      </c>
      <c r="J432">
        <v>0.42509940000000002</v>
      </c>
    </row>
    <row r="433" spans="1:10" x14ac:dyDescent="0.3">
      <c r="A433">
        <v>431</v>
      </c>
      <c r="B433">
        <v>8375</v>
      </c>
      <c r="C433" t="b">
        <v>1</v>
      </c>
      <c r="D433">
        <v>8100</v>
      </c>
      <c r="E433">
        <v>8105</v>
      </c>
      <c r="F433">
        <v>259.46667000000002</v>
      </c>
      <c r="G433">
        <v>191.2</v>
      </c>
      <c r="H433">
        <v>1.3570433</v>
      </c>
      <c r="I433">
        <v>-0.35704330000000001</v>
      </c>
      <c r="J433">
        <v>0.42426032000000002</v>
      </c>
    </row>
    <row r="434" spans="1:10" x14ac:dyDescent="0.3">
      <c r="A434">
        <v>432</v>
      </c>
      <c r="B434">
        <v>8391</v>
      </c>
      <c r="C434" t="b">
        <v>1</v>
      </c>
      <c r="D434">
        <v>8100</v>
      </c>
      <c r="E434">
        <v>8105</v>
      </c>
      <c r="F434">
        <v>258.73334</v>
      </c>
      <c r="G434">
        <v>190</v>
      </c>
      <c r="H434">
        <v>1.3617543999999999</v>
      </c>
      <c r="I434">
        <v>-0.36175442000000002</v>
      </c>
      <c r="J434">
        <v>0.42341404999999999</v>
      </c>
    </row>
    <row r="435" spans="1:10" x14ac:dyDescent="0.3">
      <c r="A435">
        <v>433</v>
      </c>
      <c r="B435">
        <v>8423</v>
      </c>
      <c r="C435" t="b">
        <v>1</v>
      </c>
      <c r="D435">
        <v>8111</v>
      </c>
      <c r="E435">
        <v>8099</v>
      </c>
      <c r="F435">
        <v>258</v>
      </c>
      <c r="G435">
        <v>189.2</v>
      </c>
      <c r="H435">
        <v>1.3636364000000001</v>
      </c>
      <c r="I435">
        <v>-0.36363636999999999</v>
      </c>
      <c r="J435">
        <v>0.42307689999999998</v>
      </c>
    </row>
    <row r="436" spans="1:10" x14ac:dyDescent="0.3">
      <c r="A436">
        <v>434</v>
      </c>
      <c r="B436">
        <v>8439</v>
      </c>
      <c r="C436" t="b">
        <v>1</v>
      </c>
      <c r="D436">
        <v>8106</v>
      </c>
      <c r="E436">
        <v>8105</v>
      </c>
      <c r="F436">
        <v>257.60000000000002</v>
      </c>
      <c r="G436">
        <v>188.8</v>
      </c>
      <c r="H436">
        <v>1.3644068</v>
      </c>
      <c r="I436">
        <v>-0.36440679999999998</v>
      </c>
      <c r="J436">
        <v>0.42293905999999998</v>
      </c>
    </row>
    <row r="437" spans="1:10" x14ac:dyDescent="0.3">
      <c r="A437">
        <v>435</v>
      </c>
      <c r="B437">
        <v>8454</v>
      </c>
      <c r="C437" t="b">
        <v>1</v>
      </c>
      <c r="D437">
        <v>8111</v>
      </c>
      <c r="E437">
        <v>8111</v>
      </c>
      <c r="F437">
        <v>258.39999999999998</v>
      </c>
      <c r="G437">
        <v>188.8</v>
      </c>
      <c r="H437">
        <v>1.368644</v>
      </c>
      <c r="I437">
        <v>-0.36864400000000003</v>
      </c>
      <c r="J437">
        <v>0.42218246999999998</v>
      </c>
    </row>
    <row r="438" spans="1:10" x14ac:dyDescent="0.3">
      <c r="A438">
        <v>436</v>
      </c>
      <c r="B438">
        <v>8470</v>
      </c>
      <c r="C438" t="b">
        <v>1</v>
      </c>
      <c r="D438">
        <v>8100</v>
      </c>
      <c r="E438">
        <v>8140</v>
      </c>
      <c r="F438">
        <v>259.2</v>
      </c>
      <c r="G438">
        <v>188.8</v>
      </c>
      <c r="H438">
        <v>1.3728814</v>
      </c>
      <c r="I438">
        <v>-0.37288139999999997</v>
      </c>
      <c r="J438">
        <v>0.42142859999999999</v>
      </c>
    </row>
    <row r="439" spans="1:10" x14ac:dyDescent="0.3">
      <c r="A439">
        <v>437</v>
      </c>
      <c r="B439">
        <v>8486</v>
      </c>
      <c r="C439" t="b">
        <v>1</v>
      </c>
      <c r="D439">
        <v>8106</v>
      </c>
      <c r="E439">
        <v>8117</v>
      </c>
      <c r="F439">
        <v>260</v>
      </c>
      <c r="G439">
        <v>188.8</v>
      </c>
      <c r="H439">
        <v>1.3771186</v>
      </c>
      <c r="I439">
        <v>-0.37711862000000002</v>
      </c>
      <c r="J439">
        <v>0.42067739999999998</v>
      </c>
    </row>
    <row r="440" spans="1:10" x14ac:dyDescent="0.3">
      <c r="A440">
        <v>438</v>
      </c>
      <c r="B440">
        <v>8502</v>
      </c>
      <c r="C440" t="b">
        <v>1</v>
      </c>
      <c r="D440">
        <v>8100</v>
      </c>
      <c r="E440">
        <v>8081</v>
      </c>
      <c r="F440">
        <v>260.8</v>
      </c>
      <c r="G440">
        <v>188.8</v>
      </c>
      <c r="H440">
        <v>1.3813559</v>
      </c>
      <c r="I440">
        <v>-0.38135585</v>
      </c>
      <c r="J440">
        <v>0.41992885000000002</v>
      </c>
    </row>
    <row r="441" spans="1:10" x14ac:dyDescent="0.3">
      <c r="A441">
        <v>439</v>
      </c>
      <c r="B441">
        <v>8517</v>
      </c>
      <c r="C441" t="b">
        <v>1</v>
      </c>
      <c r="D441">
        <v>8106</v>
      </c>
      <c r="E441">
        <v>8111</v>
      </c>
      <c r="F441">
        <v>261.60000000000002</v>
      </c>
      <c r="G441">
        <v>188.8</v>
      </c>
      <c r="H441">
        <v>1.3855932</v>
      </c>
      <c r="I441">
        <v>-0.38559324</v>
      </c>
      <c r="J441">
        <v>0.41918293000000001</v>
      </c>
    </row>
    <row r="442" spans="1:10" x14ac:dyDescent="0.3">
      <c r="A442">
        <v>440</v>
      </c>
      <c r="B442">
        <v>8533</v>
      </c>
      <c r="C442" t="b">
        <v>1</v>
      </c>
      <c r="D442">
        <v>8117</v>
      </c>
      <c r="E442">
        <v>8123</v>
      </c>
      <c r="F442">
        <v>262</v>
      </c>
      <c r="G442">
        <v>189.2</v>
      </c>
      <c r="H442">
        <v>1.3847780000000001</v>
      </c>
      <c r="I442">
        <v>-0.38477802</v>
      </c>
      <c r="J442">
        <v>0.41932622000000003</v>
      </c>
    </row>
    <row r="443" spans="1:10" x14ac:dyDescent="0.3">
      <c r="A443">
        <v>441</v>
      </c>
      <c r="B443">
        <v>8549</v>
      </c>
      <c r="C443" t="b">
        <v>1</v>
      </c>
      <c r="D443">
        <v>8094</v>
      </c>
      <c r="E443">
        <v>8087</v>
      </c>
      <c r="F443">
        <v>262.39999999999998</v>
      </c>
      <c r="G443">
        <v>189.2</v>
      </c>
      <c r="H443">
        <v>1.3868921999999999</v>
      </c>
      <c r="I443">
        <v>-0.38689216999999998</v>
      </c>
      <c r="J443">
        <v>0.41895484999999999</v>
      </c>
    </row>
    <row r="444" spans="1:10" x14ac:dyDescent="0.3">
      <c r="A444">
        <v>442</v>
      </c>
      <c r="B444">
        <v>8565</v>
      </c>
      <c r="C444" t="b">
        <v>1</v>
      </c>
      <c r="D444">
        <v>8100</v>
      </c>
      <c r="E444">
        <v>8129</v>
      </c>
      <c r="F444">
        <v>262.39999999999998</v>
      </c>
      <c r="G444">
        <v>189.2</v>
      </c>
      <c r="H444">
        <v>1.3868921999999999</v>
      </c>
      <c r="I444">
        <v>-0.38689216999999998</v>
      </c>
      <c r="J444">
        <v>0.41895484999999999</v>
      </c>
    </row>
    <row r="445" spans="1:10" x14ac:dyDescent="0.3">
      <c r="A445">
        <v>443</v>
      </c>
      <c r="B445">
        <v>8581</v>
      </c>
      <c r="C445" t="b">
        <v>1</v>
      </c>
      <c r="D445">
        <v>8106</v>
      </c>
      <c r="E445">
        <v>8111</v>
      </c>
      <c r="F445">
        <v>262.8</v>
      </c>
      <c r="G445">
        <v>190</v>
      </c>
      <c r="H445">
        <v>1.3831578</v>
      </c>
      <c r="I445">
        <v>-0.38315781999999998</v>
      </c>
      <c r="J445">
        <v>0.41961130000000002</v>
      </c>
    </row>
    <row r="446" spans="1:10" x14ac:dyDescent="0.3">
      <c r="A446">
        <v>444</v>
      </c>
      <c r="B446">
        <v>8596</v>
      </c>
      <c r="C446" t="b">
        <v>1</v>
      </c>
      <c r="D446">
        <v>8100</v>
      </c>
      <c r="E446">
        <v>8134</v>
      </c>
      <c r="F446">
        <v>262.8</v>
      </c>
      <c r="G446">
        <v>191.6</v>
      </c>
      <c r="H446">
        <v>1.3716074</v>
      </c>
      <c r="I446">
        <v>-0.37160742000000002</v>
      </c>
      <c r="J446">
        <v>0.42165493999999998</v>
      </c>
    </row>
    <row r="447" spans="1:10" x14ac:dyDescent="0.3">
      <c r="A447">
        <v>445</v>
      </c>
      <c r="B447">
        <v>8612</v>
      </c>
      <c r="C447" t="b">
        <v>1</v>
      </c>
      <c r="D447">
        <v>8111</v>
      </c>
      <c r="E447">
        <v>8093</v>
      </c>
      <c r="F447">
        <v>263.2</v>
      </c>
      <c r="G447">
        <v>192.8</v>
      </c>
      <c r="H447">
        <v>1.3651453</v>
      </c>
      <c r="I447">
        <v>-0.36514527000000002</v>
      </c>
      <c r="J447">
        <v>0.42280704000000002</v>
      </c>
    </row>
    <row r="448" spans="1:10" x14ac:dyDescent="0.3">
      <c r="A448">
        <v>446</v>
      </c>
      <c r="B448">
        <v>8628</v>
      </c>
      <c r="C448" t="b">
        <v>1</v>
      </c>
      <c r="D448">
        <v>8100</v>
      </c>
      <c r="E448">
        <v>8111</v>
      </c>
      <c r="F448">
        <v>263.2</v>
      </c>
      <c r="G448">
        <v>194</v>
      </c>
      <c r="H448">
        <v>1.3567011</v>
      </c>
      <c r="I448">
        <v>-0.35670109999999999</v>
      </c>
      <c r="J448">
        <v>0.42432195</v>
      </c>
    </row>
    <row r="449" spans="1:10" x14ac:dyDescent="0.3">
      <c r="A449">
        <v>447</v>
      </c>
      <c r="B449">
        <v>8644</v>
      </c>
      <c r="C449" t="b">
        <v>1</v>
      </c>
      <c r="D449">
        <v>8117</v>
      </c>
      <c r="E449">
        <v>8123</v>
      </c>
      <c r="F449">
        <v>263.60000000000002</v>
      </c>
      <c r="G449">
        <v>195.2</v>
      </c>
      <c r="H449">
        <v>1.3504099000000001</v>
      </c>
      <c r="I449">
        <v>-0.3504099</v>
      </c>
      <c r="J449">
        <v>0.42545771999999998</v>
      </c>
    </row>
    <row r="450" spans="1:10" x14ac:dyDescent="0.3">
      <c r="A450">
        <v>448</v>
      </c>
      <c r="B450">
        <v>8660</v>
      </c>
      <c r="C450" t="b">
        <v>1</v>
      </c>
      <c r="D450">
        <v>8117</v>
      </c>
      <c r="E450">
        <v>8117</v>
      </c>
      <c r="F450">
        <v>264.33334000000002</v>
      </c>
      <c r="G450">
        <v>196.4</v>
      </c>
      <c r="H450">
        <v>1.3458927999999999</v>
      </c>
      <c r="I450">
        <v>-0.34589281999999999</v>
      </c>
      <c r="J450">
        <v>0.42627692</v>
      </c>
    </row>
    <row r="451" spans="1:10" x14ac:dyDescent="0.3">
      <c r="A451">
        <v>449</v>
      </c>
      <c r="B451">
        <v>8676</v>
      </c>
      <c r="C451" t="b">
        <v>1</v>
      </c>
      <c r="D451">
        <v>8100</v>
      </c>
      <c r="E451">
        <v>8093</v>
      </c>
      <c r="F451">
        <v>265.06668000000002</v>
      </c>
      <c r="G451">
        <v>196.8</v>
      </c>
      <c r="H451">
        <v>1.3468834999999999</v>
      </c>
      <c r="I451">
        <v>-0.34688350000000001</v>
      </c>
      <c r="J451">
        <v>0.42609698000000001</v>
      </c>
    </row>
    <row r="452" spans="1:10" x14ac:dyDescent="0.3">
      <c r="A452">
        <v>450</v>
      </c>
      <c r="B452">
        <v>8692</v>
      </c>
      <c r="C452" t="b">
        <v>1</v>
      </c>
      <c r="D452">
        <v>8106</v>
      </c>
      <c r="E452">
        <v>8123</v>
      </c>
      <c r="F452">
        <v>265.06668000000002</v>
      </c>
      <c r="G452">
        <v>197.6</v>
      </c>
      <c r="H452">
        <v>1.3414305</v>
      </c>
      <c r="I452">
        <v>-0.34143054</v>
      </c>
      <c r="J452">
        <v>0.42708932999999999</v>
      </c>
    </row>
    <row r="453" spans="1:10" x14ac:dyDescent="0.3">
      <c r="A453">
        <v>451</v>
      </c>
      <c r="B453">
        <v>8723</v>
      </c>
      <c r="C453" t="b">
        <v>1</v>
      </c>
      <c r="D453">
        <v>8100</v>
      </c>
      <c r="E453">
        <v>8099</v>
      </c>
      <c r="F453">
        <v>265.06668000000002</v>
      </c>
      <c r="G453">
        <v>198.4</v>
      </c>
      <c r="H453">
        <v>1.3360217000000001</v>
      </c>
      <c r="I453">
        <v>-0.33602163000000002</v>
      </c>
      <c r="J453">
        <v>0.42807823</v>
      </c>
    </row>
    <row r="454" spans="1:10" x14ac:dyDescent="0.3">
      <c r="A454">
        <v>452</v>
      </c>
      <c r="B454">
        <v>8739</v>
      </c>
      <c r="C454" t="b">
        <v>1</v>
      </c>
      <c r="D454">
        <v>8123</v>
      </c>
      <c r="E454">
        <v>8087</v>
      </c>
      <c r="F454">
        <v>265.06668000000002</v>
      </c>
      <c r="G454">
        <v>197.6</v>
      </c>
      <c r="H454">
        <v>1.3414305</v>
      </c>
      <c r="I454">
        <v>-0.34143054</v>
      </c>
      <c r="J454">
        <v>0.42708932999999999</v>
      </c>
    </row>
    <row r="455" spans="1:10" x14ac:dyDescent="0.3">
      <c r="A455">
        <v>453</v>
      </c>
      <c r="B455">
        <v>8755</v>
      </c>
      <c r="C455" t="b">
        <v>1</v>
      </c>
      <c r="D455">
        <v>8106</v>
      </c>
      <c r="E455">
        <v>8105</v>
      </c>
      <c r="F455">
        <v>265.06668000000002</v>
      </c>
      <c r="G455">
        <v>196.8</v>
      </c>
      <c r="H455">
        <v>1.3468834999999999</v>
      </c>
      <c r="I455">
        <v>-0.34688350000000001</v>
      </c>
      <c r="J455">
        <v>0.42609698000000001</v>
      </c>
    </row>
    <row r="456" spans="1:10" x14ac:dyDescent="0.3">
      <c r="A456">
        <v>454</v>
      </c>
      <c r="B456">
        <v>8771</v>
      </c>
      <c r="C456" t="b">
        <v>1</v>
      </c>
      <c r="D456">
        <v>8100</v>
      </c>
      <c r="E456">
        <v>8093</v>
      </c>
      <c r="F456">
        <v>265.06668000000002</v>
      </c>
      <c r="G456">
        <v>196</v>
      </c>
      <c r="H456">
        <v>1.3523810000000001</v>
      </c>
      <c r="I456">
        <v>-0.35238101999999999</v>
      </c>
      <c r="J456">
        <v>0.42510120000000001</v>
      </c>
    </row>
    <row r="457" spans="1:10" x14ac:dyDescent="0.3">
      <c r="A457">
        <v>455</v>
      </c>
      <c r="B457">
        <v>8787</v>
      </c>
      <c r="C457" t="b">
        <v>1</v>
      </c>
      <c r="D457">
        <v>8106</v>
      </c>
      <c r="E457">
        <v>8123</v>
      </c>
      <c r="F457">
        <v>265.06668000000002</v>
      </c>
      <c r="G457">
        <v>194.8</v>
      </c>
      <c r="H457">
        <v>1.3607119000000001</v>
      </c>
      <c r="I457">
        <v>-0.36071189999999997</v>
      </c>
      <c r="J457">
        <v>0.42360102999999999</v>
      </c>
    </row>
    <row r="458" spans="1:10" x14ac:dyDescent="0.3">
      <c r="A458">
        <v>456</v>
      </c>
      <c r="B458">
        <v>8803</v>
      </c>
      <c r="C458" t="b">
        <v>1</v>
      </c>
      <c r="D458">
        <v>8094</v>
      </c>
      <c r="E458">
        <v>8111</v>
      </c>
      <c r="F458">
        <v>265.06668000000002</v>
      </c>
      <c r="G458">
        <v>194.4</v>
      </c>
      <c r="H458">
        <v>1.3635117999999999</v>
      </c>
      <c r="I458">
        <v>-0.36351177000000001</v>
      </c>
      <c r="J458">
        <v>0.42309922</v>
      </c>
    </row>
    <row r="459" spans="1:10" x14ac:dyDescent="0.3">
      <c r="A459">
        <v>457</v>
      </c>
      <c r="B459">
        <v>8818</v>
      </c>
      <c r="C459" t="b">
        <v>1</v>
      </c>
      <c r="D459">
        <v>8106</v>
      </c>
      <c r="E459">
        <v>8093</v>
      </c>
      <c r="F459">
        <v>265.46667000000002</v>
      </c>
      <c r="G459">
        <v>194</v>
      </c>
      <c r="H459">
        <v>1.368385</v>
      </c>
      <c r="I459">
        <v>-0.36838493</v>
      </c>
      <c r="J459">
        <v>0.42222865999999998</v>
      </c>
    </row>
    <row r="460" spans="1:10" x14ac:dyDescent="0.3">
      <c r="A460">
        <v>458</v>
      </c>
      <c r="B460">
        <v>8834</v>
      </c>
      <c r="C460" t="b">
        <v>1</v>
      </c>
      <c r="D460">
        <v>8106</v>
      </c>
      <c r="E460">
        <v>8093</v>
      </c>
      <c r="F460">
        <v>265.46667000000002</v>
      </c>
      <c r="G460">
        <v>192.8</v>
      </c>
      <c r="H460">
        <v>1.3769019</v>
      </c>
      <c r="I460">
        <v>-0.37690180000000001</v>
      </c>
      <c r="J460">
        <v>0.42071575</v>
      </c>
    </row>
    <row r="461" spans="1:10" x14ac:dyDescent="0.3">
      <c r="A461">
        <v>459</v>
      </c>
      <c r="B461">
        <v>8866</v>
      </c>
      <c r="C461" t="b">
        <v>1</v>
      </c>
      <c r="D461">
        <v>8106</v>
      </c>
      <c r="E461">
        <v>8117</v>
      </c>
      <c r="F461">
        <v>265.86667</v>
      </c>
      <c r="G461">
        <v>192</v>
      </c>
      <c r="H461">
        <v>1.3847221999999999</v>
      </c>
      <c r="I461">
        <v>-0.38472223</v>
      </c>
      <c r="J461">
        <v>0.41933605000000002</v>
      </c>
    </row>
    <row r="462" spans="1:10" x14ac:dyDescent="0.3">
      <c r="A462">
        <v>460</v>
      </c>
      <c r="B462">
        <v>8881</v>
      </c>
      <c r="C462" t="b">
        <v>1</v>
      </c>
      <c r="D462">
        <v>8100</v>
      </c>
      <c r="E462">
        <v>8117</v>
      </c>
      <c r="F462">
        <v>266.26666</v>
      </c>
      <c r="G462">
        <v>192</v>
      </c>
      <c r="H462">
        <v>1.3868054999999999</v>
      </c>
      <c r="I462">
        <v>-0.38680553000000001</v>
      </c>
      <c r="J462">
        <v>0.41897004999999998</v>
      </c>
    </row>
    <row r="463" spans="1:10" x14ac:dyDescent="0.3">
      <c r="A463">
        <v>461</v>
      </c>
      <c r="B463">
        <v>8897</v>
      </c>
      <c r="C463" t="b">
        <v>1</v>
      </c>
      <c r="D463">
        <v>8094</v>
      </c>
      <c r="E463">
        <v>8111</v>
      </c>
      <c r="F463">
        <v>266.66665999999998</v>
      </c>
      <c r="G463">
        <v>192</v>
      </c>
      <c r="H463">
        <v>1.3888887999999999</v>
      </c>
      <c r="I463">
        <v>-0.38888884000000001</v>
      </c>
      <c r="J463">
        <v>0.41860467000000001</v>
      </c>
    </row>
    <row r="464" spans="1:10" x14ac:dyDescent="0.3">
      <c r="A464">
        <v>462</v>
      </c>
      <c r="B464">
        <v>8930</v>
      </c>
      <c r="C464" t="b">
        <v>1</v>
      </c>
      <c r="D464">
        <v>8111</v>
      </c>
      <c r="E464">
        <v>8105</v>
      </c>
      <c r="F464">
        <v>266.66665999999998</v>
      </c>
      <c r="G464">
        <v>192</v>
      </c>
      <c r="H464">
        <v>1.3888887999999999</v>
      </c>
      <c r="I464">
        <v>-0.38888884000000001</v>
      </c>
      <c r="J464">
        <v>0.41860467000000001</v>
      </c>
    </row>
    <row r="465" spans="1:10" x14ac:dyDescent="0.3">
      <c r="A465">
        <v>463</v>
      </c>
      <c r="B465">
        <v>8961</v>
      </c>
      <c r="C465" t="b">
        <v>1</v>
      </c>
      <c r="D465">
        <v>8111</v>
      </c>
      <c r="E465">
        <v>8129</v>
      </c>
      <c r="F465">
        <v>266.33334000000002</v>
      </c>
      <c r="G465">
        <v>192</v>
      </c>
      <c r="H465">
        <v>1.3871528</v>
      </c>
      <c r="I465">
        <v>-0.38715282000000001</v>
      </c>
      <c r="J465">
        <v>0.41890906999999999</v>
      </c>
    </row>
    <row r="466" spans="1:10" x14ac:dyDescent="0.3">
      <c r="A466">
        <v>464</v>
      </c>
      <c r="B466">
        <v>8977</v>
      </c>
      <c r="C466" t="b">
        <v>1</v>
      </c>
      <c r="D466">
        <v>8117</v>
      </c>
      <c r="E466">
        <v>8111</v>
      </c>
      <c r="F466">
        <v>266.33334000000002</v>
      </c>
      <c r="G466">
        <v>192</v>
      </c>
      <c r="H466">
        <v>1.3871528</v>
      </c>
      <c r="I466">
        <v>-0.38715282000000001</v>
      </c>
      <c r="J466">
        <v>0.41890906999999999</v>
      </c>
    </row>
    <row r="467" spans="1:10" x14ac:dyDescent="0.3">
      <c r="A467">
        <v>465</v>
      </c>
      <c r="B467">
        <v>9009</v>
      </c>
      <c r="C467" t="b">
        <v>1</v>
      </c>
      <c r="D467">
        <v>8083</v>
      </c>
      <c r="E467">
        <v>8093</v>
      </c>
      <c r="F467">
        <v>266.66665999999998</v>
      </c>
      <c r="G467">
        <v>191.6</v>
      </c>
      <c r="H467">
        <v>1.3917884</v>
      </c>
      <c r="I467">
        <v>-0.39178836</v>
      </c>
      <c r="J467">
        <v>0.4180972</v>
      </c>
    </row>
    <row r="468" spans="1:10" x14ac:dyDescent="0.3">
      <c r="A468">
        <v>466</v>
      </c>
      <c r="B468">
        <v>9024</v>
      </c>
      <c r="C468" t="b">
        <v>1</v>
      </c>
      <c r="D468">
        <v>8106</v>
      </c>
      <c r="E468">
        <v>8105</v>
      </c>
      <c r="F468">
        <v>267</v>
      </c>
      <c r="G468">
        <v>190.8</v>
      </c>
      <c r="H468">
        <v>1.3993709999999999</v>
      </c>
      <c r="I468">
        <v>-0.39937106</v>
      </c>
      <c r="J468">
        <v>0.41677589999999998</v>
      </c>
    </row>
    <row r="469" spans="1:10" x14ac:dyDescent="0.3">
      <c r="A469">
        <v>467</v>
      </c>
      <c r="B469">
        <v>9040</v>
      </c>
      <c r="C469" t="b">
        <v>1</v>
      </c>
      <c r="D469">
        <v>8106</v>
      </c>
      <c r="E469">
        <v>8117</v>
      </c>
      <c r="F469">
        <v>267</v>
      </c>
      <c r="G469">
        <v>191.6</v>
      </c>
      <c r="H469">
        <v>1.3935280999999999</v>
      </c>
      <c r="I469">
        <v>-0.39352812999999998</v>
      </c>
      <c r="J469">
        <v>0.41779329999999998</v>
      </c>
    </row>
    <row r="470" spans="1:10" x14ac:dyDescent="0.3">
      <c r="A470">
        <v>468</v>
      </c>
      <c r="B470">
        <v>9056</v>
      </c>
      <c r="C470" t="b">
        <v>1</v>
      </c>
      <c r="D470">
        <v>8083</v>
      </c>
      <c r="E470">
        <v>8111</v>
      </c>
      <c r="F470">
        <v>267</v>
      </c>
      <c r="G470">
        <v>192.4</v>
      </c>
      <c r="H470">
        <v>1.3877339</v>
      </c>
      <c r="I470">
        <v>-0.38773394</v>
      </c>
      <c r="J470">
        <v>0.41880711999999998</v>
      </c>
    </row>
    <row r="471" spans="1:10" x14ac:dyDescent="0.3">
      <c r="A471">
        <v>469</v>
      </c>
      <c r="B471">
        <v>9072</v>
      </c>
      <c r="C471" t="b">
        <v>1</v>
      </c>
      <c r="D471">
        <v>8100</v>
      </c>
      <c r="E471">
        <v>8087</v>
      </c>
      <c r="F471">
        <v>266.60000000000002</v>
      </c>
      <c r="G471">
        <v>192.8</v>
      </c>
      <c r="H471">
        <v>1.3827801</v>
      </c>
      <c r="I471">
        <v>-0.38278010000000001</v>
      </c>
      <c r="J471">
        <v>0.41967781999999998</v>
      </c>
    </row>
    <row r="472" spans="1:10" x14ac:dyDescent="0.3">
      <c r="A472">
        <v>470</v>
      </c>
      <c r="B472">
        <v>9087</v>
      </c>
      <c r="C472" t="b">
        <v>1</v>
      </c>
      <c r="D472">
        <v>8100</v>
      </c>
      <c r="E472">
        <v>8093</v>
      </c>
      <c r="F472">
        <v>266.2</v>
      </c>
      <c r="G472">
        <v>193.2</v>
      </c>
      <c r="H472">
        <v>1.3778467999999999</v>
      </c>
      <c r="I472">
        <v>-0.37784687</v>
      </c>
      <c r="J472">
        <v>0.42054849999999999</v>
      </c>
    </row>
    <row r="473" spans="1:10" x14ac:dyDescent="0.3">
      <c r="A473">
        <v>471</v>
      </c>
      <c r="B473">
        <v>9119</v>
      </c>
      <c r="C473" t="b">
        <v>1</v>
      </c>
      <c r="D473">
        <v>8100</v>
      </c>
      <c r="E473">
        <v>8099</v>
      </c>
      <c r="F473">
        <v>265.8</v>
      </c>
      <c r="G473">
        <v>192.8</v>
      </c>
      <c r="H473">
        <v>1.3786305999999999</v>
      </c>
      <c r="I473">
        <v>-0.37863059999999998</v>
      </c>
      <c r="J473">
        <v>0.42040998000000002</v>
      </c>
    </row>
    <row r="474" spans="1:10" x14ac:dyDescent="0.3">
      <c r="A474">
        <v>472</v>
      </c>
      <c r="B474">
        <v>9135</v>
      </c>
      <c r="C474" t="b">
        <v>1</v>
      </c>
      <c r="D474">
        <v>8077</v>
      </c>
      <c r="E474">
        <v>8105</v>
      </c>
      <c r="F474">
        <v>265.39999999999998</v>
      </c>
      <c r="G474">
        <v>192.4</v>
      </c>
      <c r="H474">
        <v>1.3794179</v>
      </c>
      <c r="I474">
        <v>-0.37941789999999997</v>
      </c>
      <c r="J474">
        <v>0.42027086000000002</v>
      </c>
    </row>
    <row r="475" spans="1:10" x14ac:dyDescent="0.3">
      <c r="A475">
        <v>473</v>
      </c>
      <c r="B475">
        <v>9151</v>
      </c>
      <c r="C475" t="b">
        <v>1</v>
      </c>
      <c r="D475">
        <v>8077</v>
      </c>
      <c r="E475">
        <v>8099</v>
      </c>
      <c r="F475">
        <v>265</v>
      </c>
      <c r="G475">
        <v>192.8</v>
      </c>
      <c r="H475">
        <v>1.3744813</v>
      </c>
      <c r="I475">
        <v>-0.37448132000000001</v>
      </c>
      <c r="J475">
        <v>0.42114463000000002</v>
      </c>
    </row>
    <row r="476" spans="1:10" x14ac:dyDescent="0.3">
      <c r="A476">
        <v>474</v>
      </c>
      <c r="B476">
        <v>9167</v>
      </c>
      <c r="C476" t="b">
        <v>1</v>
      </c>
      <c r="D476">
        <v>8094</v>
      </c>
      <c r="E476">
        <v>8111</v>
      </c>
      <c r="F476">
        <v>264.2</v>
      </c>
      <c r="G476">
        <v>192</v>
      </c>
      <c r="H476">
        <v>1.3760418000000001</v>
      </c>
      <c r="I476">
        <v>-0.37604174000000001</v>
      </c>
      <c r="J476">
        <v>0.42086804</v>
      </c>
    </row>
    <row r="477" spans="1:10" x14ac:dyDescent="0.3">
      <c r="A477">
        <v>475</v>
      </c>
      <c r="B477">
        <v>9182</v>
      </c>
      <c r="C477" t="b">
        <v>1</v>
      </c>
      <c r="D477">
        <v>8106</v>
      </c>
      <c r="E477">
        <v>8105</v>
      </c>
      <c r="F477">
        <v>263.39999999999998</v>
      </c>
      <c r="G477">
        <v>191.6</v>
      </c>
      <c r="H477">
        <v>1.3747389000000001</v>
      </c>
      <c r="I477">
        <v>-0.37473896000000001</v>
      </c>
      <c r="J477">
        <v>0.42109891999999999</v>
      </c>
    </row>
    <row r="478" spans="1:10" x14ac:dyDescent="0.3">
      <c r="A478">
        <v>476</v>
      </c>
      <c r="B478">
        <v>9198</v>
      </c>
      <c r="C478" t="b">
        <v>1</v>
      </c>
      <c r="D478">
        <v>8117</v>
      </c>
      <c r="E478">
        <v>8099</v>
      </c>
      <c r="F478">
        <v>262.60000000000002</v>
      </c>
      <c r="G478">
        <v>191.2</v>
      </c>
      <c r="H478">
        <v>1.3734310000000001</v>
      </c>
      <c r="I478">
        <v>-0.37343103</v>
      </c>
      <c r="J478">
        <v>0.42133100000000001</v>
      </c>
    </row>
    <row r="479" spans="1:10" x14ac:dyDescent="0.3">
      <c r="A479">
        <v>477</v>
      </c>
      <c r="B479">
        <v>9231</v>
      </c>
      <c r="C479" t="b">
        <v>1</v>
      </c>
      <c r="D479">
        <v>8088</v>
      </c>
      <c r="E479">
        <v>8129</v>
      </c>
      <c r="F479">
        <v>261.8</v>
      </c>
      <c r="G479">
        <v>190.8</v>
      </c>
      <c r="H479">
        <v>1.3721173</v>
      </c>
      <c r="I479">
        <v>-0.37211729999999998</v>
      </c>
      <c r="J479">
        <v>0.4215643</v>
      </c>
    </row>
    <row r="480" spans="1:10" x14ac:dyDescent="0.3">
      <c r="A480">
        <v>478</v>
      </c>
      <c r="B480">
        <v>9247</v>
      </c>
      <c r="C480" t="b">
        <v>1</v>
      </c>
      <c r="D480">
        <v>8094</v>
      </c>
      <c r="E480">
        <v>8093</v>
      </c>
      <c r="F480">
        <v>261</v>
      </c>
      <c r="G480">
        <v>190</v>
      </c>
      <c r="H480">
        <v>1.3736842</v>
      </c>
      <c r="I480">
        <v>-0.37368420000000002</v>
      </c>
      <c r="J480">
        <v>0.42128601999999998</v>
      </c>
    </row>
    <row r="481" spans="1:10" x14ac:dyDescent="0.3">
      <c r="A481">
        <v>479</v>
      </c>
      <c r="B481">
        <v>9263</v>
      </c>
      <c r="C481" t="b">
        <v>1</v>
      </c>
      <c r="D481">
        <v>8111</v>
      </c>
      <c r="E481">
        <v>8117</v>
      </c>
      <c r="F481">
        <v>260.66665999999998</v>
      </c>
      <c r="G481">
        <v>189.6</v>
      </c>
      <c r="H481">
        <v>1.374824</v>
      </c>
      <c r="I481">
        <v>-0.37482409999999999</v>
      </c>
      <c r="J481">
        <v>0.42108380000000001</v>
      </c>
    </row>
    <row r="482" spans="1:10" x14ac:dyDescent="0.3">
      <c r="A482">
        <v>480</v>
      </c>
      <c r="B482">
        <v>9278</v>
      </c>
      <c r="C482" t="b">
        <v>1</v>
      </c>
      <c r="D482">
        <v>8106</v>
      </c>
      <c r="E482">
        <v>8105</v>
      </c>
      <c r="F482">
        <v>260.33334000000002</v>
      </c>
      <c r="G482">
        <v>189.2</v>
      </c>
      <c r="H482">
        <v>1.375969</v>
      </c>
      <c r="I482">
        <v>-0.37596908000000001</v>
      </c>
      <c r="J482">
        <v>0.4208809</v>
      </c>
    </row>
    <row r="483" spans="1:10" x14ac:dyDescent="0.3">
      <c r="A483">
        <v>481</v>
      </c>
      <c r="B483">
        <v>9294</v>
      </c>
      <c r="C483" t="b">
        <v>1</v>
      </c>
      <c r="D483">
        <v>8094</v>
      </c>
      <c r="E483">
        <v>8105</v>
      </c>
      <c r="F483">
        <v>259.2</v>
      </c>
      <c r="G483">
        <v>189.2</v>
      </c>
      <c r="H483">
        <v>1.3699789</v>
      </c>
      <c r="I483">
        <v>-0.36997892999999998</v>
      </c>
      <c r="J483">
        <v>0.42194464999999998</v>
      </c>
    </row>
    <row r="484" spans="1:10" x14ac:dyDescent="0.3">
      <c r="A484">
        <v>482</v>
      </c>
      <c r="B484">
        <v>9310</v>
      </c>
      <c r="C484" t="b">
        <v>1</v>
      </c>
      <c r="D484">
        <v>8106</v>
      </c>
      <c r="E484">
        <v>8117</v>
      </c>
      <c r="F484">
        <v>259.2</v>
      </c>
      <c r="G484">
        <v>188.8</v>
      </c>
      <c r="H484">
        <v>1.3728814</v>
      </c>
      <c r="I484">
        <v>-0.37288139999999997</v>
      </c>
      <c r="J484">
        <v>0.42142859999999999</v>
      </c>
    </row>
    <row r="485" spans="1:10" x14ac:dyDescent="0.3">
      <c r="A485">
        <v>483</v>
      </c>
      <c r="B485">
        <v>9326</v>
      </c>
      <c r="C485" t="b">
        <v>1</v>
      </c>
      <c r="D485">
        <v>8100</v>
      </c>
      <c r="E485">
        <v>8111</v>
      </c>
      <c r="F485">
        <v>259.2</v>
      </c>
      <c r="G485">
        <v>188.8</v>
      </c>
      <c r="H485">
        <v>1.3728814</v>
      </c>
      <c r="I485">
        <v>-0.37288139999999997</v>
      </c>
      <c r="J485">
        <v>0.42142859999999999</v>
      </c>
    </row>
    <row r="486" spans="1:10" x14ac:dyDescent="0.3">
      <c r="A486">
        <v>484</v>
      </c>
      <c r="B486">
        <v>9342</v>
      </c>
      <c r="C486" t="b">
        <v>1</v>
      </c>
      <c r="D486">
        <v>8077</v>
      </c>
      <c r="E486">
        <v>8111</v>
      </c>
      <c r="F486">
        <v>259.2</v>
      </c>
      <c r="G486">
        <v>189.2</v>
      </c>
      <c r="H486">
        <v>1.3699789</v>
      </c>
      <c r="I486">
        <v>-0.36997892999999998</v>
      </c>
      <c r="J486">
        <v>0.42194464999999998</v>
      </c>
    </row>
    <row r="487" spans="1:10" x14ac:dyDescent="0.3">
      <c r="A487">
        <v>485</v>
      </c>
      <c r="B487">
        <v>9358</v>
      </c>
      <c r="C487" t="b">
        <v>1</v>
      </c>
      <c r="D487">
        <v>8100</v>
      </c>
      <c r="E487">
        <v>8117</v>
      </c>
      <c r="F487">
        <v>259.2</v>
      </c>
      <c r="G487">
        <v>189.6</v>
      </c>
      <c r="H487">
        <v>1.3670887</v>
      </c>
      <c r="I487">
        <v>-0.36708861999999998</v>
      </c>
      <c r="J487">
        <v>0.4224599</v>
      </c>
    </row>
    <row r="488" spans="1:10" x14ac:dyDescent="0.3">
      <c r="A488">
        <v>486</v>
      </c>
      <c r="B488">
        <v>9373</v>
      </c>
      <c r="C488" t="b">
        <v>1</v>
      </c>
      <c r="D488">
        <v>8106</v>
      </c>
      <c r="E488">
        <v>8099</v>
      </c>
      <c r="F488">
        <v>259.2</v>
      </c>
      <c r="G488">
        <v>190.4</v>
      </c>
      <c r="H488">
        <v>1.3613447000000001</v>
      </c>
      <c r="I488">
        <v>-0.36134463999999999</v>
      </c>
      <c r="J488">
        <v>0.42348750000000002</v>
      </c>
    </row>
    <row r="489" spans="1:10" x14ac:dyDescent="0.3">
      <c r="A489">
        <v>487</v>
      </c>
      <c r="B489">
        <v>9389</v>
      </c>
      <c r="C489" t="b">
        <v>1</v>
      </c>
      <c r="D489">
        <v>8100</v>
      </c>
      <c r="E489">
        <v>8134</v>
      </c>
      <c r="F489">
        <v>259.2</v>
      </c>
      <c r="G489">
        <v>191.2</v>
      </c>
      <c r="H489">
        <v>1.3556486000000001</v>
      </c>
      <c r="I489">
        <v>-0.35564859999999998</v>
      </c>
      <c r="J489">
        <v>0.42451151999999998</v>
      </c>
    </row>
    <row r="490" spans="1:10" x14ac:dyDescent="0.3">
      <c r="A490">
        <v>488</v>
      </c>
      <c r="B490">
        <v>9405</v>
      </c>
      <c r="C490" t="b">
        <v>1</v>
      </c>
      <c r="D490">
        <v>8100</v>
      </c>
      <c r="E490">
        <v>8093</v>
      </c>
      <c r="F490">
        <v>259.2</v>
      </c>
      <c r="G490">
        <v>192</v>
      </c>
      <c r="H490">
        <v>1.35</v>
      </c>
      <c r="I490">
        <v>-0.35000005000000001</v>
      </c>
      <c r="J490">
        <v>0.42553190000000002</v>
      </c>
    </row>
    <row r="491" spans="1:10" x14ac:dyDescent="0.3">
      <c r="A491">
        <v>489</v>
      </c>
      <c r="B491">
        <v>9421</v>
      </c>
      <c r="C491" t="b">
        <v>1</v>
      </c>
      <c r="D491">
        <v>8117</v>
      </c>
      <c r="E491">
        <v>8099</v>
      </c>
      <c r="F491">
        <v>259.60000000000002</v>
      </c>
      <c r="G491">
        <v>192</v>
      </c>
      <c r="H491">
        <v>1.3520833000000001</v>
      </c>
      <c r="I491">
        <v>-0.35208336000000001</v>
      </c>
      <c r="J491">
        <v>0.42515498000000002</v>
      </c>
    </row>
    <row r="492" spans="1:10" x14ac:dyDescent="0.3">
      <c r="A492">
        <v>490</v>
      </c>
      <c r="B492">
        <v>9436</v>
      </c>
      <c r="C492" t="b">
        <v>1</v>
      </c>
      <c r="D492">
        <v>8094</v>
      </c>
      <c r="E492">
        <v>8105</v>
      </c>
      <c r="F492">
        <v>260</v>
      </c>
      <c r="G492">
        <v>191.6</v>
      </c>
      <c r="H492">
        <v>1.3569937000000001</v>
      </c>
      <c r="I492">
        <v>-0.35699370000000002</v>
      </c>
      <c r="J492">
        <v>0.42426925999999998</v>
      </c>
    </row>
    <row r="493" spans="1:10" x14ac:dyDescent="0.3">
      <c r="A493">
        <v>491</v>
      </c>
      <c r="B493">
        <v>9452</v>
      </c>
      <c r="C493" t="b">
        <v>1</v>
      </c>
      <c r="D493">
        <v>8088</v>
      </c>
      <c r="E493">
        <v>8117</v>
      </c>
      <c r="F493">
        <v>260.39999999999998</v>
      </c>
      <c r="G493">
        <v>191.6</v>
      </c>
      <c r="H493">
        <v>1.3590814</v>
      </c>
      <c r="I493">
        <v>-0.35908136000000002</v>
      </c>
      <c r="J493">
        <v>0.42389379999999999</v>
      </c>
    </row>
    <row r="494" spans="1:10" x14ac:dyDescent="0.3">
      <c r="A494">
        <v>492</v>
      </c>
      <c r="B494">
        <v>9468</v>
      </c>
      <c r="C494" t="b">
        <v>1</v>
      </c>
      <c r="D494">
        <v>8106</v>
      </c>
      <c r="E494">
        <v>8134</v>
      </c>
      <c r="F494">
        <v>260.8</v>
      </c>
      <c r="G494">
        <v>191.6</v>
      </c>
      <c r="H494">
        <v>1.3611690000000001</v>
      </c>
      <c r="I494">
        <v>-0.36116897999999997</v>
      </c>
      <c r="J494">
        <v>0.42351902000000002</v>
      </c>
    </row>
    <row r="495" spans="1:10" x14ac:dyDescent="0.3">
      <c r="A495">
        <v>493</v>
      </c>
      <c r="B495">
        <v>9484</v>
      </c>
      <c r="C495" t="b">
        <v>1</v>
      </c>
      <c r="D495">
        <v>8100</v>
      </c>
      <c r="E495">
        <v>8111</v>
      </c>
      <c r="F495">
        <v>261.2</v>
      </c>
      <c r="G495">
        <v>192</v>
      </c>
      <c r="H495">
        <v>1.3604168000000001</v>
      </c>
      <c r="I495">
        <v>-0.36041674000000001</v>
      </c>
      <c r="J495">
        <v>0.42365399999999998</v>
      </c>
    </row>
    <row r="496" spans="1:10" x14ac:dyDescent="0.3">
      <c r="A496">
        <v>494</v>
      </c>
      <c r="B496">
        <v>9500</v>
      </c>
      <c r="C496" t="b">
        <v>1</v>
      </c>
      <c r="D496">
        <v>8083</v>
      </c>
      <c r="E496">
        <v>8099</v>
      </c>
      <c r="F496">
        <v>260.39999999999998</v>
      </c>
      <c r="G496">
        <v>192.4</v>
      </c>
      <c r="H496">
        <v>1.3534303999999999</v>
      </c>
      <c r="I496">
        <v>-0.35343036</v>
      </c>
      <c r="J496">
        <v>0.42491164999999997</v>
      </c>
    </row>
    <row r="497" spans="1:10" x14ac:dyDescent="0.3">
      <c r="A497">
        <v>495</v>
      </c>
      <c r="B497">
        <v>9516</v>
      </c>
      <c r="C497" t="b">
        <v>1</v>
      </c>
      <c r="D497">
        <v>8111</v>
      </c>
      <c r="E497">
        <v>8117</v>
      </c>
      <c r="F497">
        <v>260</v>
      </c>
      <c r="G497">
        <v>193.2</v>
      </c>
      <c r="H497">
        <v>1.3457557</v>
      </c>
      <c r="I497">
        <v>-0.34575572999999998</v>
      </c>
      <c r="J497">
        <v>0.42630183999999999</v>
      </c>
    </row>
    <row r="498" spans="1:10" x14ac:dyDescent="0.3">
      <c r="A498">
        <v>496</v>
      </c>
      <c r="B498">
        <v>9532</v>
      </c>
      <c r="C498" t="b">
        <v>1</v>
      </c>
      <c r="D498">
        <v>8111</v>
      </c>
      <c r="E498">
        <v>8093</v>
      </c>
      <c r="F498">
        <v>260.8</v>
      </c>
      <c r="G498">
        <v>193.6</v>
      </c>
      <c r="H498">
        <v>1.3471073</v>
      </c>
      <c r="I498">
        <v>-0.34710732</v>
      </c>
      <c r="J498">
        <v>0.42605636000000002</v>
      </c>
    </row>
    <row r="499" spans="1:10" x14ac:dyDescent="0.3">
      <c r="A499">
        <v>497</v>
      </c>
      <c r="B499">
        <v>9547</v>
      </c>
      <c r="C499" t="b">
        <v>1</v>
      </c>
      <c r="D499">
        <v>8083</v>
      </c>
      <c r="E499">
        <v>8093</v>
      </c>
      <c r="F499">
        <v>260.39999999999998</v>
      </c>
      <c r="G499">
        <v>193.2</v>
      </c>
      <c r="H499">
        <v>1.3478261</v>
      </c>
      <c r="I499">
        <v>-0.34782605999999999</v>
      </c>
      <c r="J499">
        <v>0.42592594</v>
      </c>
    </row>
    <row r="500" spans="1:10" x14ac:dyDescent="0.3">
      <c r="A500">
        <v>498</v>
      </c>
      <c r="B500">
        <v>9563</v>
      </c>
      <c r="C500" t="b">
        <v>1</v>
      </c>
      <c r="D500">
        <v>8111</v>
      </c>
      <c r="E500">
        <v>8105</v>
      </c>
      <c r="F500">
        <v>260.73334</v>
      </c>
      <c r="G500">
        <v>192.4</v>
      </c>
      <c r="H500">
        <v>1.3551629999999999</v>
      </c>
      <c r="I500">
        <v>-0.35516291999999999</v>
      </c>
      <c r="J500">
        <v>0.42459908000000002</v>
      </c>
    </row>
    <row r="501" spans="1:10" x14ac:dyDescent="0.3">
      <c r="A501">
        <v>499</v>
      </c>
      <c r="B501">
        <v>9579</v>
      </c>
      <c r="C501" t="b">
        <v>1</v>
      </c>
      <c r="D501">
        <v>8106</v>
      </c>
      <c r="E501">
        <v>8117</v>
      </c>
      <c r="F501">
        <v>261.46667000000002</v>
      </c>
      <c r="G501">
        <v>192</v>
      </c>
      <c r="H501">
        <v>1.3618056000000001</v>
      </c>
      <c r="I501">
        <v>-0.3618056</v>
      </c>
      <c r="J501">
        <v>0.42340486999999999</v>
      </c>
    </row>
    <row r="502" spans="1:10" x14ac:dyDescent="0.3">
      <c r="A502">
        <v>500</v>
      </c>
      <c r="B502">
        <v>9595</v>
      </c>
      <c r="C502" t="b">
        <v>1</v>
      </c>
      <c r="D502">
        <v>8054</v>
      </c>
      <c r="E502">
        <v>8093</v>
      </c>
      <c r="F502">
        <v>261.86667</v>
      </c>
      <c r="G502">
        <v>190.8</v>
      </c>
      <c r="H502">
        <v>1.3724668</v>
      </c>
      <c r="I502">
        <v>-0.37246679999999999</v>
      </c>
      <c r="J502">
        <v>0.42150219999999999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ACE4-45E5-4342-B3D2-CF302266ED3C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8134</v>
      </c>
      <c r="F2">
        <v>8</v>
      </c>
      <c r="G2">
        <v>19</v>
      </c>
      <c r="H2">
        <v>0.42105262999999998</v>
      </c>
      <c r="I2">
        <v>0.57894736999999996</v>
      </c>
      <c r="J2">
        <v>0.70370370000000004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19</v>
      </c>
      <c r="H3">
        <v>0.42105262999999998</v>
      </c>
      <c r="I3">
        <v>0.57894736999999996</v>
      </c>
      <c r="J3">
        <v>0.70370370000000004</v>
      </c>
    </row>
    <row r="4" spans="1:10" x14ac:dyDescent="0.3">
      <c r="A4">
        <v>2</v>
      </c>
      <c r="B4">
        <v>55</v>
      </c>
      <c r="C4" t="b">
        <v>1</v>
      </c>
      <c r="D4">
        <v>8054</v>
      </c>
      <c r="E4">
        <v>8123</v>
      </c>
      <c r="F4">
        <v>8</v>
      </c>
      <c r="G4">
        <v>15.333333</v>
      </c>
      <c r="H4">
        <v>0.52173910000000001</v>
      </c>
      <c r="I4">
        <v>0.47826084000000002</v>
      </c>
      <c r="J4">
        <v>0.65714289999999997</v>
      </c>
    </row>
    <row r="5" spans="1:10" x14ac:dyDescent="0.3">
      <c r="A5">
        <v>3</v>
      </c>
      <c r="B5">
        <v>71</v>
      </c>
      <c r="C5" t="b">
        <v>1</v>
      </c>
      <c r="D5">
        <v>8048</v>
      </c>
      <c r="E5">
        <v>8123</v>
      </c>
      <c r="F5">
        <v>8</v>
      </c>
      <c r="G5">
        <v>13.5</v>
      </c>
      <c r="H5">
        <v>0.59259260000000002</v>
      </c>
      <c r="I5">
        <v>0.40740739999999998</v>
      </c>
      <c r="J5">
        <v>0.62790699999999999</v>
      </c>
    </row>
    <row r="6" spans="1:10" x14ac:dyDescent="0.3">
      <c r="A6">
        <v>4</v>
      </c>
      <c r="B6">
        <v>87</v>
      </c>
      <c r="C6" t="b">
        <v>1</v>
      </c>
      <c r="D6">
        <v>8048</v>
      </c>
      <c r="E6">
        <v>8123</v>
      </c>
      <c r="F6">
        <v>8</v>
      </c>
      <c r="G6">
        <v>12.4</v>
      </c>
      <c r="H6">
        <v>0.64516132999999998</v>
      </c>
      <c r="I6">
        <v>0.35483870000000001</v>
      </c>
      <c r="J6">
        <v>0.60784309999999997</v>
      </c>
    </row>
    <row r="7" spans="1:10" x14ac:dyDescent="0.3">
      <c r="A7">
        <v>5</v>
      </c>
      <c r="B7">
        <v>103</v>
      </c>
      <c r="C7" t="b">
        <v>1</v>
      </c>
      <c r="D7">
        <v>8048</v>
      </c>
      <c r="E7">
        <v>8123</v>
      </c>
      <c r="F7">
        <v>8</v>
      </c>
      <c r="G7">
        <v>11.666667</v>
      </c>
      <c r="H7">
        <v>0.68571424000000003</v>
      </c>
      <c r="I7">
        <v>0.31428572999999999</v>
      </c>
      <c r="J7">
        <v>0.59322030000000003</v>
      </c>
    </row>
    <row r="8" spans="1:10" x14ac:dyDescent="0.3">
      <c r="A8">
        <v>6</v>
      </c>
      <c r="B8">
        <v>119</v>
      </c>
      <c r="C8" t="b">
        <v>1</v>
      </c>
      <c r="D8">
        <v>8048</v>
      </c>
      <c r="E8">
        <v>8123</v>
      </c>
      <c r="F8">
        <v>8</v>
      </c>
      <c r="G8">
        <v>11.142858</v>
      </c>
      <c r="H8">
        <v>0.7179487</v>
      </c>
      <c r="I8">
        <v>0.2820513</v>
      </c>
      <c r="J8">
        <v>0.58208959999999998</v>
      </c>
    </row>
    <row r="9" spans="1:10" x14ac:dyDescent="0.3">
      <c r="A9">
        <v>7</v>
      </c>
      <c r="B9">
        <v>135</v>
      </c>
      <c r="C9" t="b">
        <v>1</v>
      </c>
      <c r="D9">
        <v>8048</v>
      </c>
      <c r="E9">
        <v>8123</v>
      </c>
      <c r="F9">
        <v>8</v>
      </c>
      <c r="G9">
        <v>10.75</v>
      </c>
      <c r="H9">
        <v>0.74418603999999999</v>
      </c>
      <c r="I9">
        <v>0.25581396000000001</v>
      </c>
      <c r="J9">
        <v>0.57333330000000005</v>
      </c>
    </row>
    <row r="10" spans="1:10" x14ac:dyDescent="0.3">
      <c r="A10">
        <v>8</v>
      </c>
      <c r="B10">
        <v>151</v>
      </c>
      <c r="C10" t="b">
        <v>1</v>
      </c>
      <c r="D10">
        <v>8042</v>
      </c>
      <c r="E10">
        <v>8129</v>
      </c>
      <c r="F10">
        <v>8</v>
      </c>
      <c r="G10">
        <v>10.444445</v>
      </c>
      <c r="H10">
        <v>0.76595740000000001</v>
      </c>
      <c r="I10">
        <v>0.23404257000000001</v>
      </c>
      <c r="J10">
        <v>0.56626505000000005</v>
      </c>
    </row>
    <row r="11" spans="1:10" x14ac:dyDescent="0.3">
      <c r="A11">
        <v>9</v>
      </c>
      <c r="B11">
        <v>167</v>
      </c>
      <c r="C11" t="b">
        <v>1</v>
      </c>
      <c r="D11">
        <v>8054</v>
      </c>
      <c r="E11">
        <v>8123</v>
      </c>
      <c r="F11">
        <v>8</v>
      </c>
      <c r="G11">
        <v>10.199999999999999</v>
      </c>
      <c r="H11">
        <v>0.78431373999999998</v>
      </c>
      <c r="I11">
        <v>0.21568625999999999</v>
      </c>
      <c r="J11">
        <v>0.56043949999999998</v>
      </c>
    </row>
    <row r="12" spans="1:10" x14ac:dyDescent="0.3">
      <c r="A12">
        <v>10</v>
      </c>
      <c r="B12">
        <v>183</v>
      </c>
      <c r="C12" t="b">
        <v>1</v>
      </c>
      <c r="D12">
        <v>8048</v>
      </c>
      <c r="E12">
        <v>8134</v>
      </c>
      <c r="F12">
        <v>8</v>
      </c>
      <c r="G12">
        <v>10</v>
      </c>
      <c r="H12">
        <v>0.8</v>
      </c>
      <c r="I12">
        <v>0.2</v>
      </c>
      <c r="J12">
        <v>0.55555560000000004</v>
      </c>
    </row>
    <row r="13" spans="1:10" x14ac:dyDescent="0.3">
      <c r="A13">
        <v>11</v>
      </c>
      <c r="B13">
        <v>199</v>
      </c>
      <c r="C13" t="b">
        <v>1</v>
      </c>
      <c r="D13">
        <v>8048</v>
      </c>
      <c r="E13">
        <v>8123</v>
      </c>
      <c r="F13">
        <v>8</v>
      </c>
      <c r="G13">
        <v>9.8333329999999997</v>
      </c>
      <c r="H13">
        <v>0.81355935000000001</v>
      </c>
      <c r="I13">
        <v>0.18644065000000001</v>
      </c>
      <c r="J13">
        <v>0.5514019</v>
      </c>
    </row>
    <row r="14" spans="1:10" x14ac:dyDescent="0.3">
      <c r="A14">
        <v>12</v>
      </c>
      <c r="B14">
        <v>215</v>
      </c>
      <c r="C14" t="b">
        <v>1</v>
      </c>
      <c r="D14">
        <v>8042</v>
      </c>
      <c r="E14">
        <v>8123</v>
      </c>
      <c r="F14">
        <v>8</v>
      </c>
      <c r="G14">
        <v>9.6923069999999996</v>
      </c>
      <c r="H14">
        <v>0.82539684000000002</v>
      </c>
      <c r="I14">
        <v>0.17460315000000001</v>
      </c>
      <c r="J14">
        <v>0.54782609999999998</v>
      </c>
    </row>
    <row r="15" spans="1:10" x14ac:dyDescent="0.3">
      <c r="A15">
        <v>13</v>
      </c>
      <c r="B15">
        <v>230</v>
      </c>
      <c r="C15" t="b">
        <v>1</v>
      </c>
      <c r="D15">
        <v>8048</v>
      </c>
      <c r="E15">
        <v>8117</v>
      </c>
      <c r="F15">
        <v>8</v>
      </c>
      <c r="G15">
        <v>9.5714279999999992</v>
      </c>
      <c r="H15">
        <v>0.83582089999999998</v>
      </c>
      <c r="I15">
        <v>0.16417909</v>
      </c>
      <c r="J15">
        <v>0.54471546000000004</v>
      </c>
    </row>
    <row r="16" spans="1:10" x14ac:dyDescent="0.3">
      <c r="A16">
        <v>14</v>
      </c>
      <c r="B16">
        <v>246</v>
      </c>
      <c r="C16" t="b">
        <v>1</v>
      </c>
      <c r="D16">
        <v>8048</v>
      </c>
      <c r="E16">
        <v>8123</v>
      </c>
      <c r="F16">
        <v>8</v>
      </c>
      <c r="G16">
        <v>9.466666</v>
      </c>
      <c r="H16">
        <v>0.84507049999999995</v>
      </c>
      <c r="I16">
        <v>0.15492953000000001</v>
      </c>
      <c r="J16">
        <v>0.54198469999999999</v>
      </c>
    </row>
    <row r="17" spans="1:10" x14ac:dyDescent="0.3">
      <c r="A17">
        <v>15</v>
      </c>
      <c r="B17">
        <v>262</v>
      </c>
      <c r="C17" t="b">
        <v>1</v>
      </c>
      <c r="D17">
        <v>8048</v>
      </c>
      <c r="E17">
        <v>8123</v>
      </c>
      <c r="F17">
        <v>8</v>
      </c>
      <c r="G17">
        <v>8.7333339999999993</v>
      </c>
      <c r="H17">
        <v>0.91603049999999997</v>
      </c>
      <c r="I17">
        <v>8.3969489999999994E-2</v>
      </c>
      <c r="J17">
        <v>0.52191233999999997</v>
      </c>
    </row>
    <row r="18" spans="1:10" x14ac:dyDescent="0.3">
      <c r="A18">
        <v>16</v>
      </c>
      <c r="B18">
        <v>278</v>
      </c>
      <c r="C18" t="b">
        <v>1</v>
      </c>
      <c r="D18">
        <v>8048</v>
      </c>
      <c r="E18">
        <v>8123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294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310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326</v>
      </c>
      <c r="C21" t="b">
        <v>1</v>
      </c>
      <c r="D21">
        <v>8048</v>
      </c>
      <c r="E21">
        <v>8129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341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358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373</v>
      </c>
      <c r="C24" t="b">
        <v>1</v>
      </c>
      <c r="D24">
        <v>8048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389</v>
      </c>
      <c r="C25" t="b">
        <v>1</v>
      </c>
      <c r="D25">
        <v>8042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405</v>
      </c>
      <c r="C26" t="b">
        <v>1</v>
      </c>
      <c r="D26">
        <v>8042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421</v>
      </c>
      <c r="C27" t="b">
        <v>1</v>
      </c>
      <c r="D27">
        <v>8042</v>
      </c>
      <c r="E27">
        <v>8123</v>
      </c>
      <c r="F27">
        <v>7.6</v>
      </c>
      <c r="G27">
        <v>8</v>
      </c>
      <c r="H27">
        <v>0.95</v>
      </c>
      <c r="I27">
        <v>5.0000012000000003E-2</v>
      </c>
      <c r="J27">
        <v>0.51282050000000001</v>
      </c>
    </row>
    <row r="28" spans="1:10" x14ac:dyDescent="0.3">
      <c r="A28">
        <v>26</v>
      </c>
      <c r="B28">
        <v>437</v>
      </c>
      <c r="C28" t="b">
        <v>1</v>
      </c>
      <c r="D28">
        <v>8042</v>
      </c>
      <c r="E28">
        <v>8123</v>
      </c>
      <c r="F28">
        <v>7.2</v>
      </c>
      <c r="G28">
        <v>8</v>
      </c>
      <c r="H28">
        <v>0.9</v>
      </c>
      <c r="I28">
        <v>0.10000002400000001</v>
      </c>
      <c r="J28">
        <v>0.5263158</v>
      </c>
    </row>
    <row r="29" spans="1:10" x14ac:dyDescent="0.3">
      <c r="A29">
        <v>27</v>
      </c>
      <c r="B29">
        <v>454</v>
      </c>
      <c r="C29" t="b">
        <v>1</v>
      </c>
      <c r="D29">
        <v>8042</v>
      </c>
      <c r="E29">
        <v>8117</v>
      </c>
      <c r="F29">
        <v>6.8</v>
      </c>
      <c r="G29">
        <v>8</v>
      </c>
      <c r="H29">
        <v>0.85</v>
      </c>
      <c r="I29">
        <v>0.14999998</v>
      </c>
      <c r="J29">
        <v>0.54054049999999998</v>
      </c>
    </row>
    <row r="30" spans="1:10" x14ac:dyDescent="0.3">
      <c r="A30">
        <v>28</v>
      </c>
      <c r="B30">
        <v>469</v>
      </c>
      <c r="C30" t="b">
        <v>1</v>
      </c>
      <c r="D30">
        <v>8042</v>
      </c>
      <c r="E30">
        <v>8123</v>
      </c>
      <c r="F30">
        <v>6.4</v>
      </c>
      <c r="G30">
        <v>8</v>
      </c>
      <c r="H30">
        <v>0.8</v>
      </c>
      <c r="I30">
        <v>0.19999998999999999</v>
      </c>
      <c r="J30">
        <v>0.55555560000000004</v>
      </c>
    </row>
    <row r="31" spans="1:10" x14ac:dyDescent="0.3">
      <c r="A31">
        <v>29</v>
      </c>
      <c r="B31">
        <v>485</v>
      </c>
      <c r="C31" t="b">
        <v>1</v>
      </c>
      <c r="D31">
        <v>8048</v>
      </c>
      <c r="E31">
        <v>8123</v>
      </c>
      <c r="F31">
        <v>6</v>
      </c>
      <c r="G31">
        <v>8</v>
      </c>
      <c r="H31">
        <v>0.75</v>
      </c>
      <c r="I31">
        <v>0.25</v>
      </c>
      <c r="J31">
        <v>0.57142859999999995</v>
      </c>
    </row>
    <row r="32" spans="1:10" x14ac:dyDescent="0.3">
      <c r="A32">
        <v>30</v>
      </c>
      <c r="B32">
        <v>501</v>
      </c>
      <c r="C32" t="b">
        <v>1</v>
      </c>
      <c r="D32">
        <v>8048</v>
      </c>
      <c r="E32">
        <v>8123</v>
      </c>
      <c r="F32">
        <v>5.6</v>
      </c>
      <c r="G32">
        <v>8</v>
      </c>
      <c r="H32">
        <v>0.7</v>
      </c>
      <c r="I32">
        <v>0.3</v>
      </c>
      <c r="J32">
        <v>0.58823526000000004</v>
      </c>
    </row>
    <row r="33" spans="1:10" x14ac:dyDescent="0.3">
      <c r="A33">
        <v>31</v>
      </c>
      <c r="B33">
        <v>517</v>
      </c>
      <c r="C33" t="b">
        <v>1</v>
      </c>
      <c r="D33">
        <v>8048</v>
      </c>
      <c r="E33">
        <v>8123</v>
      </c>
      <c r="F33">
        <v>5.6</v>
      </c>
      <c r="G33">
        <v>8</v>
      </c>
      <c r="H33">
        <v>0.7</v>
      </c>
      <c r="I33">
        <v>0.3</v>
      </c>
      <c r="J33">
        <v>0.58823526000000004</v>
      </c>
    </row>
    <row r="34" spans="1:10" x14ac:dyDescent="0.3">
      <c r="A34">
        <v>32</v>
      </c>
      <c r="B34">
        <v>532</v>
      </c>
      <c r="C34" t="b">
        <v>1</v>
      </c>
      <c r="D34">
        <v>8048</v>
      </c>
      <c r="E34">
        <v>8129</v>
      </c>
      <c r="F34">
        <v>5.6</v>
      </c>
      <c r="G34">
        <v>8</v>
      </c>
      <c r="H34">
        <v>0.7</v>
      </c>
      <c r="I34">
        <v>0.3</v>
      </c>
      <c r="J34">
        <v>0.58823526000000004</v>
      </c>
    </row>
    <row r="35" spans="1:10" x14ac:dyDescent="0.3">
      <c r="A35">
        <v>33</v>
      </c>
      <c r="B35">
        <v>548</v>
      </c>
      <c r="C35" t="b">
        <v>1</v>
      </c>
      <c r="D35">
        <v>8048</v>
      </c>
      <c r="E35">
        <v>8123</v>
      </c>
      <c r="F35">
        <v>5.6</v>
      </c>
      <c r="G35">
        <v>8</v>
      </c>
      <c r="H35">
        <v>0.7</v>
      </c>
      <c r="I35">
        <v>0.3</v>
      </c>
      <c r="J35">
        <v>0.58823526000000004</v>
      </c>
    </row>
    <row r="36" spans="1:10" x14ac:dyDescent="0.3">
      <c r="A36">
        <v>34</v>
      </c>
      <c r="B36">
        <v>564</v>
      </c>
      <c r="C36" t="b">
        <v>1</v>
      </c>
      <c r="D36">
        <v>8042</v>
      </c>
      <c r="E36">
        <v>8123</v>
      </c>
      <c r="F36">
        <v>5.6</v>
      </c>
      <c r="G36">
        <v>8</v>
      </c>
      <c r="H36">
        <v>0.7</v>
      </c>
      <c r="I36">
        <v>0.3</v>
      </c>
      <c r="J36">
        <v>0.58823526000000004</v>
      </c>
    </row>
    <row r="37" spans="1:10" x14ac:dyDescent="0.3">
      <c r="A37">
        <v>35</v>
      </c>
      <c r="B37">
        <v>580</v>
      </c>
      <c r="C37" t="b">
        <v>1</v>
      </c>
      <c r="D37">
        <v>8048</v>
      </c>
      <c r="E37">
        <v>8123</v>
      </c>
      <c r="F37">
        <v>5.6</v>
      </c>
      <c r="G37">
        <v>8</v>
      </c>
      <c r="H37">
        <v>0.7</v>
      </c>
      <c r="I37">
        <v>0.3</v>
      </c>
      <c r="J37">
        <v>0.58823526000000004</v>
      </c>
    </row>
    <row r="38" spans="1:10" x14ac:dyDescent="0.3">
      <c r="A38">
        <v>36</v>
      </c>
      <c r="B38">
        <v>596</v>
      </c>
      <c r="C38" t="b">
        <v>1</v>
      </c>
      <c r="D38">
        <v>8048</v>
      </c>
      <c r="E38">
        <v>8123</v>
      </c>
      <c r="F38">
        <v>5.6</v>
      </c>
      <c r="G38">
        <v>8</v>
      </c>
      <c r="H38">
        <v>0.7</v>
      </c>
      <c r="I38">
        <v>0.3</v>
      </c>
      <c r="J38">
        <v>0.58823526000000004</v>
      </c>
    </row>
    <row r="39" spans="1:10" x14ac:dyDescent="0.3">
      <c r="A39">
        <v>37</v>
      </c>
      <c r="B39">
        <v>611</v>
      </c>
      <c r="C39" t="b">
        <v>1</v>
      </c>
      <c r="D39">
        <v>8048</v>
      </c>
      <c r="E39">
        <v>8123</v>
      </c>
      <c r="F39">
        <v>5.6</v>
      </c>
      <c r="G39">
        <v>8</v>
      </c>
      <c r="H39">
        <v>0.7</v>
      </c>
      <c r="I39">
        <v>0.3</v>
      </c>
      <c r="J39">
        <v>0.58823526000000004</v>
      </c>
    </row>
    <row r="40" spans="1:10" x14ac:dyDescent="0.3">
      <c r="A40">
        <v>38</v>
      </c>
      <c r="B40">
        <v>628</v>
      </c>
      <c r="C40" t="b">
        <v>1</v>
      </c>
      <c r="D40">
        <v>8054</v>
      </c>
      <c r="E40">
        <v>8117</v>
      </c>
      <c r="F40">
        <v>5.6</v>
      </c>
      <c r="G40">
        <v>8</v>
      </c>
      <c r="H40">
        <v>0.7</v>
      </c>
      <c r="I40">
        <v>0.3</v>
      </c>
      <c r="J40">
        <v>0.58823526000000004</v>
      </c>
    </row>
    <row r="41" spans="1:10" x14ac:dyDescent="0.3">
      <c r="A41">
        <v>39</v>
      </c>
      <c r="B41">
        <v>644</v>
      </c>
      <c r="C41" t="b">
        <v>1</v>
      </c>
      <c r="D41">
        <v>8054</v>
      </c>
      <c r="E41">
        <v>8123</v>
      </c>
      <c r="F41">
        <v>5.6</v>
      </c>
      <c r="G41">
        <v>8</v>
      </c>
      <c r="H41">
        <v>0.7</v>
      </c>
      <c r="I41">
        <v>0.3</v>
      </c>
      <c r="J41">
        <v>0.58823526000000004</v>
      </c>
    </row>
    <row r="42" spans="1:10" x14ac:dyDescent="0.3">
      <c r="A42">
        <v>40</v>
      </c>
      <c r="B42">
        <v>660</v>
      </c>
      <c r="C42" t="b">
        <v>1</v>
      </c>
      <c r="D42">
        <v>8048</v>
      </c>
      <c r="E42">
        <v>8123</v>
      </c>
      <c r="F42">
        <v>6</v>
      </c>
      <c r="G42">
        <v>8</v>
      </c>
      <c r="H42">
        <v>0.75</v>
      </c>
      <c r="I42">
        <v>0.25</v>
      </c>
      <c r="J42">
        <v>0.57142859999999995</v>
      </c>
    </row>
    <row r="43" spans="1:10" x14ac:dyDescent="0.3">
      <c r="A43">
        <v>41</v>
      </c>
      <c r="B43">
        <v>676</v>
      </c>
      <c r="C43" t="b">
        <v>1</v>
      </c>
      <c r="D43">
        <v>8054</v>
      </c>
      <c r="E43">
        <v>8117</v>
      </c>
      <c r="F43">
        <v>6.8</v>
      </c>
      <c r="G43">
        <v>8</v>
      </c>
      <c r="H43">
        <v>0.85</v>
      </c>
      <c r="I43">
        <v>0.14999998</v>
      </c>
      <c r="J43">
        <v>0.54054049999999998</v>
      </c>
    </row>
    <row r="44" spans="1:10" x14ac:dyDescent="0.3">
      <c r="A44">
        <v>42</v>
      </c>
      <c r="B44">
        <v>692</v>
      </c>
      <c r="C44" t="b">
        <v>1</v>
      </c>
      <c r="D44">
        <v>8042</v>
      </c>
      <c r="E44">
        <v>8117</v>
      </c>
      <c r="F44">
        <v>7.6</v>
      </c>
      <c r="G44">
        <v>7.6</v>
      </c>
      <c r="H44">
        <v>1</v>
      </c>
      <c r="I44">
        <v>0</v>
      </c>
      <c r="J44">
        <v>0.5</v>
      </c>
    </row>
    <row r="45" spans="1:10" x14ac:dyDescent="0.3">
      <c r="A45">
        <v>43</v>
      </c>
      <c r="B45">
        <v>708</v>
      </c>
      <c r="C45" t="b">
        <v>1</v>
      </c>
      <c r="D45">
        <v>8042</v>
      </c>
      <c r="E45">
        <v>8117</v>
      </c>
      <c r="F45">
        <v>8</v>
      </c>
      <c r="G45">
        <v>7.2</v>
      </c>
      <c r="H45">
        <v>1.1111112000000001</v>
      </c>
      <c r="I45">
        <v>-0.11111114</v>
      </c>
      <c r="J45">
        <v>0.4736842</v>
      </c>
    </row>
    <row r="46" spans="1:10" x14ac:dyDescent="0.3">
      <c r="A46">
        <v>44</v>
      </c>
      <c r="B46">
        <v>724</v>
      </c>
      <c r="C46" t="b">
        <v>1</v>
      </c>
      <c r="D46">
        <v>8048</v>
      </c>
      <c r="E46">
        <v>8134</v>
      </c>
      <c r="F46">
        <v>8.4</v>
      </c>
      <c r="G46">
        <v>6.8</v>
      </c>
      <c r="H46">
        <v>1.2352939999999999</v>
      </c>
      <c r="I46">
        <v>-0.23529402999999999</v>
      </c>
      <c r="J46">
        <v>0.44736843999999998</v>
      </c>
    </row>
    <row r="47" spans="1:10" x14ac:dyDescent="0.3">
      <c r="A47">
        <v>45</v>
      </c>
      <c r="B47">
        <v>740</v>
      </c>
      <c r="C47" t="b">
        <v>1</v>
      </c>
      <c r="D47">
        <v>8042</v>
      </c>
      <c r="E47">
        <v>8123</v>
      </c>
      <c r="F47">
        <v>8.4</v>
      </c>
      <c r="G47">
        <v>6.4</v>
      </c>
      <c r="H47">
        <v>1.3124998999999999</v>
      </c>
      <c r="I47">
        <v>-0.3124999</v>
      </c>
      <c r="J47">
        <v>0.43243247000000001</v>
      </c>
    </row>
    <row r="48" spans="1:10" x14ac:dyDescent="0.3">
      <c r="A48">
        <v>46</v>
      </c>
      <c r="B48">
        <v>756</v>
      </c>
      <c r="C48" t="b">
        <v>1</v>
      </c>
      <c r="D48">
        <v>8042</v>
      </c>
      <c r="E48">
        <v>8123</v>
      </c>
      <c r="F48">
        <v>8</v>
      </c>
      <c r="G48">
        <v>6.4</v>
      </c>
      <c r="H48">
        <v>1.25</v>
      </c>
      <c r="I48">
        <v>-0.24999999000000001</v>
      </c>
      <c r="J48">
        <v>0.44444447999999998</v>
      </c>
    </row>
    <row r="49" spans="1:10" x14ac:dyDescent="0.3">
      <c r="A49">
        <v>47</v>
      </c>
      <c r="B49">
        <v>772</v>
      </c>
      <c r="C49" t="b">
        <v>1</v>
      </c>
      <c r="D49">
        <v>8042</v>
      </c>
      <c r="E49">
        <v>8117</v>
      </c>
      <c r="F49">
        <v>7.6</v>
      </c>
      <c r="G49">
        <v>6.4</v>
      </c>
      <c r="H49">
        <v>1.1875</v>
      </c>
      <c r="I49">
        <v>-0.18749996999999999</v>
      </c>
      <c r="J49">
        <v>0.45714285999999998</v>
      </c>
    </row>
    <row r="50" spans="1:10" x14ac:dyDescent="0.3">
      <c r="A50">
        <v>48</v>
      </c>
      <c r="B50">
        <v>788</v>
      </c>
      <c r="C50" t="b">
        <v>1</v>
      </c>
      <c r="D50">
        <v>8048</v>
      </c>
      <c r="E50">
        <v>8123</v>
      </c>
      <c r="F50">
        <v>7.2</v>
      </c>
      <c r="G50">
        <v>6.4</v>
      </c>
      <c r="H50">
        <v>1.125</v>
      </c>
      <c r="I50">
        <v>-0.124999955</v>
      </c>
      <c r="J50">
        <v>0.47058823999999999</v>
      </c>
    </row>
    <row r="51" spans="1:10" x14ac:dyDescent="0.3">
      <c r="A51">
        <v>49</v>
      </c>
      <c r="B51">
        <v>804</v>
      </c>
      <c r="C51" t="b">
        <v>1</v>
      </c>
      <c r="D51">
        <v>8048</v>
      </c>
      <c r="E51">
        <v>8123</v>
      </c>
      <c r="F51">
        <v>6.8</v>
      </c>
      <c r="G51">
        <v>6.4</v>
      </c>
      <c r="H51">
        <v>1.0625</v>
      </c>
      <c r="I51">
        <v>-6.2500015000000006E-2</v>
      </c>
      <c r="J51">
        <v>0.48484846999999998</v>
      </c>
    </row>
    <row r="52" spans="1:10" x14ac:dyDescent="0.3">
      <c r="A52">
        <v>50</v>
      </c>
      <c r="B52">
        <v>820</v>
      </c>
      <c r="C52" t="b">
        <v>1</v>
      </c>
      <c r="D52">
        <v>8048</v>
      </c>
      <c r="E52">
        <v>8129</v>
      </c>
      <c r="F52">
        <v>6.8</v>
      </c>
      <c r="G52">
        <v>6.4</v>
      </c>
      <c r="H52">
        <v>1.0625</v>
      </c>
      <c r="I52">
        <v>-6.2500015000000006E-2</v>
      </c>
      <c r="J52">
        <v>0.48484846999999998</v>
      </c>
    </row>
    <row r="53" spans="1:10" x14ac:dyDescent="0.3">
      <c r="A53">
        <v>51</v>
      </c>
      <c r="B53">
        <v>835</v>
      </c>
      <c r="C53" t="b">
        <v>1</v>
      </c>
      <c r="D53">
        <v>8048</v>
      </c>
      <c r="E53">
        <v>8123</v>
      </c>
      <c r="F53">
        <v>6.8</v>
      </c>
      <c r="G53">
        <v>6.4</v>
      </c>
      <c r="H53">
        <v>1.0625</v>
      </c>
      <c r="I53">
        <v>-6.2500015000000006E-2</v>
      </c>
      <c r="J53">
        <v>0.48484846999999998</v>
      </c>
    </row>
    <row r="54" spans="1:10" x14ac:dyDescent="0.3">
      <c r="A54">
        <v>52</v>
      </c>
      <c r="B54">
        <v>851</v>
      </c>
      <c r="C54" t="b">
        <v>1</v>
      </c>
      <c r="D54">
        <v>8054</v>
      </c>
      <c r="E54">
        <v>8123</v>
      </c>
      <c r="F54">
        <v>6.8</v>
      </c>
      <c r="G54">
        <v>6.4</v>
      </c>
      <c r="H54">
        <v>1.0625</v>
      </c>
      <c r="I54">
        <v>-6.2500015000000006E-2</v>
      </c>
      <c r="J54">
        <v>0.48484846999999998</v>
      </c>
    </row>
    <row r="55" spans="1:10" x14ac:dyDescent="0.3">
      <c r="A55">
        <v>53</v>
      </c>
      <c r="B55">
        <v>867</v>
      </c>
      <c r="C55" t="b">
        <v>1</v>
      </c>
      <c r="D55">
        <v>8048</v>
      </c>
      <c r="E55">
        <v>8123</v>
      </c>
      <c r="F55">
        <v>6.8</v>
      </c>
      <c r="G55">
        <v>6.4</v>
      </c>
      <c r="H55">
        <v>1.0625</v>
      </c>
      <c r="I55">
        <v>-6.2500015000000006E-2</v>
      </c>
      <c r="J55">
        <v>0.48484846999999998</v>
      </c>
    </row>
    <row r="56" spans="1:10" x14ac:dyDescent="0.3">
      <c r="A56">
        <v>54</v>
      </c>
      <c r="B56">
        <v>883</v>
      </c>
      <c r="C56" t="b">
        <v>1</v>
      </c>
      <c r="D56">
        <v>8054</v>
      </c>
      <c r="E56">
        <v>8123</v>
      </c>
      <c r="F56">
        <v>6.8</v>
      </c>
      <c r="G56">
        <v>6.4</v>
      </c>
      <c r="H56">
        <v>1.0625</v>
      </c>
      <c r="I56">
        <v>-6.2500015000000006E-2</v>
      </c>
      <c r="J56">
        <v>0.48484846999999998</v>
      </c>
    </row>
    <row r="57" spans="1:10" x14ac:dyDescent="0.3">
      <c r="A57">
        <v>55</v>
      </c>
      <c r="B57">
        <v>899</v>
      </c>
      <c r="C57" t="b">
        <v>1</v>
      </c>
      <c r="D57">
        <v>8048</v>
      </c>
      <c r="E57">
        <v>8123</v>
      </c>
      <c r="F57">
        <v>6.8</v>
      </c>
      <c r="G57">
        <v>6.4</v>
      </c>
      <c r="H57">
        <v>1.0625</v>
      </c>
      <c r="I57">
        <v>-6.2500015000000006E-2</v>
      </c>
      <c r="J57">
        <v>0.48484846999999998</v>
      </c>
    </row>
    <row r="58" spans="1:10" x14ac:dyDescent="0.3">
      <c r="A58">
        <v>56</v>
      </c>
      <c r="B58">
        <v>915</v>
      </c>
      <c r="C58" t="b">
        <v>1</v>
      </c>
      <c r="D58">
        <v>8042</v>
      </c>
      <c r="E58">
        <v>8123</v>
      </c>
      <c r="F58">
        <v>6.4</v>
      </c>
      <c r="G58">
        <v>6.4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930</v>
      </c>
      <c r="C59" t="b">
        <v>1</v>
      </c>
      <c r="D59">
        <v>8042</v>
      </c>
      <c r="E59">
        <v>8123</v>
      </c>
      <c r="F59">
        <v>6</v>
      </c>
      <c r="G59">
        <v>6.8</v>
      </c>
      <c r="H59">
        <v>0.8823529</v>
      </c>
      <c r="I59">
        <v>0.11764708</v>
      </c>
      <c r="J59">
        <v>0.53125</v>
      </c>
    </row>
    <row r="60" spans="1:10" x14ac:dyDescent="0.3">
      <c r="A60">
        <v>58</v>
      </c>
      <c r="B60">
        <v>946</v>
      </c>
      <c r="C60" t="b">
        <v>1</v>
      </c>
      <c r="D60">
        <v>8042</v>
      </c>
      <c r="E60">
        <v>8123</v>
      </c>
      <c r="F60">
        <v>5.6</v>
      </c>
      <c r="G60">
        <v>7.2</v>
      </c>
      <c r="H60">
        <v>0.77777779999999996</v>
      </c>
      <c r="I60">
        <v>0.22222221</v>
      </c>
      <c r="J60">
        <v>0.5625</v>
      </c>
    </row>
    <row r="61" spans="1:10" x14ac:dyDescent="0.3">
      <c r="A61">
        <v>59</v>
      </c>
      <c r="B61">
        <v>962</v>
      </c>
      <c r="C61" t="b">
        <v>1</v>
      </c>
      <c r="D61">
        <v>8048</v>
      </c>
      <c r="E61">
        <v>8129</v>
      </c>
      <c r="F61">
        <v>5.2</v>
      </c>
      <c r="G61">
        <v>7.6</v>
      </c>
      <c r="H61">
        <v>0.68421054000000003</v>
      </c>
      <c r="I61">
        <v>0.3157895</v>
      </c>
      <c r="J61">
        <v>0.59375</v>
      </c>
    </row>
    <row r="62" spans="1:10" x14ac:dyDescent="0.3">
      <c r="A62">
        <v>60</v>
      </c>
      <c r="B62">
        <v>978</v>
      </c>
      <c r="C62" t="b">
        <v>1</v>
      </c>
      <c r="D62">
        <v>8048</v>
      </c>
      <c r="E62">
        <v>8123</v>
      </c>
      <c r="F62">
        <v>5.2</v>
      </c>
      <c r="G62">
        <v>8</v>
      </c>
      <c r="H62">
        <v>0.65</v>
      </c>
      <c r="I62">
        <v>0.35000002000000002</v>
      </c>
      <c r="J62">
        <v>0.60606059999999995</v>
      </c>
    </row>
    <row r="63" spans="1:10" x14ac:dyDescent="0.3">
      <c r="A63">
        <v>61</v>
      </c>
      <c r="B63">
        <v>994</v>
      </c>
      <c r="C63" t="b">
        <v>1</v>
      </c>
      <c r="D63">
        <v>8048</v>
      </c>
      <c r="E63">
        <v>8123</v>
      </c>
      <c r="F63">
        <v>5.6</v>
      </c>
      <c r="G63">
        <v>8</v>
      </c>
      <c r="H63">
        <v>0.7</v>
      </c>
      <c r="I63">
        <v>0.3</v>
      </c>
      <c r="J63">
        <v>0.58823526000000004</v>
      </c>
    </row>
    <row r="64" spans="1:10" x14ac:dyDescent="0.3">
      <c r="A64">
        <v>62</v>
      </c>
      <c r="B64">
        <v>1010</v>
      </c>
      <c r="C64" t="b">
        <v>1</v>
      </c>
      <c r="D64">
        <v>8048</v>
      </c>
      <c r="E64">
        <v>8123</v>
      </c>
      <c r="F64">
        <v>6</v>
      </c>
      <c r="G64">
        <v>8</v>
      </c>
      <c r="H64">
        <v>0.75</v>
      </c>
      <c r="I64">
        <v>0.25</v>
      </c>
      <c r="J64">
        <v>0.57142859999999995</v>
      </c>
    </row>
    <row r="65" spans="1:10" x14ac:dyDescent="0.3">
      <c r="A65">
        <v>63</v>
      </c>
      <c r="B65">
        <v>1026</v>
      </c>
      <c r="C65" t="b">
        <v>1</v>
      </c>
      <c r="D65">
        <v>8054</v>
      </c>
      <c r="E65">
        <v>8123</v>
      </c>
      <c r="F65">
        <v>6.4</v>
      </c>
      <c r="G65">
        <v>8</v>
      </c>
      <c r="H65">
        <v>0.8</v>
      </c>
      <c r="I65">
        <v>0.19999998999999999</v>
      </c>
      <c r="J65">
        <v>0.55555560000000004</v>
      </c>
    </row>
    <row r="66" spans="1:10" x14ac:dyDescent="0.3">
      <c r="A66">
        <v>64</v>
      </c>
      <c r="B66">
        <v>1042</v>
      </c>
      <c r="C66" t="b">
        <v>1</v>
      </c>
      <c r="D66">
        <v>8048</v>
      </c>
      <c r="E66">
        <v>8129</v>
      </c>
      <c r="F66">
        <v>6.8</v>
      </c>
      <c r="G66">
        <v>8</v>
      </c>
      <c r="H66">
        <v>0.85</v>
      </c>
      <c r="I66">
        <v>0.14999998</v>
      </c>
      <c r="J66">
        <v>0.54054049999999998</v>
      </c>
    </row>
    <row r="67" spans="1:10" x14ac:dyDescent="0.3">
      <c r="A67">
        <v>65</v>
      </c>
      <c r="B67">
        <v>1058</v>
      </c>
      <c r="C67" t="b">
        <v>1</v>
      </c>
      <c r="D67">
        <v>8054</v>
      </c>
      <c r="E67">
        <v>8123</v>
      </c>
      <c r="F67">
        <v>6.8</v>
      </c>
      <c r="G67">
        <v>8</v>
      </c>
      <c r="H67">
        <v>0.85</v>
      </c>
      <c r="I67">
        <v>0.14999998</v>
      </c>
      <c r="J67">
        <v>0.54054049999999998</v>
      </c>
    </row>
    <row r="68" spans="1:10" x14ac:dyDescent="0.3">
      <c r="A68">
        <v>66</v>
      </c>
      <c r="B68">
        <v>1074</v>
      </c>
      <c r="C68" t="b">
        <v>1</v>
      </c>
      <c r="D68">
        <v>8048</v>
      </c>
      <c r="E68">
        <v>8123</v>
      </c>
      <c r="F68">
        <v>6.8</v>
      </c>
      <c r="G68">
        <v>8</v>
      </c>
      <c r="H68">
        <v>0.85</v>
      </c>
      <c r="I68">
        <v>0.14999998</v>
      </c>
      <c r="J68">
        <v>0.54054049999999998</v>
      </c>
    </row>
    <row r="69" spans="1:10" x14ac:dyDescent="0.3">
      <c r="A69">
        <v>67</v>
      </c>
      <c r="B69">
        <v>1090</v>
      </c>
      <c r="C69" t="b">
        <v>1</v>
      </c>
      <c r="D69">
        <v>8048</v>
      </c>
      <c r="E69">
        <v>8134</v>
      </c>
      <c r="F69">
        <v>6.8</v>
      </c>
      <c r="G69">
        <v>8</v>
      </c>
      <c r="H69">
        <v>0.85</v>
      </c>
      <c r="I69">
        <v>0.14999998</v>
      </c>
      <c r="J69">
        <v>0.54054049999999998</v>
      </c>
    </row>
    <row r="70" spans="1:10" x14ac:dyDescent="0.3">
      <c r="A70">
        <v>68</v>
      </c>
      <c r="B70">
        <v>1106</v>
      </c>
      <c r="C70" t="b">
        <v>1</v>
      </c>
      <c r="D70">
        <v>8048</v>
      </c>
      <c r="E70">
        <v>8123</v>
      </c>
      <c r="F70">
        <v>6.8</v>
      </c>
      <c r="G70">
        <v>8</v>
      </c>
      <c r="H70">
        <v>0.85</v>
      </c>
      <c r="I70">
        <v>0.14999998</v>
      </c>
      <c r="J70">
        <v>0.54054049999999998</v>
      </c>
    </row>
    <row r="71" spans="1:10" x14ac:dyDescent="0.3">
      <c r="A71">
        <v>69</v>
      </c>
      <c r="B71">
        <v>1122</v>
      </c>
      <c r="C71" t="b">
        <v>1</v>
      </c>
      <c r="D71">
        <v>8048</v>
      </c>
      <c r="E71">
        <v>8123</v>
      </c>
      <c r="F71">
        <v>6.8</v>
      </c>
      <c r="G71">
        <v>8</v>
      </c>
      <c r="H71">
        <v>0.85</v>
      </c>
      <c r="I71">
        <v>0.14999998</v>
      </c>
      <c r="J71">
        <v>0.54054049999999998</v>
      </c>
    </row>
    <row r="72" spans="1:10" x14ac:dyDescent="0.3">
      <c r="A72">
        <v>70</v>
      </c>
      <c r="B72">
        <v>1138</v>
      </c>
      <c r="C72" t="b">
        <v>1</v>
      </c>
      <c r="D72">
        <v>8048</v>
      </c>
      <c r="E72">
        <v>8123</v>
      </c>
      <c r="F72">
        <v>6.8</v>
      </c>
      <c r="G72">
        <v>8</v>
      </c>
      <c r="H72">
        <v>0.85</v>
      </c>
      <c r="I72">
        <v>0.14999998</v>
      </c>
      <c r="J72">
        <v>0.54054049999999998</v>
      </c>
    </row>
    <row r="73" spans="1:10" x14ac:dyDescent="0.3">
      <c r="A73">
        <v>71</v>
      </c>
      <c r="B73">
        <v>1154</v>
      </c>
      <c r="C73" t="b">
        <v>1</v>
      </c>
      <c r="D73">
        <v>8048</v>
      </c>
      <c r="E73">
        <v>8123</v>
      </c>
      <c r="F73">
        <v>6.8</v>
      </c>
      <c r="G73">
        <v>8</v>
      </c>
      <c r="H73">
        <v>0.85</v>
      </c>
      <c r="I73">
        <v>0.14999998</v>
      </c>
      <c r="J73">
        <v>0.54054049999999998</v>
      </c>
    </row>
    <row r="74" spans="1:10" x14ac:dyDescent="0.3">
      <c r="A74">
        <v>72</v>
      </c>
      <c r="B74">
        <v>1169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1185</v>
      </c>
      <c r="C75" t="b">
        <v>1</v>
      </c>
      <c r="D75">
        <v>8048</v>
      </c>
      <c r="E75">
        <v>8117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1201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1217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1233</v>
      </c>
      <c r="C78" t="b">
        <v>1</v>
      </c>
      <c r="D78">
        <v>8048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1248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1280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1296</v>
      </c>
      <c r="C82" t="b">
        <v>1</v>
      </c>
      <c r="D82">
        <v>8048</v>
      </c>
      <c r="E82">
        <v>8129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1311</v>
      </c>
      <c r="C83" t="b">
        <v>1</v>
      </c>
      <c r="D83">
        <v>8048</v>
      </c>
      <c r="E83">
        <v>8117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1327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1343</v>
      </c>
      <c r="C85" t="b">
        <v>1</v>
      </c>
      <c r="D85">
        <v>8048</v>
      </c>
      <c r="E85">
        <v>8117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1359</v>
      </c>
      <c r="C86" t="b">
        <v>1</v>
      </c>
      <c r="D86">
        <v>8048</v>
      </c>
      <c r="E86">
        <v>8117</v>
      </c>
      <c r="F86">
        <v>8</v>
      </c>
      <c r="G86">
        <v>7.6</v>
      </c>
      <c r="H86">
        <v>1.0526316</v>
      </c>
      <c r="I86">
        <v>-5.2631589999999999E-2</v>
      </c>
      <c r="J86">
        <v>0.48717946000000001</v>
      </c>
    </row>
    <row r="87" spans="1:10" x14ac:dyDescent="0.3">
      <c r="A87">
        <v>85</v>
      </c>
      <c r="B87">
        <v>1375</v>
      </c>
      <c r="C87" t="b">
        <v>1</v>
      </c>
      <c r="D87">
        <v>8048</v>
      </c>
      <c r="E87">
        <v>8117</v>
      </c>
      <c r="F87">
        <v>8</v>
      </c>
      <c r="G87">
        <v>7.2</v>
      </c>
      <c r="H87">
        <v>1.1111112000000001</v>
      </c>
      <c r="I87">
        <v>-0.11111114</v>
      </c>
      <c r="J87">
        <v>0.4736842</v>
      </c>
    </row>
    <row r="88" spans="1:10" x14ac:dyDescent="0.3">
      <c r="A88">
        <v>86</v>
      </c>
      <c r="B88">
        <v>1391</v>
      </c>
      <c r="C88" t="b">
        <v>1</v>
      </c>
      <c r="D88">
        <v>8048</v>
      </c>
      <c r="E88">
        <v>8117</v>
      </c>
      <c r="F88">
        <v>8</v>
      </c>
      <c r="G88">
        <v>6.8</v>
      </c>
      <c r="H88">
        <v>1.1764705</v>
      </c>
      <c r="I88">
        <v>-0.17647055</v>
      </c>
      <c r="J88">
        <v>0.45945944999999999</v>
      </c>
    </row>
    <row r="89" spans="1:10" x14ac:dyDescent="0.3">
      <c r="A89">
        <v>87</v>
      </c>
      <c r="B89">
        <v>1407</v>
      </c>
      <c r="C89" t="b">
        <v>1</v>
      </c>
      <c r="D89">
        <v>8054</v>
      </c>
      <c r="E89">
        <v>8134</v>
      </c>
      <c r="F89">
        <v>8</v>
      </c>
      <c r="G89">
        <v>6.4</v>
      </c>
      <c r="H89">
        <v>1.25</v>
      </c>
      <c r="I89">
        <v>-0.24999999000000001</v>
      </c>
      <c r="J89">
        <v>0.44444447999999998</v>
      </c>
    </row>
    <row r="90" spans="1:10" x14ac:dyDescent="0.3">
      <c r="A90">
        <v>88</v>
      </c>
      <c r="B90">
        <v>1423</v>
      </c>
      <c r="C90" t="b">
        <v>1</v>
      </c>
      <c r="D90">
        <v>8048</v>
      </c>
      <c r="E90">
        <v>8123</v>
      </c>
      <c r="F90">
        <v>8</v>
      </c>
      <c r="G90">
        <v>6</v>
      </c>
      <c r="H90">
        <v>1.3333333999999999</v>
      </c>
      <c r="I90">
        <v>-0.33333333999999998</v>
      </c>
      <c r="J90">
        <v>0.42857142999999998</v>
      </c>
    </row>
    <row r="91" spans="1:10" x14ac:dyDescent="0.3">
      <c r="A91">
        <v>89</v>
      </c>
      <c r="B91">
        <v>1439</v>
      </c>
      <c r="C91" t="b">
        <v>1</v>
      </c>
      <c r="D91">
        <v>8048</v>
      </c>
      <c r="E91">
        <v>8123</v>
      </c>
      <c r="F91">
        <v>8</v>
      </c>
      <c r="G91">
        <v>6</v>
      </c>
      <c r="H91">
        <v>1.3333333999999999</v>
      </c>
      <c r="I91">
        <v>-0.33333333999999998</v>
      </c>
      <c r="J91">
        <v>0.42857142999999998</v>
      </c>
    </row>
    <row r="92" spans="1:10" x14ac:dyDescent="0.3">
      <c r="A92">
        <v>90</v>
      </c>
      <c r="B92">
        <v>1455</v>
      </c>
      <c r="C92" t="b">
        <v>1</v>
      </c>
      <c r="D92">
        <v>8048</v>
      </c>
      <c r="E92">
        <v>8117</v>
      </c>
      <c r="F92">
        <v>8</v>
      </c>
      <c r="G92">
        <v>6</v>
      </c>
      <c r="H92">
        <v>1.3333333999999999</v>
      </c>
      <c r="I92">
        <v>-0.33333333999999998</v>
      </c>
      <c r="J92">
        <v>0.42857142999999998</v>
      </c>
    </row>
    <row r="93" spans="1:10" x14ac:dyDescent="0.3">
      <c r="A93">
        <v>91</v>
      </c>
      <c r="B93">
        <v>1471</v>
      </c>
      <c r="C93" t="b">
        <v>1</v>
      </c>
      <c r="D93">
        <v>8048</v>
      </c>
      <c r="E93">
        <v>8123</v>
      </c>
      <c r="F93">
        <v>8</v>
      </c>
      <c r="G93">
        <v>6</v>
      </c>
      <c r="H93">
        <v>1.3333333999999999</v>
      </c>
      <c r="I93">
        <v>-0.33333333999999998</v>
      </c>
      <c r="J93">
        <v>0.42857142999999998</v>
      </c>
    </row>
    <row r="94" spans="1:10" x14ac:dyDescent="0.3">
      <c r="A94">
        <v>92</v>
      </c>
      <c r="B94">
        <v>1487</v>
      </c>
      <c r="C94" t="b">
        <v>1</v>
      </c>
      <c r="D94">
        <v>8048</v>
      </c>
      <c r="E94">
        <v>8123</v>
      </c>
      <c r="F94">
        <v>8</v>
      </c>
      <c r="G94">
        <v>6</v>
      </c>
      <c r="H94">
        <v>1.3333333999999999</v>
      </c>
      <c r="I94">
        <v>-0.33333333999999998</v>
      </c>
      <c r="J94">
        <v>0.42857142999999998</v>
      </c>
    </row>
    <row r="95" spans="1:10" x14ac:dyDescent="0.3">
      <c r="A95">
        <v>93</v>
      </c>
      <c r="B95">
        <v>1503</v>
      </c>
      <c r="C95" t="b">
        <v>1</v>
      </c>
      <c r="D95">
        <v>8042</v>
      </c>
      <c r="E95">
        <v>8123</v>
      </c>
      <c r="F95">
        <v>8</v>
      </c>
      <c r="G95">
        <v>6</v>
      </c>
      <c r="H95">
        <v>1.3333333999999999</v>
      </c>
      <c r="I95">
        <v>-0.33333333999999998</v>
      </c>
      <c r="J95">
        <v>0.42857142999999998</v>
      </c>
    </row>
    <row r="96" spans="1:10" x14ac:dyDescent="0.3">
      <c r="A96">
        <v>94</v>
      </c>
      <c r="B96">
        <v>1519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1535</v>
      </c>
      <c r="C97" t="b">
        <v>1</v>
      </c>
      <c r="D97">
        <v>8048</v>
      </c>
      <c r="E97">
        <v>8123</v>
      </c>
      <c r="F97">
        <v>8</v>
      </c>
      <c r="G97">
        <v>6</v>
      </c>
      <c r="H97">
        <v>1.3333333999999999</v>
      </c>
      <c r="I97">
        <v>-0.33333333999999998</v>
      </c>
      <c r="J97">
        <v>0.42857142999999998</v>
      </c>
    </row>
    <row r="98" spans="1:10" x14ac:dyDescent="0.3">
      <c r="A98">
        <v>96</v>
      </c>
      <c r="B98">
        <v>1550</v>
      </c>
      <c r="C98" t="b">
        <v>1</v>
      </c>
      <c r="D98">
        <v>8042</v>
      </c>
      <c r="E98">
        <v>8129</v>
      </c>
      <c r="F98">
        <v>8</v>
      </c>
      <c r="G98">
        <v>6</v>
      </c>
      <c r="H98">
        <v>1.3333333999999999</v>
      </c>
      <c r="I98">
        <v>-0.33333333999999998</v>
      </c>
      <c r="J98">
        <v>0.42857142999999998</v>
      </c>
    </row>
    <row r="99" spans="1:10" x14ac:dyDescent="0.3">
      <c r="A99">
        <v>97</v>
      </c>
      <c r="B99">
        <v>1566</v>
      </c>
      <c r="C99" t="b">
        <v>1</v>
      </c>
      <c r="D99">
        <v>8042</v>
      </c>
      <c r="E99">
        <v>8129</v>
      </c>
      <c r="F99">
        <v>7.6</v>
      </c>
      <c r="G99">
        <v>6</v>
      </c>
      <c r="H99">
        <v>1.2666667</v>
      </c>
      <c r="I99">
        <v>-0.26666665000000001</v>
      </c>
      <c r="J99">
        <v>0.44117644</v>
      </c>
    </row>
    <row r="100" spans="1:10" x14ac:dyDescent="0.3">
      <c r="A100">
        <v>98</v>
      </c>
      <c r="B100">
        <v>1582</v>
      </c>
      <c r="C100" t="b">
        <v>1</v>
      </c>
      <c r="D100">
        <v>8042</v>
      </c>
      <c r="E100">
        <v>8123</v>
      </c>
      <c r="F100">
        <v>7.2</v>
      </c>
      <c r="G100">
        <v>6</v>
      </c>
      <c r="H100">
        <v>1.1999998999999999</v>
      </c>
      <c r="I100">
        <v>-0.19999997</v>
      </c>
      <c r="J100">
        <v>0.45454547000000001</v>
      </c>
    </row>
    <row r="101" spans="1:10" x14ac:dyDescent="0.3">
      <c r="A101">
        <v>99</v>
      </c>
      <c r="B101">
        <v>1598</v>
      </c>
      <c r="C101" t="b">
        <v>1</v>
      </c>
      <c r="D101">
        <v>8048</v>
      </c>
      <c r="E101">
        <v>8123</v>
      </c>
      <c r="F101">
        <v>6.8</v>
      </c>
      <c r="G101">
        <v>6.4</v>
      </c>
      <c r="H101">
        <v>1.0625</v>
      </c>
      <c r="I101">
        <v>-6.2500015000000006E-2</v>
      </c>
      <c r="J101">
        <v>0.48484846999999998</v>
      </c>
    </row>
    <row r="102" spans="1:10" x14ac:dyDescent="0.3">
      <c r="A102">
        <v>100</v>
      </c>
      <c r="B102">
        <v>1614</v>
      </c>
      <c r="C102" t="b">
        <v>1</v>
      </c>
      <c r="D102">
        <v>8048</v>
      </c>
      <c r="E102">
        <v>8123</v>
      </c>
      <c r="F102">
        <v>6.4</v>
      </c>
      <c r="G102">
        <v>6.8</v>
      </c>
      <c r="H102">
        <v>0.94117649999999997</v>
      </c>
      <c r="I102">
        <v>5.8823540000000001E-2</v>
      </c>
      <c r="J102">
        <v>0.51515149999999998</v>
      </c>
    </row>
    <row r="103" spans="1:10" x14ac:dyDescent="0.3">
      <c r="A103">
        <v>101</v>
      </c>
      <c r="B103">
        <v>1630</v>
      </c>
      <c r="C103" t="b">
        <v>1</v>
      </c>
      <c r="D103">
        <v>8054</v>
      </c>
      <c r="E103">
        <v>8123</v>
      </c>
      <c r="F103">
        <v>6.4</v>
      </c>
      <c r="G103">
        <v>7.2</v>
      </c>
      <c r="H103">
        <v>0.88888895999999995</v>
      </c>
      <c r="I103">
        <v>0.111111075</v>
      </c>
      <c r="J103">
        <v>0.52941172999999997</v>
      </c>
    </row>
    <row r="104" spans="1:10" x14ac:dyDescent="0.3">
      <c r="A104">
        <v>102</v>
      </c>
      <c r="B104">
        <v>1646</v>
      </c>
      <c r="C104" t="b">
        <v>1</v>
      </c>
      <c r="D104">
        <v>8048</v>
      </c>
      <c r="E104">
        <v>8123</v>
      </c>
      <c r="F104">
        <v>6.4</v>
      </c>
      <c r="G104">
        <v>7.6</v>
      </c>
      <c r="H104">
        <v>0.84210527000000002</v>
      </c>
      <c r="I104">
        <v>0.15789471999999999</v>
      </c>
      <c r="J104">
        <v>0.54285709999999998</v>
      </c>
    </row>
    <row r="105" spans="1:10" x14ac:dyDescent="0.3">
      <c r="A105">
        <v>103</v>
      </c>
      <c r="B105">
        <v>1662</v>
      </c>
      <c r="C105" t="b">
        <v>1</v>
      </c>
      <c r="D105">
        <v>8048</v>
      </c>
      <c r="E105">
        <v>8123</v>
      </c>
      <c r="F105">
        <v>6.4</v>
      </c>
      <c r="G105">
        <v>8</v>
      </c>
      <c r="H105">
        <v>0.8</v>
      </c>
      <c r="I105">
        <v>0.19999998999999999</v>
      </c>
      <c r="J105">
        <v>0.55555560000000004</v>
      </c>
    </row>
    <row r="106" spans="1:10" x14ac:dyDescent="0.3">
      <c r="A106">
        <v>104</v>
      </c>
      <c r="B106">
        <v>1678</v>
      </c>
      <c r="C106" t="b">
        <v>1</v>
      </c>
      <c r="D106">
        <v>8048</v>
      </c>
      <c r="E106">
        <v>8123</v>
      </c>
      <c r="F106">
        <v>6.4</v>
      </c>
      <c r="G106">
        <v>8</v>
      </c>
      <c r="H106">
        <v>0.8</v>
      </c>
      <c r="I106">
        <v>0.19999998999999999</v>
      </c>
      <c r="J106">
        <v>0.55555560000000004</v>
      </c>
    </row>
    <row r="107" spans="1:10" x14ac:dyDescent="0.3">
      <c r="A107">
        <v>105</v>
      </c>
      <c r="B107">
        <v>1693</v>
      </c>
      <c r="C107" t="b">
        <v>1</v>
      </c>
      <c r="D107">
        <v>8048</v>
      </c>
      <c r="E107">
        <v>8123</v>
      </c>
      <c r="F107">
        <v>6.4</v>
      </c>
      <c r="G107">
        <v>8</v>
      </c>
      <c r="H107">
        <v>0.8</v>
      </c>
      <c r="I107">
        <v>0.19999998999999999</v>
      </c>
      <c r="J107">
        <v>0.55555560000000004</v>
      </c>
    </row>
    <row r="108" spans="1:10" x14ac:dyDescent="0.3">
      <c r="A108">
        <v>106</v>
      </c>
      <c r="B108">
        <v>1709</v>
      </c>
      <c r="C108" t="b">
        <v>1</v>
      </c>
      <c r="D108">
        <v>8048</v>
      </c>
      <c r="E108">
        <v>8123</v>
      </c>
      <c r="F108">
        <v>6.4</v>
      </c>
      <c r="G108">
        <v>8</v>
      </c>
      <c r="H108">
        <v>0.8</v>
      </c>
      <c r="I108">
        <v>0.19999998999999999</v>
      </c>
      <c r="J108">
        <v>0.55555560000000004</v>
      </c>
    </row>
    <row r="109" spans="1:10" x14ac:dyDescent="0.3">
      <c r="A109">
        <v>107</v>
      </c>
      <c r="B109">
        <v>1725</v>
      </c>
      <c r="C109" t="b">
        <v>1</v>
      </c>
      <c r="D109">
        <v>8048</v>
      </c>
      <c r="E109">
        <v>8129</v>
      </c>
      <c r="F109">
        <v>6.4</v>
      </c>
      <c r="G109">
        <v>8</v>
      </c>
      <c r="H109">
        <v>0.8</v>
      </c>
      <c r="I109">
        <v>0.19999998999999999</v>
      </c>
      <c r="J109">
        <v>0.55555560000000004</v>
      </c>
    </row>
    <row r="110" spans="1:10" x14ac:dyDescent="0.3">
      <c r="A110">
        <v>108</v>
      </c>
      <c r="B110">
        <v>1741</v>
      </c>
      <c r="C110" t="b">
        <v>1</v>
      </c>
      <c r="D110">
        <v>8048</v>
      </c>
      <c r="E110">
        <v>8123</v>
      </c>
      <c r="F110">
        <v>6.4</v>
      </c>
      <c r="G110">
        <v>8</v>
      </c>
      <c r="H110">
        <v>0.8</v>
      </c>
      <c r="I110">
        <v>0.19999998999999999</v>
      </c>
      <c r="J110">
        <v>0.55555560000000004</v>
      </c>
    </row>
    <row r="111" spans="1:10" x14ac:dyDescent="0.3">
      <c r="A111">
        <v>109</v>
      </c>
      <c r="B111">
        <v>1757</v>
      </c>
      <c r="C111" t="b">
        <v>1</v>
      </c>
      <c r="D111">
        <v>8048</v>
      </c>
      <c r="E111">
        <v>8123</v>
      </c>
      <c r="F111">
        <v>6.4</v>
      </c>
      <c r="G111">
        <v>8</v>
      </c>
      <c r="H111">
        <v>0.8</v>
      </c>
      <c r="I111">
        <v>0.19999998999999999</v>
      </c>
      <c r="J111">
        <v>0.55555560000000004</v>
      </c>
    </row>
    <row r="112" spans="1:10" x14ac:dyDescent="0.3">
      <c r="A112">
        <v>110</v>
      </c>
      <c r="B112">
        <v>1773</v>
      </c>
      <c r="C112" t="b">
        <v>1</v>
      </c>
      <c r="D112">
        <v>8042</v>
      </c>
      <c r="E112">
        <v>8123</v>
      </c>
      <c r="F112">
        <v>6.4</v>
      </c>
      <c r="G112">
        <v>8</v>
      </c>
      <c r="H112">
        <v>0.8</v>
      </c>
      <c r="I112">
        <v>0.19999998999999999</v>
      </c>
      <c r="J112">
        <v>0.55555560000000004</v>
      </c>
    </row>
    <row r="113" spans="1:10" x14ac:dyDescent="0.3">
      <c r="A113">
        <v>111</v>
      </c>
      <c r="B113">
        <v>1789</v>
      </c>
      <c r="C113" t="b">
        <v>1</v>
      </c>
      <c r="D113">
        <v>8048</v>
      </c>
      <c r="E113">
        <v>8123</v>
      </c>
      <c r="F113">
        <v>6.4</v>
      </c>
      <c r="G113">
        <v>8</v>
      </c>
      <c r="H113">
        <v>0.8</v>
      </c>
      <c r="I113">
        <v>0.19999998999999999</v>
      </c>
      <c r="J113">
        <v>0.55555560000000004</v>
      </c>
    </row>
    <row r="114" spans="1:10" x14ac:dyDescent="0.3">
      <c r="A114">
        <v>112</v>
      </c>
      <c r="B114">
        <v>1805</v>
      </c>
      <c r="C114" t="b">
        <v>1</v>
      </c>
      <c r="D114">
        <v>8048</v>
      </c>
      <c r="E114">
        <v>8123</v>
      </c>
      <c r="F114">
        <v>6.8</v>
      </c>
      <c r="G114">
        <v>8</v>
      </c>
      <c r="H114">
        <v>0.85</v>
      </c>
      <c r="I114">
        <v>0.14999998</v>
      </c>
      <c r="J114">
        <v>0.54054049999999998</v>
      </c>
    </row>
    <row r="115" spans="1:10" x14ac:dyDescent="0.3">
      <c r="A115">
        <v>113</v>
      </c>
      <c r="B115">
        <v>1820</v>
      </c>
      <c r="C115" t="b">
        <v>1</v>
      </c>
      <c r="D115">
        <v>8048</v>
      </c>
      <c r="E115">
        <v>8123</v>
      </c>
      <c r="F115">
        <v>7.2</v>
      </c>
      <c r="G115">
        <v>8</v>
      </c>
      <c r="H115">
        <v>0.9</v>
      </c>
      <c r="I115">
        <v>0.10000002400000001</v>
      </c>
      <c r="J115">
        <v>0.5263158</v>
      </c>
    </row>
    <row r="116" spans="1:10" x14ac:dyDescent="0.3">
      <c r="A116">
        <v>114</v>
      </c>
      <c r="B116">
        <v>1836</v>
      </c>
      <c r="C116" t="b">
        <v>1</v>
      </c>
      <c r="D116">
        <v>8048</v>
      </c>
      <c r="E116">
        <v>8123</v>
      </c>
      <c r="F116">
        <v>7.6</v>
      </c>
      <c r="G116">
        <v>8</v>
      </c>
      <c r="H116">
        <v>0.95</v>
      </c>
      <c r="I116">
        <v>5.0000012000000003E-2</v>
      </c>
      <c r="J116">
        <v>0.51282050000000001</v>
      </c>
    </row>
    <row r="117" spans="1:10" x14ac:dyDescent="0.3">
      <c r="A117">
        <v>115</v>
      </c>
      <c r="B117">
        <v>1852</v>
      </c>
      <c r="C117" t="b">
        <v>1</v>
      </c>
      <c r="D117">
        <v>8048</v>
      </c>
      <c r="E117">
        <v>8123</v>
      </c>
      <c r="F117">
        <v>8</v>
      </c>
      <c r="G117">
        <v>8</v>
      </c>
      <c r="H117">
        <v>1</v>
      </c>
      <c r="I117">
        <v>0</v>
      </c>
      <c r="J117">
        <v>0.5</v>
      </c>
    </row>
    <row r="118" spans="1:10" x14ac:dyDescent="0.3">
      <c r="A118">
        <v>116</v>
      </c>
      <c r="B118">
        <v>1868</v>
      </c>
      <c r="C118" t="b">
        <v>1</v>
      </c>
      <c r="D118">
        <v>8048</v>
      </c>
      <c r="E118">
        <v>8123</v>
      </c>
      <c r="F118">
        <v>8</v>
      </c>
      <c r="G118">
        <v>8</v>
      </c>
      <c r="H118">
        <v>1</v>
      </c>
      <c r="I118">
        <v>0</v>
      </c>
      <c r="J118">
        <v>0.5</v>
      </c>
    </row>
    <row r="119" spans="1:10" x14ac:dyDescent="0.3">
      <c r="A119">
        <v>117</v>
      </c>
      <c r="B119">
        <v>1883</v>
      </c>
      <c r="C119" t="b">
        <v>1</v>
      </c>
      <c r="D119">
        <v>8048</v>
      </c>
      <c r="E119">
        <v>8123</v>
      </c>
      <c r="F119">
        <v>8</v>
      </c>
      <c r="G119">
        <v>8</v>
      </c>
      <c r="H119">
        <v>1</v>
      </c>
      <c r="I119">
        <v>0</v>
      </c>
      <c r="J119">
        <v>0.5</v>
      </c>
    </row>
    <row r="120" spans="1:10" x14ac:dyDescent="0.3">
      <c r="A120">
        <v>118</v>
      </c>
      <c r="B120">
        <v>1899</v>
      </c>
      <c r="C120" t="b">
        <v>1</v>
      </c>
      <c r="D120">
        <v>8048</v>
      </c>
      <c r="E120">
        <v>8129</v>
      </c>
      <c r="F120">
        <v>8</v>
      </c>
      <c r="G120">
        <v>8</v>
      </c>
      <c r="H120">
        <v>1</v>
      </c>
      <c r="I120">
        <v>0</v>
      </c>
      <c r="J120">
        <v>0.5</v>
      </c>
    </row>
    <row r="121" spans="1:10" x14ac:dyDescent="0.3">
      <c r="A121">
        <v>119</v>
      </c>
      <c r="B121">
        <v>1915</v>
      </c>
      <c r="C121" t="b">
        <v>1</v>
      </c>
      <c r="D121">
        <v>8048</v>
      </c>
      <c r="E121">
        <v>8123</v>
      </c>
      <c r="F121">
        <v>8</v>
      </c>
      <c r="G121">
        <v>8</v>
      </c>
      <c r="H121">
        <v>1</v>
      </c>
      <c r="I121">
        <v>0</v>
      </c>
      <c r="J121">
        <v>0.5</v>
      </c>
    </row>
    <row r="122" spans="1:10" x14ac:dyDescent="0.3">
      <c r="A122">
        <v>120</v>
      </c>
      <c r="B122">
        <v>1931</v>
      </c>
      <c r="C122" t="b">
        <v>1</v>
      </c>
      <c r="D122">
        <v>8048</v>
      </c>
      <c r="E122">
        <v>8123</v>
      </c>
      <c r="F122">
        <v>8</v>
      </c>
      <c r="G122">
        <v>8</v>
      </c>
      <c r="H122">
        <v>1</v>
      </c>
      <c r="I122">
        <v>0</v>
      </c>
      <c r="J122">
        <v>0.5</v>
      </c>
    </row>
    <row r="123" spans="1:10" x14ac:dyDescent="0.3">
      <c r="A123">
        <v>121</v>
      </c>
      <c r="B123">
        <v>1947</v>
      </c>
      <c r="C123" t="b">
        <v>1</v>
      </c>
      <c r="D123">
        <v>8048</v>
      </c>
      <c r="E123">
        <v>8123</v>
      </c>
      <c r="F123">
        <v>8</v>
      </c>
      <c r="G123">
        <v>8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1963</v>
      </c>
      <c r="C124" t="b">
        <v>1</v>
      </c>
      <c r="D124">
        <v>8048</v>
      </c>
      <c r="E124">
        <v>8123</v>
      </c>
      <c r="F124">
        <v>8</v>
      </c>
      <c r="G124">
        <v>8</v>
      </c>
      <c r="H124">
        <v>1</v>
      </c>
      <c r="I124">
        <v>0</v>
      </c>
      <c r="J124">
        <v>0.5</v>
      </c>
    </row>
    <row r="125" spans="1:10" x14ac:dyDescent="0.3">
      <c r="A125">
        <v>123</v>
      </c>
      <c r="B125">
        <v>1979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1995</v>
      </c>
      <c r="C126" t="b">
        <v>1</v>
      </c>
      <c r="D126">
        <v>8048</v>
      </c>
      <c r="E126">
        <v>8129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2011</v>
      </c>
      <c r="C127" t="b">
        <v>1</v>
      </c>
      <c r="D127">
        <v>8048</v>
      </c>
      <c r="E127">
        <v>8129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2043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2059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2091</v>
      </c>
      <c r="C132" t="b">
        <v>1</v>
      </c>
      <c r="D132">
        <v>8042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2106</v>
      </c>
      <c r="C133" t="b">
        <v>1</v>
      </c>
      <c r="D133">
        <v>8048</v>
      </c>
      <c r="E133">
        <v>8123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2122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2138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2154</v>
      </c>
      <c r="C136" t="b">
        <v>1</v>
      </c>
      <c r="D136">
        <v>8048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2170</v>
      </c>
      <c r="C137" t="b">
        <v>1</v>
      </c>
      <c r="D137">
        <v>8048</v>
      </c>
      <c r="E137">
        <v>8123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2186</v>
      </c>
      <c r="C138" t="b">
        <v>1</v>
      </c>
      <c r="D138">
        <v>8048</v>
      </c>
      <c r="E138">
        <v>8123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2202</v>
      </c>
      <c r="C139" t="b">
        <v>1</v>
      </c>
      <c r="D139">
        <v>8048</v>
      </c>
      <c r="E139">
        <v>8123</v>
      </c>
      <c r="F139">
        <v>8</v>
      </c>
      <c r="G139">
        <v>8</v>
      </c>
      <c r="H139">
        <v>1</v>
      </c>
      <c r="I139">
        <v>0</v>
      </c>
      <c r="J139">
        <v>0.5</v>
      </c>
    </row>
    <row r="140" spans="1:10" x14ac:dyDescent="0.3">
      <c r="A140">
        <v>138</v>
      </c>
      <c r="B140">
        <v>2218</v>
      </c>
      <c r="C140" t="b">
        <v>1</v>
      </c>
      <c r="D140">
        <v>8048</v>
      </c>
      <c r="E140">
        <v>8123</v>
      </c>
      <c r="F140">
        <v>8</v>
      </c>
      <c r="G140">
        <v>8</v>
      </c>
      <c r="H140">
        <v>1</v>
      </c>
      <c r="I140">
        <v>0</v>
      </c>
      <c r="J140">
        <v>0.5</v>
      </c>
    </row>
    <row r="141" spans="1:10" x14ac:dyDescent="0.3">
      <c r="A141">
        <v>139</v>
      </c>
      <c r="B141">
        <v>2234</v>
      </c>
      <c r="C141" t="b">
        <v>1</v>
      </c>
      <c r="D141">
        <v>8048</v>
      </c>
      <c r="E141">
        <v>8123</v>
      </c>
      <c r="F141">
        <v>8</v>
      </c>
      <c r="G141">
        <v>8</v>
      </c>
      <c r="H141">
        <v>1</v>
      </c>
      <c r="I141">
        <v>0</v>
      </c>
      <c r="J141">
        <v>0.5</v>
      </c>
    </row>
    <row r="142" spans="1:10" x14ac:dyDescent="0.3">
      <c r="A142">
        <v>140</v>
      </c>
      <c r="B142">
        <v>2250</v>
      </c>
      <c r="C142" t="b">
        <v>1</v>
      </c>
      <c r="D142">
        <v>8048</v>
      </c>
      <c r="E142">
        <v>8123</v>
      </c>
      <c r="F142">
        <v>8</v>
      </c>
      <c r="G142">
        <v>8</v>
      </c>
      <c r="H142">
        <v>1</v>
      </c>
      <c r="I142">
        <v>0</v>
      </c>
      <c r="J142">
        <v>0.5</v>
      </c>
    </row>
    <row r="143" spans="1:10" x14ac:dyDescent="0.3">
      <c r="A143">
        <v>141</v>
      </c>
      <c r="B143">
        <v>2266</v>
      </c>
      <c r="C143" t="b">
        <v>1</v>
      </c>
      <c r="D143">
        <v>8048</v>
      </c>
      <c r="E143">
        <v>8123</v>
      </c>
      <c r="F143">
        <v>8</v>
      </c>
      <c r="G143">
        <v>8</v>
      </c>
      <c r="H143">
        <v>1</v>
      </c>
      <c r="I143">
        <v>0</v>
      </c>
      <c r="J143">
        <v>0.5</v>
      </c>
    </row>
    <row r="144" spans="1:10" x14ac:dyDescent="0.3">
      <c r="A144">
        <v>142</v>
      </c>
      <c r="B144">
        <v>2281</v>
      </c>
      <c r="C144" t="b">
        <v>1</v>
      </c>
      <c r="D144">
        <v>8048</v>
      </c>
      <c r="E144">
        <v>8123</v>
      </c>
      <c r="F144">
        <v>8</v>
      </c>
      <c r="G144">
        <v>8</v>
      </c>
      <c r="H144">
        <v>1</v>
      </c>
      <c r="I144">
        <v>0</v>
      </c>
      <c r="J144">
        <v>0.5</v>
      </c>
    </row>
    <row r="145" spans="1:10" x14ac:dyDescent="0.3">
      <c r="A145">
        <v>143</v>
      </c>
      <c r="B145">
        <v>2297</v>
      </c>
      <c r="C145" t="b">
        <v>1</v>
      </c>
      <c r="D145">
        <v>8048</v>
      </c>
      <c r="E145">
        <v>8123</v>
      </c>
      <c r="F145">
        <v>8</v>
      </c>
      <c r="G145">
        <v>8</v>
      </c>
      <c r="H145">
        <v>1</v>
      </c>
      <c r="I145">
        <v>0</v>
      </c>
      <c r="J145">
        <v>0.5</v>
      </c>
    </row>
    <row r="146" spans="1:10" x14ac:dyDescent="0.3">
      <c r="A146">
        <v>144</v>
      </c>
      <c r="B146">
        <v>2313</v>
      </c>
      <c r="C146" t="b">
        <v>1</v>
      </c>
      <c r="D146">
        <v>8054</v>
      </c>
      <c r="E146">
        <v>8123</v>
      </c>
      <c r="F146">
        <v>8</v>
      </c>
      <c r="G146">
        <v>8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2329</v>
      </c>
      <c r="C147" t="b">
        <v>1</v>
      </c>
      <c r="D147">
        <v>8054</v>
      </c>
      <c r="E147">
        <v>8123</v>
      </c>
      <c r="F147">
        <v>8</v>
      </c>
      <c r="G147">
        <v>8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2345</v>
      </c>
      <c r="C148" t="b">
        <v>1</v>
      </c>
      <c r="D148">
        <v>8054</v>
      </c>
      <c r="E148">
        <v>8129</v>
      </c>
      <c r="F148">
        <v>8.4</v>
      </c>
      <c r="G148">
        <v>8</v>
      </c>
      <c r="H148">
        <v>1.05</v>
      </c>
      <c r="I148">
        <v>-4.9999952E-2</v>
      </c>
      <c r="J148">
        <v>0.48780489999999999</v>
      </c>
    </row>
    <row r="149" spans="1:10" x14ac:dyDescent="0.3">
      <c r="A149">
        <v>147</v>
      </c>
      <c r="B149">
        <v>2361</v>
      </c>
      <c r="C149" t="b">
        <v>1</v>
      </c>
      <c r="D149">
        <v>8054</v>
      </c>
      <c r="E149">
        <v>8129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2377</v>
      </c>
      <c r="C150" t="b">
        <v>1</v>
      </c>
      <c r="D150">
        <v>8054</v>
      </c>
      <c r="E150">
        <v>8123</v>
      </c>
      <c r="F150">
        <v>9.1999999999999993</v>
      </c>
      <c r="G150">
        <v>8</v>
      </c>
      <c r="H150">
        <v>1.1499999999999999</v>
      </c>
      <c r="I150">
        <v>-0.14999998</v>
      </c>
      <c r="J150">
        <v>0.46511626</v>
      </c>
    </row>
    <row r="151" spans="1:10" x14ac:dyDescent="0.3">
      <c r="A151">
        <v>149</v>
      </c>
      <c r="B151">
        <v>2393</v>
      </c>
      <c r="C151" t="b">
        <v>1</v>
      </c>
      <c r="D151">
        <v>8060</v>
      </c>
      <c r="E151">
        <v>8123</v>
      </c>
      <c r="F151">
        <v>9.6</v>
      </c>
      <c r="G151">
        <v>8</v>
      </c>
      <c r="H151">
        <v>1.2</v>
      </c>
      <c r="I151">
        <v>-0.20000005000000001</v>
      </c>
      <c r="J151">
        <v>0.45454544000000002</v>
      </c>
    </row>
    <row r="152" spans="1:10" x14ac:dyDescent="0.3">
      <c r="A152">
        <v>150</v>
      </c>
      <c r="B152">
        <v>2409</v>
      </c>
      <c r="C152" t="b">
        <v>1</v>
      </c>
      <c r="D152">
        <v>8042</v>
      </c>
      <c r="E152">
        <v>8123</v>
      </c>
      <c r="F152">
        <v>10</v>
      </c>
      <c r="G152">
        <v>8</v>
      </c>
      <c r="H152">
        <v>1.25</v>
      </c>
      <c r="I152">
        <v>-0.25</v>
      </c>
      <c r="J152">
        <v>0.44444444999999999</v>
      </c>
    </row>
    <row r="153" spans="1:10" x14ac:dyDescent="0.3">
      <c r="A153">
        <v>151</v>
      </c>
      <c r="B153">
        <v>2426</v>
      </c>
      <c r="C153" t="b">
        <v>1</v>
      </c>
      <c r="D153">
        <v>8042</v>
      </c>
      <c r="E153">
        <v>8123</v>
      </c>
      <c r="F153">
        <v>10.4</v>
      </c>
      <c r="G153">
        <v>8</v>
      </c>
      <c r="H153">
        <v>1.3</v>
      </c>
      <c r="I153">
        <v>-0.29999995000000002</v>
      </c>
      <c r="J153">
        <v>0.43478262000000001</v>
      </c>
    </row>
    <row r="154" spans="1:10" x14ac:dyDescent="0.3">
      <c r="A154">
        <v>152</v>
      </c>
      <c r="B154">
        <v>2441</v>
      </c>
      <c r="C154" t="b">
        <v>1</v>
      </c>
      <c r="D154">
        <v>8042</v>
      </c>
      <c r="E154">
        <v>8123</v>
      </c>
      <c r="F154">
        <v>10</v>
      </c>
      <c r="G154">
        <v>8</v>
      </c>
      <c r="H154">
        <v>1.25</v>
      </c>
      <c r="I154">
        <v>-0.25</v>
      </c>
      <c r="J154">
        <v>0.44444444999999999</v>
      </c>
    </row>
    <row r="155" spans="1:10" x14ac:dyDescent="0.3">
      <c r="A155">
        <v>153</v>
      </c>
      <c r="B155">
        <v>2457</v>
      </c>
      <c r="C155" t="b">
        <v>1</v>
      </c>
      <c r="D155">
        <v>8042</v>
      </c>
      <c r="E155">
        <v>8123</v>
      </c>
      <c r="F155">
        <v>9.6</v>
      </c>
      <c r="G155">
        <v>8</v>
      </c>
      <c r="H155">
        <v>1.2</v>
      </c>
      <c r="I155">
        <v>-0.20000005000000001</v>
      </c>
      <c r="J155">
        <v>0.45454544000000002</v>
      </c>
    </row>
    <row r="156" spans="1:10" x14ac:dyDescent="0.3">
      <c r="A156">
        <v>154</v>
      </c>
      <c r="B156">
        <v>2473</v>
      </c>
      <c r="C156" t="b">
        <v>1</v>
      </c>
      <c r="D156">
        <v>8042</v>
      </c>
      <c r="E156">
        <v>8123</v>
      </c>
      <c r="F156">
        <v>9.1999999999999993</v>
      </c>
      <c r="G156">
        <v>8</v>
      </c>
      <c r="H156">
        <v>1.1499999999999999</v>
      </c>
      <c r="I156">
        <v>-0.14999998</v>
      </c>
      <c r="J156">
        <v>0.46511626</v>
      </c>
    </row>
    <row r="157" spans="1:10" x14ac:dyDescent="0.3">
      <c r="A157">
        <v>155</v>
      </c>
      <c r="B157">
        <v>2489</v>
      </c>
      <c r="C157" t="b">
        <v>1</v>
      </c>
      <c r="D157">
        <v>8042</v>
      </c>
      <c r="E157">
        <v>8123</v>
      </c>
      <c r="F157">
        <v>8.8000000000000007</v>
      </c>
      <c r="G157">
        <v>8</v>
      </c>
      <c r="H157">
        <v>1.1000000000000001</v>
      </c>
      <c r="I157">
        <v>-0.10000002400000001</v>
      </c>
      <c r="J157">
        <v>0.47619050000000002</v>
      </c>
    </row>
    <row r="158" spans="1:10" x14ac:dyDescent="0.3">
      <c r="A158">
        <v>156</v>
      </c>
      <c r="B158">
        <v>2505</v>
      </c>
      <c r="C158" t="b">
        <v>1</v>
      </c>
      <c r="D158">
        <v>8042</v>
      </c>
      <c r="E158">
        <v>8123</v>
      </c>
      <c r="F158">
        <v>8.4</v>
      </c>
      <c r="G158">
        <v>8</v>
      </c>
      <c r="H158">
        <v>1.05</v>
      </c>
      <c r="I158">
        <v>-4.9999952E-2</v>
      </c>
      <c r="J158">
        <v>0.48780489999999999</v>
      </c>
    </row>
    <row r="159" spans="1:10" x14ac:dyDescent="0.3">
      <c r="A159">
        <v>157</v>
      </c>
      <c r="B159">
        <v>2521</v>
      </c>
      <c r="C159" t="b">
        <v>1</v>
      </c>
      <c r="D159">
        <v>8048</v>
      </c>
      <c r="E159">
        <v>8129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2537</v>
      </c>
      <c r="C160" t="b">
        <v>1</v>
      </c>
      <c r="D160">
        <v>8048</v>
      </c>
      <c r="E160">
        <v>8129</v>
      </c>
      <c r="F160">
        <v>7.6</v>
      </c>
      <c r="G160">
        <v>8</v>
      </c>
      <c r="H160">
        <v>0.95</v>
      </c>
      <c r="I160">
        <v>5.0000012000000003E-2</v>
      </c>
      <c r="J160">
        <v>0.51282050000000001</v>
      </c>
    </row>
    <row r="161" spans="1:10" x14ac:dyDescent="0.3">
      <c r="A161">
        <v>159</v>
      </c>
      <c r="B161">
        <v>2552</v>
      </c>
      <c r="C161" t="b">
        <v>1</v>
      </c>
      <c r="D161">
        <v>8048</v>
      </c>
      <c r="E161">
        <v>8123</v>
      </c>
      <c r="F161">
        <v>7.6</v>
      </c>
      <c r="G161">
        <v>8</v>
      </c>
      <c r="H161">
        <v>0.95</v>
      </c>
      <c r="I161">
        <v>5.0000012000000003E-2</v>
      </c>
      <c r="J161">
        <v>0.51282050000000001</v>
      </c>
    </row>
    <row r="162" spans="1:10" x14ac:dyDescent="0.3">
      <c r="A162">
        <v>160</v>
      </c>
      <c r="B162">
        <v>2568</v>
      </c>
      <c r="C162" t="b">
        <v>1</v>
      </c>
      <c r="D162">
        <v>8048</v>
      </c>
      <c r="E162">
        <v>8123</v>
      </c>
      <c r="F162">
        <v>7.6</v>
      </c>
      <c r="G162">
        <v>8</v>
      </c>
      <c r="H162">
        <v>0.95</v>
      </c>
      <c r="I162">
        <v>5.0000012000000003E-2</v>
      </c>
      <c r="J162">
        <v>0.51282050000000001</v>
      </c>
    </row>
    <row r="163" spans="1:10" x14ac:dyDescent="0.3">
      <c r="A163">
        <v>161</v>
      </c>
      <c r="B163">
        <v>2584</v>
      </c>
      <c r="C163" t="b">
        <v>1</v>
      </c>
      <c r="D163">
        <v>8048</v>
      </c>
      <c r="E163">
        <v>8129</v>
      </c>
      <c r="F163">
        <v>7.2</v>
      </c>
      <c r="G163">
        <v>8.4</v>
      </c>
      <c r="H163">
        <v>0.85714287</v>
      </c>
      <c r="I163">
        <v>0.14285712</v>
      </c>
      <c r="J163">
        <v>0.53846150000000004</v>
      </c>
    </row>
    <row r="164" spans="1:10" x14ac:dyDescent="0.3">
      <c r="A164">
        <v>162</v>
      </c>
      <c r="B164">
        <v>2600</v>
      </c>
      <c r="C164" t="b">
        <v>1</v>
      </c>
      <c r="D164">
        <v>8048</v>
      </c>
      <c r="E164">
        <v>8123</v>
      </c>
      <c r="F164">
        <v>6.8</v>
      </c>
      <c r="G164">
        <v>8.4</v>
      </c>
      <c r="H164">
        <v>0.80952389999999996</v>
      </c>
      <c r="I164">
        <v>0.19047612999999999</v>
      </c>
      <c r="J164">
        <v>0.55263156000000002</v>
      </c>
    </row>
    <row r="165" spans="1:10" x14ac:dyDescent="0.3">
      <c r="A165">
        <v>163</v>
      </c>
      <c r="B165">
        <v>2616</v>
      </c>
      <c r="C165" t="b">
        <v>1</v>
      </c>
      <c r="D165">
        <v>8048</v>
      </c>
      <c r="E165">
        <v>8123</v>
      </c>
      <c r="F165">
        <v>6.4</v>
      </c>
      <c r="G165">
        <v>8.4</v>
      </c>
      <c r="H165">
        <v>0.76190484000000003</v>
      </c>
      <c r="I165">
        <v>0.23809520000000001</v>
      </c>
      <c r="J165">
        <v>0.56756759999999995</v>
      </c>
    </row>
    <row r="166" spans="1:10" x14ac:dyDescent="0.3">
      <c r="A166">
        <v>164</v>
      </c>
      <c r="B166">
        <v>2632</v>
      </c>
      <c r="C166" t="b">
        <v>1</v>
      </c>
      <c r="D166">
        <v>8048</v>
      </c>
      <c r="E166">
        <v>8123</v>
      </c>
      <c r="F166">
        <v>6</v>
      </c>
      <c r="G166">
        <v>8.4</v>
      </c>
      <c r="H166">
        <v>0.71428572999999995</v>
      </c>
      <c r="I166">
        <v>0.28571424000000001</v>
      </c>
      <c r="J166">
        <v>0.58333330000000005</v>
      </c>
    </row>
    <row r="167" spans="1:10" x14ac:dyDescent="0.3">
      <c r="A167">
        <v>165</v>
      </c>
      <c r="B167">
        <v>2648</v>
      </c>
      <c r="C167" t="b">
        <v>1</v>
      </c>
      <c r="D167">
        <v>8048</v>
      </c>
      <c r="E167">
        <v>8129</v>
      </c>
      <c r="F167">
        <v>5.6</v>
      </c>
      <c r="G167">
        <v>8.4</v>
      </c>
      <c r="H167">
        <v>0.66666669999999995</v>
      </c>
      <c r="I167">
        <v>0.3333333</v>
      </c>
      <c r="J167">
        <v>0.59999996</v>
      </c>
    </row>
    <row r="168" spans="1:10" x14ac:dyDescent="0.3">
      <c r="A168">
        <v>166</v>
      </c>
      <c r="B168">
        <v>2664</v>
      </c>
      <c r="C168" t="b">
        <v>1</v>
      </c>
      <c r="D168">
        <v>8048</v>
      </c>
      <c r="E168">
        <v>8123</v>
      </c>
      <c r="F168">
        <v>5.2</v>
      </c>
      <c r="G168">
        <v>8.4</v>
      </c>
      <c r="H168">
        <v>0.61904764000000001</v>
      </c>
      <c r="I168">
        <v>0.38095240000000002</v>
      </c>
      <c r="J168">
        <v>0.61764704999999998</v>
      </c>
    </row>
    <row r="169" spans="1:10" x14ac:dyDescent="0.3">
      <c r="A169">
        <v>167</v>
      </c>
      <c r="B169">
        <v>2680</v>
      </c>
      <c r="C169" t="b">
        <v>1</v>
      </c>
      <c r="D169">
        <v>8048</v>
      </c>
      <c r="E169">
        <v>8123</v>
      </c>
      <c r="F169">
        <v>5.6</v>
      </c>
      <c r="G169">
        <v>8.4</v>
      </c>
      <c r="H169">
        <v>0.66666669999999995</v>
      </c>
      <c r="I169">
        <v>0.3333333</v>
      </c>
      <c r="J169">
        <v>0.59999996</v>
      </c>
    </row>
    <row r="170" spans="1:10" x14ac:dyDescent="0.3">
      <c r="A170">
        <v>168</v>
      </c>
      <c r="B170">
        <v>2696</v>
      </c>
      <c r="C170" t="b">
        <v>1</v>
      </c>
      <c r="D170">
        <v>8048</v>
      </c>
      <c r="E170">
        <v>8123</v>
      </c>
      <c r="F170">
        <v>6</v>
      </c>
      <c r="G170">
        <v>8.4</v>
      </c>
      <c r="H170">
        <v>0.71428572999999995</v>
      </c>
      <c r="I170">
        <v>0.28571424000000001</v>
      </c>
      <c r="J170">
        <v>0.58333330000000005</v>
      </c>
    </row>
    <row r="171" spans="1:10" x14ac:dyDescent="0.3">
      <c r="A171">
        <v>169</v>
      </c>
      <c r="B171">
        <v>2712</v>
      </c>
      <c r="C171" t="b">
        <v>1</v>
      </c>
      <c r="D171">
        <v>8048</v>
      </c>
      <c r="E171">
        <v>8129</v>
      </c>
      <c r="F171">
        <v>6.4</v>
      </c>
      <c r="G171">
        <v>8.4</v>
      </c>
      <c r="H171">
        <v>0.76190484000000003</v>
      </c>
      <c r="I171">
        <v>0.23809520000000001</v>
      </c>
      <c r="J171">
        <v>0.56756759999999995</v>
      </c>
    </row>
    <row r="172" spans="1:10" x14ac:dyDescent="0.3">
      <c r="A172">
        <v>170</v>
      </c>
      <c r="B172">
        <v>2728</v>
      </c>
      <c r="C172" t="b">
        <v>1</v>
      </c>
      <c r="D172">
        <v>8048</v>
      </c>
      <c r="E172">
        <v>8129</v>
      </c>
      <c r="F172">
        <v>6.8</v>
      </c>
      <c r="G172">
        <v>8.4</v>
      </c>
      <c r="H172">
        <v>0.80952389999999996</v>
      </c>
      <c r="I172">
        <v>0.19047612999999999</v>
      </c>
      <c r="J172">
        <v>0.55263156000000002</v>
      </c>
    </row>
    <row r="173" spans="1:10" x14ac:dyDescent="0.3">
      <c r="A173">
        <v>171</v>
      </c>
      <c r="B173">
        <v>2744</v>
      </c>
      <c r="C173" t="b">
        <v>1</v>
      </c>
      <c r="D173">
        <v>8048</v>
      </c>
      <c r="E173">
        <v>8123</v>
      </c>
      <c r="F173">
        <v>7.2</v>
      </c>
      <c r="G173">
        <v>8.4</v>
      </c>
      <c r="H173">
        <v>0.85714287</v>
      </c>
      <c r="I173">
        <v>0.14285712</v>
      </c>
      <c r="J173">
        <v>0.53846150000000004</v>
      </c>
    </row>
    <row r="174" spans="1:10" x14ac:dyDescent="0.3">
      <c r="A174">
        <v>172</v>
      </c>
      <c r="B174">
        <v>2759</v>
      </c>
      <c r="C174" t="b">
        <v>1</v>
      </c>
      <c r="D174">
        <v>8048</v>
      </c>
      <c r="E174">
        <v>8123</v>
      </c>
      <c r="F174">
        <v>7.6</v>
      </c>
      <c r="G174">
        <v>8.4</v>
      </c>
      <c r="H174">
        <v>0.90476190000000001</v>
      </c>
      <c r="I174">
        <v>9.5238069999999994E-2</v>
      </c>
      <c r="J174">
        <v>0.52500000000000002</v>
      </c>
    </row>
    <row r="175" spans="1:10" x14ac:dyDescent="0.3">
      <c r="A175">
        <v>173</v>
      </c>
      <c r="B175">
        <v>2775</v>
      </c>
      <c r="C175" t="b">
        <v>1</v>
      </c>
      <c r="D175">
        <v>8048</v>
      </c>
      <c r="E175">
        <v>8123</v>
      </c>
      <c r="F175">
        <v>8</v>
      </c>
      <c r="G175">
        <v>8.4</v>
      </c>
      <c r="H175">
        <v>0.95238100000000003</v>
      </c>
      <c r="I175">
        <v>4.7619003999999999E-2</v>
      </c>
      <c r="J175">
        <v>0.51219510000000001</v>
      </c>
    </row>
    <row r="176" spans="1:10" x14ac:dyDescent="0.3">
      <c r="A176">
        <v>174</v>
      </c>
      <c r="B176">
        <v>2791</v>
      </c>
      <c r="C176" t="b">
        <v>1</v>
      </c>
      <c r="D176">
        <v>8048</v>
      </c>
      <c r="E176">
        <v>8123</v>
      </c>
      <c r="F176">
        <v>8</v>
      </c>
      <c r="G176">
        <v>8.4</v>
      </c>
      <c r="H176">
        <v>0.95238100000000003</v>
      </c>
      <c r="I176">
        <v>4.7619003999999999E-2</v>
      </c>
      <c r="J176">
        <v>0.51219510000000001</v>
      </c>
    </row>
    <row r="177" spans="1:10" x14ac:dyDescent="0.3">
      <c r="A177">
        <v>175</v>
      </c>
      <c r="B177">
        <v>2807</v>
      </c>
      <c r="C177" t="b">
        <v>1</v>
      </c>
      <c r="D177">
        <v>8048</v>
      </c>
      <c r="E177">
        <v>8123</v>
      </c>
      <c r="F177">
        <v>8</v>
      </c>
      <c r="G177">
        <v>8.4</v>
      </c>
      <c r="H177">
        <v>0.95238100000000003</v>
      </c>
      <c r="I177">
        <v>4.7619003999999999E-2</v>
      </c>
      <c r="J177">
        <v>0.51219510000000001</v>
      </c>
    </row>
    <row r="178" spans="1:10" x14ac:dyDescent="0.3">
      <c r="A178">
        <v>176</v>
      </c>
      <c r="B178">
        <v>2822</v>
      </c>
      <c r="C178" t="b">
        <v>1</v>
      </c>
      <c r="D178">
        <v>8042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2838</v>
      </c>
      <c r="C179" t="b">
        <v>1</v>
      </c>
      <c r="D179">
        <v>8042</v>
      </c>
      <c r="E179">
        <v>8123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2855</v>
      </c>
      <c r="C180" t="b">
        <v>1</v>
      </c>
      <c r="D180">
        <v>8042</v>
      </c>
      <c r="E180">
        <v>8123</v>
      </c>
      <c r="F180">
        <v>7.6</v>
      </c>
      <c r="G180">
        <v>8</v>
      </c>
      <c r="H180">
        <v>0.95</v>
      </c>
      <c r="I180">
        <v>5.0000012000000003E-2</v>
      </c>
      <c r="J180">
        <v>0.51282050000000001</v>
      </c>
    </row>
    <row r="181" spans="1:10" x14ac:dyDescent="0.3">
      <c r="A181">
        <v>179</v>
      </c>
      <c r="B181">
        <v>2871</v>
      </c>
      <c r="C181" t="b">
        <v>1</v>
      </c>
      <c r="D181">
        <v>8042</v>
      </c>
      <c r="E181">
        <v>8123</v>
      </c>
      <c r="F181">
        <v>7.2</v>
      </c>
      <c r="G181">
        <v>8</v>
      </c>
      <c r="H181">
        <v>0.9</v>
      </c>
      <c r="I181">
        <v>0.10000002400000001</v>
      </c>
      <c r="J181">
        <v>0.5263158</v>
      </c>
    </row>
    <row r="182" spans="1:10" x14ac:dyDescent="0.3">
      <c r="A182">
        <v>180</v>
      </c>
      <c r="B182">
        <v>2886</v>
      </c>
      <c r="C182" t="b">
        <v>1</v>
      </c>
      <c r="D182">
        <v>8042</v>
      </c>
      <c r="E182">
        <v>8117</v>
      </c>
      <c r="F182">
        <v>6.8</v>
      </c>
      <c r="G182">
        <v>8</v>
      </c>
      <c r="H182">
        <v>0.85</v>
      </c>
      <c r="I182">
        <v>0.14999998</v>
      </c>
      <c r="J182">
        <v>0.54054049999999998</v>
      </c>
    </row>
    <row r="183" spans="1:10" x14ac:dyDescent="0.3">
      <c r="A183">
        <v>181</v>
      </c>
      <c r="B183">
        <v>2902</v>
      </c>
      <c r="C183" t="b">
        <v>1</v>
      </c>
      <c r="D183">
        <v>8042</v>
      </c>
      <c r="E183">
        <v>8123</v>
      </c>
      <c r="F183">
        <v>6.4</v>
      </c>
      <c r="G183">
        <v>8</v>
      </c>
      <c r="H183">
        <v>0.8</v>
      </c>
      <c r="I183">
        <v>0.19999998999999999</v>
      </c>
      <c r="J183">
        <v>0.55555560000000004</v>
      </c>
    </row>
    <row r="184" spans="1:10" x14ac:dyDescent="0.3">
      <c r="A184">
        <v>182</v>
      </c>
      <c r="B184">
        <v>2918</v>
      </c>
      <c r="C184" t="b">
        <v>1</v>
      </c>
      <c r="D184">
        <v>8048</v>
      </c>
      <c r="E184">
        <v>8117</v>
      </c>
      <c r="F184">
        <v>6</v>
      </c>
      <c r="G184">
        <v>8</v>
      </c>
      <c r="H184">
        <v>0.75</v>
      </c>
      <c r="I184">
        <v>0.25</v>
      </c>
      <c r="J184">
        <v>0.57142859999999995</v>
      </c>
    </row>
    <row r="185" spans="1:10" x14ac:dyDescent="0.3">
      <c r="A185">
        <v>183</v>
      </c>
      <c r="B185">
        <v>2934</v>
      </c>
      <c r="C185" t="b">
        <v>1</v>
      </c>
      <c r="D185">
        <v>8048</v>
      </c>
      <c r="E185">
        <v>8123</v>
      </c>
      <c r="F185">
        <v>5.6</v>
      </c>
      <c r="G185">
        <v>8</v>
      </c>
      <c r="H185">
        <v>0.7</v>
      </c>
      <c r="I185">
        <v>0.3</v>
      </c>
      <c r="J185">
        <v>0.58823526000000004</v>
      </c>
    </row>
    <row r="186" spans="1:10" x14ac:dyDescent="0.3">
      <c r="A186">
        <v>184</v>
      </c>
      <c r="B186">
        <v>2949</v>
      </c>
      <c r="C186" t="b">
        <v>1</v>
      </c>
      <c r="D186">
        <v>8048</v>
      </c>
      <c r="E186">
        <v>8111</v>
      </c>
      <c r="F186">
        <v>5.6</v>
      </c>
      <c r="G186">
        <v>7.6</v>
      </c>
      <c r="H186">
        <v>0.73684210000000006</v>
      </c>
      <c r="I186">
        <v>0.2631579</v>
      </c>
      <c r="J186">
        <v>0.57575756</v>
      </c>
    </row>
    <row r="187" spans="1:10" x14ac:dyDescent="0.3">
      <c r="A187">
        <v>185</v>
      </c>
      <c r="B187">
        <v>2965</v>
      </c>
      <c r="C187" t="b">
        <v>1</v>
      </c>
      <c r="D187">
        <v>8048</v>
      </c>
      <c r="E187">
        <v>8117</v>
      </c>
      <c r="F187">
        <v>5.6</v>
      </c>
      <c r="G187">
        <v>7.2</v>
      </c>
      <c r="H187">
        <v>0.77777779999999996</v>
      </c>
      <c r="I187">
        <v>0.22222221</v>
      </c>
      <c r="J187">
        <v>0.5625</v>
      </c>
    </row>
    <row r="188" spans="1:10" x14ac:dyDescent="0.3">
      <c r="A188">
        <v>186</v>
      </c>
      <c r="B188">
        <v>2981</v>
      </c>
      <c r="C188" t="b">
        <v>1</v>
      </c>
      <c r="D188">
        <v>8048</v>
      </c>
      <c r="E188">
        <v>8117</v>
      </c>
      <c r="F188">
        <v>5.6</v>
      </c>
      <c r="G188">
        <v>6.8</v>
      </c>
      <c r="H188">
        <v>0.82352935999999999</v>
      </c>
      <c r="I188">
        <v>0.17647061999999999</v>
      </c>
      <c r="J188">
        <v>0.54838710000000002</v>
      </c>
    </row>
    <row r="189" spans="1:10" x14ac:dyDescent="0.3">
      <c r="A189">
        <v>187</v>
      </c>
      <c r="B189">
        <v>2997</v>
      </c>
      <c r="C189" t="b">
        <v>1</v>
      </c>
      <c r="D189">
        <v>8048</v>
      </c>
      <c r="E189">
        <v>8123</v>
      </c>
      <c r="F189">
        <v>5.6</v>
      </c>
      <c r="G189">
        <v>6.4</v>
      </c>
      <c r="H189">
        <v>0.875</v>
      </c>
      <c r="I189">
        <v>0.12500003000000001</v>
      </c>
      <c r="J189">
        <v>0.53333335999999998</v>
      </c>
    </row>
    <row r="190" spans="1:10" x14ac:dyDescent="0.3">
      <c r="A190">
        <v>188</v>
      </c>
      <c r="B190">
        <v>3012</v>
      </c>
      <c r="C190" t="b">
        <v>1</v>
      </c>
      <c r="D190">
        <v>8048</v>
      </c>
      <c r="E190">
        <v>8117</v>
      </c>
      <c r="F190">
        <v>5.6</v>
      </c>
      <c r="G190">
        <v>6</v>
      </c>
      <c r="H190">
        <v>0.93333334000000001</v>
      </c>
      <c r="I190">
        <v>6.6666685000000003E-2</v>
      </c>
      <c r="J190">
        <v>0.51724135999999998</v>
      </c>
    </row>
    <row r="191" spans="1:10" x14ac:dyDescent="0.3">
      <c r="A191">
        <v>189</v>
      </c>
      <c r="B191">
        <v>3028</v>
      </c>
      <c r="C191" t="b">
        <v>1</v>
      </c>
      <c r="D191">
        <v>8048</v>
      </c>
      <c r="E191">
        <v>8117</v>
      </c>
      <c r="F191">
        <v>5.6</v>
      </c>
      <c r="G191">
        <v>5.6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3044</v>
      </c>
      <c r="C192" t="b">
        <v>1</v>
      </c>
      <c r="D192">
        <v>8054</v>
      </c>
      <c r="E192">
        <v>8117</v>
      </c>
      <c r="F192">
        <v>5.6</v>
      </c>
      <c r="G192">
        <v>5.2</v>
      </c>
      <c r="H192">
        <v>1.0769230999999999</v>
      </c>
      <c r="I192">
        <v>-7.6923094999999997E-2</v>
      </c>
      <c r="J192">
        <v>0.48148150000000001</v>
      </c>
    </row>
    <row r="193" spans="1:10" x14ac:dyDescent="0.3">
      <c r="A193">
        <v>191</v>
      </c>
      <c r="B193">
        <v>3060</v>
      </c>
      <c r="C193" t="b">
        <v>1</v>
      </c>
      <c r="D193">
        <v>8054</v>
      </c>
      <c r="E193">
        <v>8123</v>
      </c>
      <c r="F193">
        <v>5.6</v>
      </c>
      <c r="G193">
        <v>4.8</v>
      </c>
      <c r="H193">
        <v>1.1666666000000001</v>
      </c>
      <c r="I193">
        <v>-0.1666666</v>
      </c>
      <c r="J193">
        <v>0.46153850000000002</v>
      </c>
    </row>
    <row r="194" spans="1:10" x14ac:dyDescent="0.3">
      <c r="A194">
        <v>192</v>
      </c>
      <c r="B194">
        <v>3076</v>
      </c>
      <c r="C194" t="b">
        <v>1</v>
      </c>
      <c r="D194">
        <v>8054</v>
      </c>
      <c r="E194">
        <v>8129</v>
      </c>
      <c r="F194">
        <v>6</v>
      </c>
      <c r="G194">
        <v>4.4000000000000004</v>
      </c>
      <c r="H194">
        <v>1.3636364000000001</v>
      </c>
      <c r="I194">
        <v>-0.36363634</v>
      </c>
      <c r="J194">
        <v>0.42307696</v>
      </c>
    </row>
    <row r="195" spans="1:10" x14ac:dyDescent="0.3">
      <c r="A195">
        <v>193</v>
      </c>
      <c r="B195">
        <v>3091</v>
      </c>
      <c r="C195" t="b">
        <v>1</v>
      </c>
      <c r="D195">
        <v>8054</v>
      </c>
      <c r="E195">
        <v>8123</v>
      </c>
      <c r="F195">
        <v>6.8</v>
      </c>
      <c r="G195">
        <v>4.4000000000000004</v>
      </c>
      <c r="H195">
        <v>1.5454545</v>
      </c>
      <c r="I195">
        <v>-0.54545456000000003</v>
      </c>
      <c r="J195">
        <v>0.39285713</v>
      </c>
    </row>
    <row r="196" spans="1:10" x14ac:dyDescent="0.3">
      <c r="A196">
        <v>194</v>
      </c>
      <c r="B196">
        <v>3107</v>
      </c>
      <c r="C196" t="b">
        <v>1</v>
      </c>
      <c r="D196">
        <v>8054</v>
      </c>
      <c r="E196">
        <v>8123</v>
      </c>
      <c r="F196">
        <v>7.6</v>
      </c>
      <c r="G196">
        <v>4.4000000000000004</v>
      </c>
      <c r="H196">
        <v>1.7272726</v>
      </c>
      <c r="I196">
        <v>-0.72727269999999999</v>
      </c>
      <c r="J196">
        <v>0.36666666999999997</v>
      </c>
    </row>
    <row r="197" spans="1:10" x14ac:dyDescent="0.3">
      <c r="A197">
        <v>195</v>
      </c>
      <c r="B197">
        <v>3123</v>
      </c>
      <c r="C197" t="b">
        <v>1</v>
      </c>
      <c r="D197">
        <v>8048</v>
      </c>
      <c r="E197">
        <v>8129</v>
      </c>
      <c r="F197">
        <v>8.4</v>
      </c>
      <c r="G197">
        <v>4.4000000000000004</v>
      </c>
      <c r="H197">
        <v>1.9090908</v>
      </c>
      <c r="I197">
        <v>-0.90909076</v>
      </c>
      <c r="J197">
        <v>0.34375002999999998</v>
      </c>
    </row>
    <row r="198" spans="1:10" x14ac:dyDescent="0.3">
      <c r="A198">
        <v>196</v>
      </c>
      <c r="B198">
        <v>3139</v>
      </c>
      <c r="C198" t="b">
        <v>1</v>
      </c>
      <c r="D198">
        <v>8048</v>
      </c>
      <c r="E198">
        <v>8129</v>
      </c>
      <c r="F198">
        <v>9.1999999999999993</v>
      </c>
      <c r="G198">
        <v>4.8</v>
      </c>
      <c r="H198">
        <v>1.9166665000000001</v>
      </c>
      <c r="I198">
        <v>-0.91666656999999996</v>
      </c>
      <c r="J198">
        <v>0.34285715</v>
      </c>
    </row>
    <row r="199" spans="1:10" x14ac:dyDescent="0.3">
      <c r="A199">
        <v>197</v>
      </c>
      <c r="B199">
        <v>3155</v>
      </c>
      <c r="C199" t="b">
        <v>1</v>
      </c>
      <c r="D199">
        <v>8048</v>
      </c>
      <c r="E199">
        <v>8123</v>
      </c>
      <c r="F199">
        <v>9.6</v>
      </c>
      <c r="G199">
        <v>4.8</v>
      </c>
      <c r="H199">
        <v>2</v>
      </c>
      <c r="I199">
        <v>-1</v>
      </c>
      <c r="J199">
        <v>0.33333333999999998</v>
      </c>
    </row>
    <row r="200" spans="1:10" x14ac:dyDescent="0.3">
      <c r="A200">
        <v>198</v>
      </c>
      <c r="B200">
        <v>3170</v>
      </c>
      <c r="C200" t="b">
        <v>1</v>
      </c>
      <c r="D200">
        <v>8048</v>
      </c>
      <c r="E200">
        <v>8123</v>
      </c>
      <c r="F200">
        <v>10</v>
      </c>
      <c r="G200">
        <v>4.8</v>
      </c>
      <c r="H200">
        <v>2.0833333000000001</v>
      </c>
      <c r="I200">
        <v>-1.0833333000000001</v>
      </c>
      <c r="J200">
        <v>0.32432433999999999</v>
      </c>
    </row>
    <row r="201" spans="1:10" x14ac:dyDescent="0.3">
      <c r="A201">
        <v>199</v>
      </c>
      <c r="B201">
        <v>3186</v>
      </c>
      <c r="C201" t="b">
        <v>1</v>
      </c>
      <c r="D201">
        <v>8048</v>
      </c>
      <c r="E201">
        <v>8123</v>
      </c>
      <c r="F201">
        <v>10</v>
      </c>
      <c r="G201">
        <v>5.2</v>
      </c>
      <c r="H201">
        <v>1.9230769999999999</v>
      </c>
      <c r="I201">
        <v>-0.92307700000000004</v>
      </c>
      <c r="J201">
        <v>0.34210527000000002</v>
      </c>
    </row>
    <row r="202" spans="1:10" x14ac:dyDescent="0.3">
      <c r="A202">
        <v>200</v>
      </c>
      <c r="B202">
        <v>3202</v>
      </c>
      <c r="C202" t="b">
        <v>1</v>
      </c>
      <c r="D202">
        <v>8054</v>
      </c>
      <c r="E202">
        <v>8123</v>
      </c>
      <c r="F202">
        <v>10</v>
      </c>
      <c r="G202">
        <v>5.6</v>
      </c>
      <c r="H202">
        <v>1.7857143</v>
      </c>
      <c r="I202">
        <v>-0.78571429999999998</v>
      </c>
      <c r="J202">
        <v>0.35897434</v>
      </c>
    </row>
    <row r="203" spans="1:10" x14ac:dyDescent="0.3">
      <c r="A203">
        <v>201</v>
      </c>
      <c r="B203">
        <v>3218</v>
      </c>
      <c r="C203" t="b">
        <v>1</v>
      </c>
      <c r="D203">
        <v>8048</v>
      </c>
      <c r="E203">
        <v>8123</v>
      </c>
      <c r="F203">
        <v>10</v>
      </c>
      <c r="G203">
        <v>6</v>
      </c>
      <c r="H203">
        <v>1.6666666000000001</v>
      </c>
      <c r="I203">
        <v>-0.66666669999999995</v>
      </c>
      <c r="J203">
        <v>0.375</v>
      </c>
    </row>
    <row r="204" spans="1:10" x14ac:dyDescent="0.3">
      <c r="A204">
        <v>202</v>
      </c>
      <c r="B204">
        <v>3234</v>
      </c>
      <c r="C204" t="b">
        <v>1</v>
      </c>
      <c r="D204">
        <v>8048</v>
      </c>
      <c r="E204">
        <v>8123</v>
      </c>
      <c r="F204">
        <v>10</v>
      </c>
      <c r="G204">
        <v>6.4</v>
      </c>
      <c r="H204">
        <v>1.5625</v>
      </c>
      <c r="I204">
        <v>-0.5625</v>
      </c>
      <c r="J204">
        <v>0.39024392000000002</v>
      </c>
    </row>
    <row r="205" spans="1:10" x14ac:dyDescent="0.3">
      <c r="A205">
        <v>203</v>
      </c>
      <c r="B205">
        <v>3250</v>
      </c>
      <c r="C205" t="b">
        <v>1</v>
      </c>
      <c r="D205">
        <v>8048</v>
      </c>
      <c r="E205">
        <v>8123</v>
      </c>
      <c r="F205">
        <v>10</v>
      </c>
      <c r="G205">
        <v>6.8</v>
      </c>
      <c r="H205">
        <v>1.4705881999999999</v>
      </c>
      <c r="I205">
        <v>-0.47058820000000001</v>
      </c>
      <c r="J205">
        <v>0.40476193999999999</v>
      </c>
    </row>
    <row r="206" spans="1:10" x14ac:dyDescent="0.3">
      <c r="A206">
        <v>204</v>
      </c>
      <c r="B206">
        <v>3266</v>
      </c>
      <c r="C206" t="b">
        <v>1</v>
      </c>
      <c r="D206">
        <v>8048</v>
      </c>
      <c r="E206">
        <v>8123</v>
      </c>
      <c r="F206">
        <v>10</v>
      </c>
      <c r="G206">
        <v>7.2</v>
      </c>
      <c r="H206">
        <v>1.388889</v>
      </c>
      <c r="I206">
        <v>-0.38888893000000002</v>
      </c>
      <c r="J206">
        <v>0.41860459999999999</v>
      </c>
    </row>
    <row r="207" spans="1:10" x14ac:dyDescent="0.3">
      <c r="A207">
        <v>205</v>
      </c>
      <c r="B207">
        <v>3282</v>
      </c>
      <c r="C207" t="b">
        <v>1</v>
      </c>
      <c r="D207">
        <v>8048</v>
      </c>
      <c r="E207">
        <v>8134</v>
      </c>
      <c r="F207">
        <v>10</v>
      </c>
      <c r="G207">
        <v>7.6</v>
      </c>
      <c r="H207">
        <v>1.3157894999999999</v>
      </c>
      <c r="I207">
        <v>-0.3157895</v>
      </c>
      <c r="J207">
        <v>0.43181816000000001</v>
      </c>
    </row>
    <row r="208" spans="1:10" x14ac:dyDescent="0.3">
      <c r="A208">
        <v>206</v>
      </c>
      <c r="B208">
        <v>3297</v>
      </c>
      <c r="C208" t="b">
        <v>1</v>
      </c>
      <c r="D208">
        <v>8048</v>
      </c>
      <c r="E208">
        <v>8123</v>
      </c>
      <c r="F208">
        <v>10</v>
      </c>
      <c r="G208">
        <v>8</v>
      </c>
      <c r="H208">
        <v>1.25</v>
      </c>
      <c r="I208">
        <v>-0.25</v>
      </c>
      <c r="J208">
        <v>0.44444444999999999</v>
      </c>
    </row>
    <row r="209" spans="1:10" x14ac:dyDescent="0.3">
      <c r="A209">
        <v>207</v>
      </c>
      <c r="B209">
        <v>3313</v>
      </c>
      <c r="C209" t="b">
        <v>1</v>
      </c>
      <c r="D209">
        <v>8048</v>
      </c>
      <c r="E209">
        <v>8123</v>
      </c>
      <c r="F209">
        <v>9.6</v>
      </c>
      <c r="G209">
        <v>8.4</v>
      </c>
      <c r="H209">
        <v>1.1428571999999999</v>
      </c>
      <c r="I209">
        <v>-0.14285724</v>
      </c>
      <c r="J209">
        <v>0.46666664000000002</v>
      </c>
    </row>
    <row r="210" spans="1:10" x14ac:dyDescent="0.3">
      <c r="A210">
        <v>208</v>
      </c>
      <c r="B210">
        <v>3329</v>
      </c>
      <c r="C210" t="b">
        <v>1</v>
      </c>
      <c r="D210">
        <v>8048</v>
      </c>
      <c r="E210">
        <v>8123</v>
      </c>
      <c r="F210">
        <v>9.1999999999999993</v>
      </c>
      <c r="G210">
        <v>8.4</v>
      </c>
      <c r="H210">
        <v>1.0952381</v>
      </c>
      <c r="I210">
        <v>-9.5238119999999996E-2</v>
      </c>
      <c r="J210">
        <v>0.47727275000000002</v>
      </c>
    </row>
    <row r="211" spans="1:10" x14ac:dyDescent="0.3">
      <c r="A211">
        <v>209</v>
      </c>
      <c r="B211">
        <v>3344</v>
      </c>
      <c r="C211" t="b">
        <v>1</v>
      </c>
      <c r="D211">
        <v>8048</v>
      </c>
      <c r="E211">
        <v>8123</v>
      </c>
      <c r="F211">
        <v>8.8000000000000007</v>
      </c>
      <c r="G211">
        <v>8.4</v>
      </c>
      <c r="H211">
        <v>1.0476190999999999</v>
      </c>
      <c r="I211">
        <v>-4.7619120000000001E-2</v>
      </c>
      <c r="J211">
        <v>0.48837206</v>
      </c>
    </row>
    <row r="212" spans="1:10" x14ac:dyDescent="0.3">
      <c r="A212">
        <v>210</v>
      </c>
      <c r="B212">
        <v>3360</v>
      </c>
      <c r="C212" t="b">
        <v>1</v>
      </c>
      <c r="D212">
        <v>8048</v>
      </c>
      <c r="E212">
        <v>8123</v>
      </c>
      <c r="F212">
        <v>8.4</v>
      </c>
      <c r="G212">
        <v>8.4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3376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3392</v>
      </c>
      <c r="C214" t="b">
        <v>1</v>
      </c>
      <c r="D214">
        <v>8048</v>
      </c>
      <c r="E214">
        <v>8123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3408</v>
      </c>
      <c r="C215" t="b">
        <v>1</v>
      </c>
      <c r="D215">
        <v>8048</v>
      </c>
      <c r="E215">
        <v>8123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3424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3440</v>
      </c>
      <c r="C217" t="b">
        <v>1</v>
      </c>
      <c r="D217">
        <v>8048</v>
      </c>
      <c r="E217">
        <v>8129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3456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3472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3487</v>
      </c>
      <c r="C220" t="b">
        <v>1</v>
      </c>
      <c r="D220">
        <v>8054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3504</v>
      </c>
      <c r="C221" t="b">
        <v>1</v>
      </c>
      <c r="D221">
        <v>8048</v>
      </c>
      <c r="E221">
        <v>8123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3519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3535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3551</v>
      </c>
      <c r="C224" t="b">
        <v>1</v>
      </c>
      <c r="D224">
        <v>8048</v>
      </c>
      <c r="E224">
        <v>8123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3567</v>
      </c>
      <c r="C225" t="b">
        <v>1</v>
      </c>
      <c r="D225">
        <v>8048</v>
      </c>
      <c r="E225">
        <v>8123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3583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3599</v>
      </c>
      <c r="C227" t="b">
        <v>1</v>
      </c>
      <c r="D227">
        <v>8048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3615</v>
      </c>
      <c r="C228" t="b">
        <v>1</v>
      </c>
      <c r="D228">
        <v>8054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3631</v>
      </c>
      <c r="C229" t="b">
        <v>1</v>
      </c>
      <c r="D229">
        <v>8042</v>
      </c>
      <c r="E229">
        <v>8123</v>
      </c>
      <c r="F229">
        <v>8</v>
      </c>
      <c r="G229">
        <v>8</v>
      </c>
      <c r="H229">
        <v>1</v>
      </c>
      <c r="I229">
        <v>0</v>
      </c>
      <c r="J229">
        <v>0.5</v>
      </c>
    </row>
    <row r="230" spans="1:10" x14ac:dyDescent="0.3">
      <c r="A230">
        <v>228</v>
      </c>
      <c r="B230">
        <v>3647</v>
      </c>
      <c r="C230" t="b">
        <v>1</v>
      </c>
      <c r="D230">
        <v>8048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3663</v>
      </c>
      <c r="C231" t="b">
        <v>1</v>
      </c>
      <c r="D231">
        <v>8048</v>
      </c>
      <c r="E231">
        <v>8129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3679</v>
      </c>
      <c r="C232" t="b">
        <v>1</v>
      </c>
      <c r="D232">
        <v>8042</v>
      </c>
      <c r="E232">
        <v>8123</v>
      </c>
      <c r="F232">
        <v>8</v>
      </c>
      <c r="G232">
        <v>8</v>
      </c>
      <c r="H232">
        <v>1</v>
      </c>
      <c r="I232">
        <v>0</v>
      </c>
      <c r="J232">
        <v>0.5</v>
      </c>
    </row>
    <row r="233" spans="1:10" x14ac:dyDescent="0.3">
      <c r="A233">
        <v>231</v>
      </c>
      <c r="B233">
        <v>3694</v>
      </c>
      <c r="C233" t="b">
        <v>1</v>
      </c>
      <c r="D233">
        <v>8048</v>
      </c>
      <c r="E233">
        <v>8129</v>
      </c>
      <c r="F233">
        <v>8</v>
      </c>
      <c r="G233">
        <v>8</v>
      </c>
      <c r="H233">
        <v>1</v>
      </c>
      <c r="I233">
        <v>0</v>
      </c>
      <c r="J233">
        <v>0.5</v>
      </c>
    </row>
    <row r="234" spans="1:10" x14ac:dyDescent="0.3">
      <c r="A234">
        <v>232</v>
      </c>
      <c r="B234">
        <v>3710</v>
      </c>
      <c r="C234" t="b">
        <v>1</v>
      </c>
      <c r="D234">
        <v>8048</v>
      </c>
      <c r="E234">
        <v>8129</v>
      </c>
      <c r="F234">
        <v>8</v>
      </c>
      <c r="G234">
        <v>8.4</v>
      </c>
      <c r="H234">
        <v>0.95238100000000003</v>
      </c>
      <c r="I234">
        <v>4.7619003999999999E-2</v>
      </c>
      <c r="J234">
        <v>0.51219510000000001</v>
      </c>
    </row>
    <row r="235" spans="1:10" x14ac:dyDescent="0.3">
      <c r="A235">
        <v>233</v>
      </c>
      <c r="B235">
        <v>3726</v>
      </c>
      <c r="C235" t="b">
        <v>1</v>
      </c>
      <c r="D235">
        <v>8048</v>
      </c>
      <c r="E235">
        <v>8123</v>
      </c>
      <c r="F235">
        <v>8</v>
      </c>
      <c r="G235">
        <v>8.8000000000000007</v>
      </c>
      <c r="H235">
        <v>0.90909090000000004</v>
      </c>
      <c r="I235">
        <v>9.0909110000000001E-2</v>
      </c>
      <c r="J235">
        <v>0.52380954999999996</v>
      </c>
    </row>
    <row r="236" spans="1:10" x14ac:dyDescent="0.3">
      <c r="A236">
        <v>234</v>
      </c>
      <c r="B236">
        <v>3742</v>
      </c>
      <c r="C236" t="b">
        <v>1</v>
      </c>
      <c r="D236">
        <v>8048</v>
      </c>
      <c r="E236">
        <v>8129</v>
      </c>
      <c r="F236">
        <v>8</v>
      </c>
      <c r="G236">
        <v>9.1999999999999993</v>
      </c>
      <c r="H236">
        <v>0.86956524999999996</v>
      </c>
      <c r="I236">
        <v>0.13043477000000001</v>
      </c>
      <c r="J236">
        <v>0.53488369999999996</v>
      </c>
    </row>
    <row r="237" spans="1:10" x14ac:dyDescent="0.3">
      <c r="A237">
        <v>235</v>
      </c>
      <c r="B237">
        <v>3758</v>
      </c>
      <c r="C237" t="b">
        <v>1</v>
      </c>
      <c r="D237">
        <v>8048</v>
      </c>
      <c r="E237">
        <v>8123</v>
      </c>
      <c r="F237">
        <v>8</v>
      </c>
      <c r="G237">
        <v>9.6</v>
      </c>
      <c r="H237">
        <v>0.83333330000000005</v>
      </c>
      <c r="I237">
        <v>0.1666667</v>
      </c>
      <c r="J237">
        <v>0.54545456000000003</v>
      </c>
    </row>
    <row r="238" spans="1:10" x14ac:dyDescent="0.3">
      <c r="A238">
        <v>236</v>
      </c>
      <c r="B238">
        <v>3774</v>
      </c>
      <c r="C238" t="b">
        <v>1</v>
      </c>
      <c r="D238">
        <v>8048</v>
      </c>
      <c r="E238">
        <v>8123</v>
      </c>
      <c r="F238">
        <v>8</v>
      </c>
      <c r="G238">
        <v>9.6</v>
      </c>
      <c r="H238">
        <v>0.83333330000000005</v>
      </c>
      <c r="I238">
        <v>0.1666667</v>
      </c>
      <c r="J238">
        <v>0.54545456000000003</v>
      </c>
    </row>
    <row r="239" spans="1:10" x14ac:dyDescent="0.3">
      <c r="A239">
        <v>237</v>
      </c>
      <c r="B239">
        <v>3790</v>
      </c>
      <c r="C239" t="b">
        <v>1</v>
      </c>
      <c r="D239">
        <v>8048</v>
      </c>
      <c r="E239">
        <v>8123</v>
      </c>
      <c r="F239">
        <v>8</v>
      </c>
      <c r="G239">
        <v>9.6</v>
      </c>
      <c r="H239">
        <v>0.83333330000000005</v>
      </c>
      <c r="I239">
        <v>0.1666667</v>
      </c>
      <c r="J239">
        <v>0.54545456000000003</v>
      </c>
    </row>
    <row r="240" spans="1:10" x14ac:dyDescent="0.3">
      <c r="A240">
        <v>238</v>
      </c>
      <c r="B240">
        <v>3806</v>
      </c>
      <c r="C240" t="b">
        <v>1</v>
      </c>
      <c r="D240">
        <v>8054</v>
      </c>
      <c r="E240">
        <v>8123</v>
      </c>
      <c r="F240">
        <v>8</v>
      </c>
      <c r="G240">
        <v>9.6</v>
      </c>
      <c r="H240">
        <v>0.83333330000000005</v>
      </c>
      <c r="I240">
        <v>0.1666667</v>
      </c>
      <c r="J240">
        <v>0.54545456000000003</v>
      </c>
    </row>
    <row r="241" spans="1:10" x14ac:dyDescent="0.3">
      <c r="A241">
        <v>239</v>
      </c>
      <c r="B241">
        <v>3822</v>
      </c>
      <c r="C241" t="b">
        <v>1</v>
      </c>
      <c r="D241">
        <v>8048</v>
      </c>
      <c r="E241">
        <v>8123</v>
      </c>
      <c r="F241">
        <v>8</v>
      </c>
      <c r="G241">
        <v>9.6</v>
      </c>
      <c r="H241">
        <v>0.83333330000000005</v>
      </c>
      <c r="I241">
        <v>0.1666667</v>
      </c>
      <c r="J241">
        <v>0.54545456000000003</v>
      </c>
    </row>
    <row r="242" spans="1:10" x14ac:dyDescent="0.3">
      <c r="A242">
        <v>240</v>
      </c>
      <c r="B242">
        <v>3837</v>
      </c>
      <c r="C242" t="b">
        <v>1</v>
      </c>
      <c r="D242">
        <v>8048</v>
      </c>
      <c r="E242">
        <v>8129</v>
      </c>
      <c r="F242">
        <v>8</v>
      </c>
      <c r="G242">
        <v>9.6</v>
      </c>
      <c r="H242">
        <v>0.83333330000000005</v>
      </c>
      <c r="I242">
        <v>0.1666667</v>
      </c>
      <c r="J242">
        <v>0.54545456000000003</v>
      </c>
    </row>
    <row r="243" spans="1:10" x14ac:dyDescent="0.3">
      <c r="A243">
        <v>241</v>
      </c>
      <c r="B243">
        <v>3853</v>
      </c>
      <c r="C243" t="b">
        <v>1</v>
      </c>
      <c r="D243">
        <v>8048</v>
      </c>
      <c r="E243">
        <v>8123</v>
      </c>
      <c r="F243">
        <v>8</v>
      </c>
      <c r="G243">
        <v>9.6</v>
      </c>
      <c r="H243">
        <v>0.83333330000000005</v>
      </c>
      <c r="I243">
        <v>0.1666667</v>
      </c>
      <c r="J243">
        <v>0.54545456000000003</v>
      </c>
    </row>
    <row r="244" spans="1:10" x14ac:dyDescent="0.3">
      <c r="A244">
        <v>242</v>
      </c>
      <c r="B244">
        <v>3869</v>
      </c>
      <c r="C244" t="b">
        <v>1</v>
      </c>
      <c r="D244">
        <v>8048</v>
      </c>
      <c r="E244">
        <v>8117</v>
      </c>
      <c r="F244">
        <v>8</v>
      </c>
      <c r="G244">
        <v>9.6</v>
      </c>
      <c r="H244">
        <v>0.83333330000000005</v>
      </c>
      <c r="I244">
        <v>0.1666667</v>
      </c>
      <c r="J244">
        <v>0.54545456000000003</v>
      </c>
    </row>
    <row r="245" spans="1:10" x14ac:dyDescent="0.3">
      <c r="A245">
        <v>243</v>
      </c>
      <c r="B245">
        <v>3885</v>
      </c>
      <c r="C245" t="b">
        <v>1</v>
      </c>
      <c r="D245">
        <v>8048</v>
      </c>
      <c r="E245">
        <v>8123</v>
      </c>
      <c r="F245">
        <v>8</v>
      </c>
      <c r="G245">
        <v>9.6</v>
      </c>
      <c r="H245">
        <v>0.83333330000000005</v>
      </c>
      <c r="I245">
        <v>0.1666667</v>
      </c>
      <c r="J245">
        <v>0.54545456000000003</v>
      </c>
    </row>
    <row r="246" spans="1:10" x14ac:dyDescent="0.3">
      <c r="A246">
        <v>244</v>
      </c>
      <c r="B246">
        <v>3900</v>
      </c>
      <c r="C246" t="b">
        <v>1</v>
      </c>
      <c r="D246">
        <v>8048</v>
      </c>
      <c r="E246">
        <v>8117</v>
      </c>
      <c r="F246">
        <v>8</v>
      </c>
      <c r="G246">
        <v>9.6</v>
      </c>
      <c r="H246">
        <v>0.83333330000000005</v>
      </c>
      <c r="I246">
        <v>0.1666667</v>
      </c>
      <c r="J246">
        <v>0.54545456000000003</v>
      </c>
    </row>
    <row r="247" spans="1:10" x14ac:dyDescent="0.3">
      <c r="A247">
        <v>245</v>
      </c>
      <c r="B247">
        <v>3916</v>
      </c>
      <c r="C247" t="b">
        <v>1</v>
      </c>
      <c r="D247">
        <v>8048</v>
      </c>
      <c r="E247">
        <v>8117</v>
      </c>
      <c r="F247">
        <v>8</v>
      </c>
      <c r="G247">
        <v>9.1999999999999993</v>
      </c>
      <c r="H247">
        <v>0.86956524999999996</v>
      </c>
      <c r="I247">
        <v>0.13043477000000001</v>
      </c>
      <c r="J247">
        <v>0.53488369999999996</v>
      </c>
    </row>
    <row r="248" spans="1:10" x14ac:dyDescent="0.3">
      <c r="A248">
        <v>246</v>
      </c>
      <c r="B248">
        <v>3932</v>
      </c>
      <c r="C248" t="b">
        <v>1</v>
      </c>
      <c r="D248">
        <v>8054</v>
      </c>
      <c r="E248">
        <v>8117</v>
      </c>
      <c r="F248">
        <v>8</v>
      </c>
      <c r="G248">
        <v>8.8000000000000007</v>
      </c>
      <c r="H248">
        <v>0.90909090000000004</v>
      </c>
      <c r="I248">
        <v>9.0909110000000001E-2</v>
      </c>
      <c r="J248">
        <v>0.52380954999999996</v>
      </c>
    </row>
    <row r="249" spans="1:10" x14ac:dyDescent="0.3">
      <c r="A249">
        <v>247</v>
      </c>
      <c r="B249">
        <v>3948</v>
      </c>
      <c r="C249" t="b">
        <v>1</v>
      </c>
      <c r="D249">
        <v>8054</v>
      </c>
      <c r="E249">
        <v>8117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3964</v>
      </c>
      <c r="C250" t="b">
        <v>1</v>
      </c>
      <c r="D250">
        <v>8054</v>
      </c>
      <c r="E250">
        <v>8117</v>
      </c>
      <c r="F250">
        <v>8.4</v>
      </c>
      <c r="G250">
        <v>7.2</v>
      </c>
      <c r="H250">
        <v>1.1666666000000001</v>
      </c>
      <c r="I250">
        <v>-0.16666664</v>
      </c>
      <c r="J250">
        <v>0.46153845999999998</v>
      </c>
    </row>
    <row r="251" spans="1:10" x14ac:dyDescent="0.3">
      <c r="A251">
        <v>249</v>
      </c>
      <c r="B251">
        <v>3980</v>
      </c>
      <c r="C251" t="b">
        <v>1</v>
      </c>
      <c r="D251">
        <v>8054</v>
      </c>
      <c r="E251">
        <v>8123</v>
      </c>
      <c r="F251">
        <v>8.8000000000000007</v>
      </c>
      <c r="G251">
        <v>6.4</v>
      </c>
      <c r="H251">
        <v>1.375</v>
      </c>
      <c r="I251">
        <v>-0.375</v>
      </c>
      <c r="J251">
        <v>0.4210526</v>
      </c>
    </row>
    <row r="252" spans="1:10" x14ac:dyDescent="0.3">
      <c r="A252">
        <v>250</v>
      </c>
      <c r="B252">
        <v>3996</v>
      </c>
      <c r="C252" t="b">
        <v>1</v>
      </c>
      <c r="D252">
        <v>8054</v>
      </c>
      <c r="E252">
        <v>8117</v>
      </c>
      <c r="F252">
        <v>9.1999999999999993</v>
      </c>
      <c r="G252">
        <v>5.6</v>
      </c>
      <c r="H252">
        <v>1.6428571999999999</v>
      </c>
      <c r="I252">
        <v>-0.64285713</v>
      </c>
      <c r="J252">
        <v>0.3783784</v>
      </c>
    </row>
    <row r="253" spans="1:10" x14ac:dyDescent="0.3">
      <c r="A253">
        <v>251</v>
      </c>
      <c r="B253">
        <v>4012</v>
      </c>
      <c r="C253" t="b">
        <v>1</v>
      </c>
      <c r="D253">
        <v>8054</v>
      </c>
      <c r="E253">
        <v>8123</v>
      </c>
      <c r="F253">
        <v>9.6</v>
      </c>
      <c r="G253">
        <v>5.2</v>
      </c>
      <c r="H253">
        <v>1.8461540000000001</v>
      </c>
      <c r="I253">
        <v>-0.84615399999999996</v>
      </c>
      <c r="J253">
        <v>0.35135132000000002</v>
      </c>
    </row>
    <row r="254" spans="1:10" x14ac:dyDescent="0.3">
      <c r="A254">
        <v>252</v>
      </c>
      <c r="B254">
        <v>4027</v>
      </c>
      <c r="C254" t="b">
        <v>1</v>
      </c>
      <c r="D254">
        <v>8048</v>
      </c>
      <c r="E254">
        <v>8117</v>
      </c>
      <c r="F254">
        <v>10</v>
      </c>
      <c r="G254">
        <v>4.8</v>
      </c>
      <c r="H254">
        <v>2.0833333000000001</v>
      </c>
      <c r="I254">
        <v>-1.0833333000000001</v>
      </c>
      <c r="J254">
        <v>0.32432433999999999</v>
      </c>
    </row>
    <row r="255" spans="1:10" x14ac:dyDescent="0.3">
      <c r="A255">
        <v>253</v>
      </c>
      <c r="B255">
        <v>4043</v>
      </c>
      <c r="C255" t="b">
        <v>1</v>
      </c>
      <c r="D255">
        <v>8048</v>
      </c>
      <c r="E255">
        <v>8117</v>
      </c>
      <c r="F255">
        <v>10.4</v>
      </c>
      <c r="G255">
        <v>4.4000000000000004</v>
      </c>
      <c r="H255">
        <v>2.3636363</v>
      </c>
      <c r="I255">
        <v>-1.3636363</v>
      </c>
      <c r="J255">
        <v>0.29729733000000003</v>
      </c>
    </row>
    <row r="256" spans="1:10" x14ac:dyDescent="0.3">
      <c r="A256">
        <v>254</v>
      </c>
      <c r="B256">
        <v>4059</v>
      </c>
      <c r="C256" t="b">
        <v>1</v>
      </c>
      <c r="D256">
        <v>8054</v>
      </c>
      <c r="E256">
        <v>8117</v>
      </c>
      <c r="F256">
        <v>10.8</v>
      </c>
      <c r="G256">
        <v>4</v>
      </c>
      <c r="H256">
        <v>2.7</v>
      </c>
      <c r="I256">
        <v>-1.7</v>
      </c>
      <c r="J256">
        <v>0.27027025999999998</v>
      </c>
    </row>
    <row r="257" spans="1:10" x14ac:dyDescent="0.3">
      <c r="A257">
        <v>255</v>
      </c>
      <c r="B257">
        <v>4075</v>
      </c>
      <c r="C257" t="b">
        <v>1</v>
      </c>
      <c r="D257">
        <v>8048</v>
      </c>
      <c r="E257">
        <v>8123</v>
      </c>
      <c r="F257">
        <v>10.8</v>
      </c>
      <c r="G257">
        <v>3.6</v>
      </c>
      <c r="H257">
        <v>3.0000002000000001</v>
      </c>
      <c r="I257">
        <v>-2.0000002000000001</v>
      </c>
      <c r="J257">
        <v>0.25</v>
      </c>
    </row>
    <row r="258" spans="1:10" x14ac:dyDescent="0.3">
      <c r="A258">
        <v>256</v>
      </c>
      <c r="B258">
        <v>4091</v>
      </c>
      <c r="C258" t="b">
        <v>1</v>
      </c>
      <c r="D258">
        <v>8048</v>
      </c>
      <c r="E258">
        <v>8123</v>
      </c>
      <c r="F258">
        <v>10.8</v>
      </c>
      <c r="G258">
        <v>3.2</v>
      </c>
      <c r="H258">
        <v>3.375</v>
      </c>
      <c r="I258">
        <v>-2.375</v>
      </c>
      <c r="J258">
        <v>0.22857142999999999</v>
      </c>
    </row>
    <row r="259" spans="1:10" x14ac:dyDescent="0.3">
      <c r="A259">
        <v>257</v>
      </c>
      <c r="B259">
        <v>4107</v>
      </c>
      <c r="C259" t="b">
        <v>1</v>
      </c>
      <c r="D259">
        <v>8048</v>
      </c>
      <c r="E259">
        <v>8123</v>
      </c>
      <c r="F259">
        <v>10.8</v>
      </c>
      <c r="G259">
        <v>3.2</v>
      </c>
      <c r="H259">
        <v>3.375</v>
      </c>
      <c r="I259">
        <v>-2.375</v>
      </c>
      <c r="J259">
        <v>0.22857142999999999</v>
      </c>
    </row>
    <row r="260" spans="1:10" x14ac:dyDescent="0.3">
      <c r="A260">
        <v>258</v>
      </c>
      <c r="B260">
        <v>4122</v>
      </c>
      <c r="C260" t="b">
        <v>1</v>
      </c>
      <c r="D260">
        <v>8048</v>
      </c>
      <c r="E260">
        <v>8123</v>
      </c>
      <c r="F260">
        <v>10.8</v>
      </c>
      <c r="G260">
        <v>3.2</v>
      </c>
      <c r="H260">
        <v>3.375</v>
      </c>
      <c r="I260">
        <v>-2.375</v>
      </c>
      <c r="J260">
        <v>0.22857142999999999</v>
      </c>
    </row>
    <row r="261" spans="1:10" x14ac:dyDescent="0.3">
      <c r="A261">
        <v>259</v>
      </c>
      <c r="B261">
        <v>4138</v>
      </c>
      <c r="C261" t="b">
        <v>1</v>
      </c>
      <c r="D261">
        <v>8054</v>
      </c>
      <c r="E261">
        <v>8123</v>
      </c>
      <c r="F261">
        <v>10.8</v>
      </c>
      <c r="G261">
        <v>3.2</v>
      </c>
      <c r="H261">
        <v>3.375</v>
      </c>
      <c r="I261">
        <v>-2.375</v>
      </c>
      <c r="J261">
        <v>0.22857142999999999</v>
      </c>
    </row>
    <row r="262" spans="1:10" x14ac:dyDescent="0.3">
      <c r="A262">
        <v>260</v>
      </c>
      <c r="B262">
        <v>4154</v>
      </c>
      <c r="C262" t="b">
        <v>1</v>
      </c>
      <c r="D262">
        <v>8048</v>
      </c>
      <c r="E262">
        <v>8123</v>
      </c>
      <c r="F262">
        <v>10.8</v>
      </c>
      <c r="G262">
        <v>3.6</v>
      </c>
      <c r="H262">
        <v>3.0000002000000001</v>
      </c>
      <c r="I262">
        <v>-2.0000002000000001</v>
      </c>
      <c r="J262">
        <v>0.25</v>
      </c>
    </row>
    <row r="263" spans="1:10" x14ac:dyDescent="0.3">
      <c r="A263">
        <v>261</v>
      </c>
      <c r="B263">
        <v>4170</v>
      </c>
      <c r="C263" t="b">
        <v>1</v>
      </c>
      <c r="D263">
        <v>8048</v>
      </c>
      <c r="E263">
        <v>8129</v>
      </c>
      <c r="F263">
        <v>10.8</v>
      </c>
      <c r="G263">
        <v>4</v>
      </c>
      <c r="H263">
        <v>2.7</v>
      </c>
      <c r="I263">
        <v>-1.7</v>
      </c>
      <c r="J263">
        <v>0.27027025999999998</v>
      </c>
    </row>
    <row r="264" spans="1:10" x14ac:dyDescent="0.3">
      <c r="A264">
        <v>262</v>
      </c>
      <c r="B264">
        <v>4186</v>
      </c>
      <c r="C264" t="b">
        <v>1</v>
      </c>
      <c r="D264">
        <v>8048</v>
      </c>
      <c r="E264">
        <v>8129</v>
      </c>
      <c r="F264">
        <v>10.8</v>
      </c>
      <c r="G264">
        <v>4.4000000000000004</v>
      </c>
      <c r="H264">
        <v>2.4545455</v>
      </c>
      <c r="I264">
        <v>-1.4545455</v>
      </c>
      <c r="J264">
        <v>0.28947368000000001</v>
      </c>
    </row>
    <row r="265" spans="1:10" x14ac:dyDescent="0.3">
      <c r="A265">
        <v>263</v>
      </c>
      <c r="B265">
        <v>4202</v>
      </c>
      <c r="C265" t="b">
        <v>1</v>
      </c>
      <c r="D265">
        <v>8048</v>
      </c>
      <c r="E265">
        <v>8123</v>
      </c>
      <c r="F265">
        <v>10.4</v>
      </c>
      <c r="G265">
        <v>4.8</v>
      </c>
      <c r="H265">
        <v>2.1666664999999998</v>
      </c>
      <c r="I265">
        <v>-1.1666665000000001</v>
      </c>
      <c r="J265">
        <v>0.3157895</v>
      </c>
    </row>
    <row r="266" spans="1:10" x14ac:dyDescent="0.3">
      <c r="A266">
        <v>264</v>
      </c>
      <c r="B266">
        <v>4217</v>
      </c>
      <c r="C266" t="b">
        <v>1</v>
      </c>
      <c r="D266">
        <v>8048</v>
      </c>
      <c r="E266">
        <v>8123</v>
      </c>
      <c r="F266">
        <v>10</v>
      </c>
      <c r="G266">
        <v>5.2</v>
      </c>
      <c r="H266">
        <v>1.9230769999999999</v>
      </c>
      <c r="I266">
        <v>-0.92307700000000004</v>
      </c>
      <c r="J266">
        <v>0.34210527000000002</v>
      </c>
    </row>
    <row r="267" spans="1:10" x14ac:dyDescent="0.3">
      <c r="A267">
        <v>265</v>
      </c>
      <c r="B267">
        <v>4233</v>
      </c>
      <c r="C267" t="b">
        <v>1</v>
      </c>
      <c r="D267">
        <v>8042</v>
      </c>
      <c r="E267">
        <v>8129</v>
      </c>
      <c r="F267">
        <v>9.6</v>
      </c>
      <c r="G267">
        <v>6</v>
      </c>
      <c r="H267">
        <v>1.6</v>
      </c>
      <c r="I267">
        <v>-0.60000010000000004</v>
      </c>
      <c r="J267">
        <v>0.38461536000000002</v>
      </c>
    </row>
    <row r="268" spans="1:10" x14ac:dyDescent="0.3">
      <c r="A268">
        <v>266</v>
      </c>
      <c r="B268">
        <v>4250</v>
      </c>
      <c r="C268" t="b">
        <v>1</v>
      </c>
      <c r="D268">
        <v>8048</v>
      </c>
      <c r="E268">
        <v>8123</v>
      </c>
      <c r="F268">
        <v>9.1999999999999993</v>
      </c>
      <c r="G268">
        <v>6.4</v>
      </c>
      <c r="H268">
        <v>1.4375</v>
      </c>
      <c r="I268">
        <v>-0.43749993999999998</v>
      </c>
      <c r="J268">
        <v>0.41025642000000001</v>
      </c>
    </row>
    <row r="269" spans="1:10" x14ac:dyDescent="0.3">
      <c r="A269">
        <v>267</v>
      </c>
      <c r="B269">
        <v>4265</v>
      </c>
      <c r="C269" t="b">
        <v>1</v>
      </c>
      <c r="D269">
        <v>8042</v>
      </c>
      <c r="E269">
        <v>8123</v>
      </c>
      <c r="F269">
        <v>8.8000000000000007</v>
      </c>
      <c r="G269">
        <v>6.8</v>
      </c>
      <c r="H269">
        <v>1.2941176999999999</v>
      </c>
      <c r="I269">
        <v>-0.29411763000000002</v>
      </c>
      <c r="J269">
        <v>0.43589744000000002</v>
      </c>
    </row>
    <row r="270" spans="1:10" x14ac:dyDescent="0.3">
      <c r="A270">
        <v>268</v>
      </c>
      <c r="B270">
        <v>4281</v>
      </c>
      <c r="C270" t="b">
        <v>1</v>
      </c>
      <c r="D270">
        <v>8042</v>
      </c>
      <c r="E270">
        <v>8129</v>
      </c>
      <c r="F270">
        <v>8</v>
      </c>
      <c r="G270">
        <v>7.2</v>
      </c>
      <c r="H270">
        <v>1.1111112000000001</v>
      </c>
      <c r="I270">
        <v>-0.11111114</v>
      </c>
      <c r="J270">
        <v>0.4736842</v>
      </c>
    </row>
    <row r="271" spans="1:10" x14ac:dyDescent="0.3">
      <c r="A271">
        <v>269</v>
      </c>
      <c r="B271">
        <v>4297</v>
      </c>
      <c r="C271" t="b">
        <v>1</v>
      </c>
      <c r="D271">
        <v>8042</v>
      </c>
      <c r="E271">
        <v>8123</v>
      </c>
      <c r="F271">
        <v>7.2</v>
      </c>
      <c r="G271">
        <v>7.6</v>
      </c>
      <c r="H271">
        <v>0.9473684</v>
      </c>
      <c r="I271">
        <v>5.2631589999999999E-2</v>
      </c>
      <c r="J271">
        <v>0.51351349999999996</v>
      </c>
    </row>
    <row r="272" spans="1:10" x14ac:dyDescent="0.3">
      <c r="A272">
        <v>270</v>
      </c>
      <c r="B272">
        <v>4313</v>
      </c>
      <c r="C272" t="b">
        <v>1</v>
      </c>
      <c r="D272">
        <v>8042</v>
      </c>
      <c r="E272">
        <v>8129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4329</v>
      </c>
      <c r="C273" t="b">
        <v>1</v>
      </c>
      <c r="D273">
        <v>8042</v>
      </c>
      <c r="E273">
        <v>8123</v>
      </c>
      <c r="F273">
        <v>6.4</v>
      </c>
      <c r="G273">
        <v>8.4</v>
      </c>
      <c r="H273">
        <v>0.76190484000000003</v>
      </c>
      <c r="I273">
        <v>0.23809520000000001</v>
      </c>
      <c r="J273">
        <v>0.56756759999999995</v>
      </c>
    </row>
    <row r="274" spans="1:10" x14ac:dyDescent="0.3">
      <c r="A274">
        <v>272</v>
      </c>
      <c r="B274">
        <v>4344</v>
      </c>
      <c r="C274" t="b">
        <v>1</v>
      </c>
      <c r="D274">
        <v>8048</v>
      </c>
      <c r="E274">
        <v>8123</v>
      </c>
      <c r="F274">
        <v>6</v>
      </c>
      <c r="G274">
        <v>8.4</v>
      </c>
      <c r="H274">
        <v>0.71428572999999995</v>
      </c>
      <c r="I274">
        <v>0.28571424000000001</v>
      </c>
      <c r="J274">
        <v>0.58333330000000005</v>
      </c>
    </row>
    <row r="275" spans="1:10" x14ac:dyDescent="0.3">
      <c r="A275">
        <v>273</v>
      </c>
      <c r="B275">
        <v>4361</v>
      </c>
      <c r="C275" t="b">
        <v>1</v>
      </c>
      <c r="D275">
        <v>8048</v>
      </c>
      <c r="E275">
        <v>8123</v>
      </c>
      <c r="F275">
        <v>5.6</v>
      </c>
      <c r="G275">
        <v>8.4</v>
      </c>
      <c r="H275">
        <v>0.66666669999999995</v>
      </c>
      <c r="I275">
        <v>0.3333333</v>
      </c>
      <c r="J275">
        <v>0.59999996</v>
      </c>
    </row>
    <row r="276" spans="1:10" x14ac:dyDescent="0.3">
      <c r="A276">
        <v>274</v>
      </c>
      <c r="B276">
        <v>4376</v>
      </c>
      <c r="C276" t="b">
        <v>1</v>
      </c>
      <c r="D276">
        <v>8048</v>
      </c>
      <c r="E276">
        <v>8123</v>
      </c>
      <c r="F276">
        <v>5.6</v>
      </c>
      <c r="G276">
        <v>8.4</v>
      </c>
      <c r="H276">
        <v>0.66666669999999995</v>
      </c>
      <c r="I276">
        <v>0.3333333</v>
      </c>
      <c r="J276">
        <v>0.59999996</v>
      </c>
    </row>
    <row r="277" spans="1:10" x14ac:dyDescent="0.3">
      <c r="A277">
        <v>275</v>
      </c>
      <c r="B277">
        <v>4393</v>
      </c>
      <c r="C277" t="b">
        <v>1</v>
      </c>
      <c r="D277">
        <v>8048</v>
      </c>
      <c r="E277">
        <v>8123</v>
      </c>
      <c r="F277">
        <v>5.6</v>
      </c>
      <c r="G277">
        <v>8.4</v>
      </c>
      <c r="H277">
        <v>0.66666669999999995</v>
      </c>
      <c r="I277">
        <v>0.3333333</v>
      </c>
      <c r="J277">
        <v>0.59999996</v>
      </c>
    </row>
    <row r="278" spans="1:10" x14ac:dyDescent="0.3">
      <c r="A278">
        <v>276</v>
      </c>
      <c r="B278">
        <v>4409</v>
      </c>
      <c r="C278" t="b">
        <v>1</v>
      </c>
      <c r="D278">
        <v>8048</v>
      </c>
      <c r="E278">
        <v>8123</v>
      </c>
      <c r="F278">
        <v>5.6</v>
      </c>
      <c r="G278">
        <v>8.4</v>
      </c>
      <c r="H278">
        <v>0.66666669999999995</v>
      </c>
      <c r="I278">
        <v>0.3333333</v>
      </c>
      <c r="J278">
        <v>0.59999996</v>
      </c>
    </row>
    <row r="279" spans="1:10" x14ac:dyDescent="0.3">
      <c r="A279">
        <v>277</v>
      </c>
      <c r="B279">
        <v>4424</v>
      </c>
      <c r="C279" t="b">
        <v>1</v>
      </c>
      <c r="D279">
        <v>8054</v>
      </c>
      <c r="E279">
        <v>8123</v>
      </c>
      <c r="F279">
        <v>5.6</v>
      </c>
      <c r="G279">
        <v>8.4</v>
      </c>
      <c r="H279">
        <v>0.66666669999999995</v>
      </c>
      <c r="I279">
        <v>0.3333333</v>
      </c>
      <c r="J279">
        <v>0.59999996</v>
      </c>
    </row>
    <row r="280" spans="1:10" x14ac:dyDescent="0.3">
      <c r="A280">
        <v>278</v>
      </c>
      <c r="B280">
        <v>4440</v>
      </c>
      <c r="C280" t="b">
        <v>1</v>
      </c>
      <c r="D280">
        <v>8048</v>
      </c>
      <c r="E280">
        <v>8123</v>
      </c>
      <c r="F280">
        <v>5.6</v>
      </c>
      <c r="G280">
        <v>8.4</v>
      </c>
      <c r="H280">
        <v>0.66666669999999995</v>
      </c>
      <c r="I280">
        <v>0.3333333</v>
      </c>
      <c r="J280">
        <v>0.59999996</v>
      </c>
    </row>
    <row r="281" spans="1:10" x14ac:dyDescent="0.3">
      <c r="A281">
        <v>279</v>
      </c>
      <c r="B281">
        <v>4456</v>
      </c>
      <c r="C281" t="b">
        <v>1</v>
      </c>
      <c r="D281">
        <v>8048</v>
      </c>
      <c r="E281">
        <v>8129</v>
      </c>
      <c r="F281">
        <v>5.6</v>
      </c>
      <c r="G281">
        <v>8.4</v>
      </c>
      <c r="H281">
        <v>0.66666669999999995</v>
      </c>
      <c r="I281">
        <v>0.3333333</v>
      </c>
      <c r="J281">
        <v>0.59999996</v>
      </c>
    </row>
    <row r="282" spans="1:10" x14ac:dyDescent="0.3">
      <c r="A282">
        <v>280</v>
      </c>
      <c r="B282">
        <v>4472</v>
      </c>
      <c r="C282" t="b">
        <v>1</v>
      </c>
      <c r="D282">
        <v>8048</v>
      </c>
      <c r="E282">
        <v>8117</v>
      </c>
      <c r="F282">
        <v>5.6</v>
      </c>
      <c r="G282">
        <v>8</v>
      </c>
      <c r="H282">
        <v>0.7</v>
      </c>
      <c r="I282">
        <v>0.3</v>
      </c>
      <c r="J282">
        <v>0.58823526000000004</v>
      </c>
    </row>
    <row r="283" spans="1:10" x14ac:dyDescent="0.3">
      <c r="A283">
        <v>281</v>
      </c>
      <c r="B283">
        <v>4488</v>
      </c>
      <c r="C283" t="b">
        <v>1</v>
      </c>
      <c r="D283">
        <v>8048</v>
      </c>
      <c r="E283">
        <v>8117</v>
      </c>
      <c r="F283">
        <v>5.6</v>
      </c>
      <c r="G283">
        <v>8</v>
      </c>
      <c r="H283">
        <v>0.7</v>
      </c>
      <c r="I283">
        <v>0.3</v>
      </c>
      <c r="J283">
        <v>0.58823526000000004</v>
      </c>
    </row>
    <row r="284" spans="1:10" x14ac:dyDescent="0.3">
      <c r="A284">
        <v>282</v>
      </c>
      <c r="B284">
        <v>4504</v>
      </c>
      <c r="C284" t="b">
        <v>1</v>
      </c>
      <c r="D284">
        <v>8048</v>
      </c>
      <c r="E284">
        <v>8123</v>
      </c>
      <c r="F284">
        <v>5.6</v>
      </c>
      <c r="G284">
        <v>8</v>
      </c>
      <c r="H284">
        <v>0.7</v>
      </c>
      <c r="I284">
        <v>0.3</v>
      </c>
      <c r="J284">
        <v>0.58823526000000004</v>
      </c>
    </row>
    <row r="285" spans="1:10" x14ac:dyDescent="0.3">
      <c r="A285">
        <v>283</v>
      </c>
      <c r="B285">
        <v>4519</v>
      </c>
      <c r="C285" t="b">
        <v>1</v>
      </c>
      <c r="D285">
        <v>8048</v>
      </c>
      <c r="E285">
        <v>8123</v>
      </c>
      <c r="F285">
        <v>6</v>
      </c>
      <c r="G285">
        <v>8</v>
      </c>
      <c r="H285">
        <v>0.75</v>
      </c>
      <c r="I285">
        <v>0.25</v>
      </c>
      <c r="J285">
        <v>0.57142859999999995</v>
      </c>
    </row>
    <row r="286" spans="1:10" x14ac:dyDescent="0.3">
      <c r="A286">
        <v>284</v>
      </c>
      <c r="B286">
        <v>4535</v>
      </c>
      <c r="C286" t="b">
        <v>1</v>
      </c>
      <c r="D286">
        <v>8042</v>
      </c>
      <c r="E286">
        <v>8117</v>
      </c>
      <c r="F286">
        <v>6.4</v>
      </c>
      <c r="G286">
        <v>7.6</v>
      </c>
      <c r="H286">
        <v>0.84210527000000002</v>
      </c>
      <c r="I286">
        <v>0.15789471999999999</v>
      </c>
      <c r="J286">
        <v>0.54285709999999998</v>
      </c>
    </row>
    <row r="287" spans="1:10" x14ac:dyDescent="0.3">
      <c r="A287">
        <v>285</v>
      </c>
      <c r="B287">
        <v>4551</v>
      </c>
      <c r="C287" t="b">
        <v>1</v>
      </c>
      <c r="D287">
        <v>8048</v>
      </c>
      <c r="E287">
        <v>8123</v>
      </c>
      <c r="F287">
        <v>6.8</v>
      </c>
      <c r="G287">
        <v>7.6</v>
      </c>
      <c r="H287">
        <v>0.89473689999999995</v>
      </c>
      <c r="I287">
        <v>0.10526312</v>
      </c>
      <c r="J287">
        <v>0.52777779999999996</v>
      </c>
    </row>
    <row r="288" spans="1:10" x14ac:dyDescent="0.3">
      <c r="A288">
        <v>286</v>
      </c>
      <c r="B288">
        <v>4567</v>
      </c>
      <c r="C288" t="b">
        <v>1</v>
      </c>
      <c r="D288">
        <v>8048</v>
      </c>
      <c r="E288">
        <v>8123</v>
      </c>
      <c r="F288">
        <v>7.2</v>
      </c>
      <c r="G288">
        <v>7.6</v>
      </c>
      <c r="H288">
        <v>0.9473684</v>
      </c>
      <c r="I288">
        <v>5.2631589999999999E-2</v>
      </c>
      <c r="J288">
        <v>0.51351349999999996</v>
      </c>
    </row>
    <row r="289" spans="1:10" x14ac:dyDescent="0.3">
      <c r="A289">
        <v>287</v>
      </c>
      <c r="B289">
        <v>4583</v>
      </c>
      <c r="C289" t="b">
        <v>1</v>
      </c>
      <c r="D289">
        <v>8048</v>
      </c>
      <c r="E289">
        <v>8123</v>
      </c>
      <c r="F289">
        <v>7.6</v>
      </c>
      <c r="G289">
        <v>7.6</v>
      </c>
      <c r="H289">
        <v>1</v>
      </c>
      <c r="I289">
        <v>0</v>
      </c>
      <c r="J289">
        <v>0.5</v>
      </c>
    </row>
    <row r="290" spans="1:10" x14ac:dyDescent="0.3">
      <c r="A290">
        <v>288</v>
      </c>
      <c r="B290">
        <v>4599</v>
      </c>
      <c r="C290" t="b">
        <v>1</v>
      </c>
      <c r="D290">
        <v>8048</v>
      </c>
      <c r="E290">
        <v>8123</v>
      </c>
      <c r="F290">
        <v>8</v>
      </c>
      <c r="G290">
        <v>7.6</v>
      </c>
      <c r="H290">
        <v>1.0526316</v>
      </c>
      <c r="I290">
        <v>-5.2631589999999999E-2</v>
      </c>
      <c r="J290">
        <v>0.48717946000000001</v>
      </c>
    </row>
    <row r="291" spans="1:10" x14ac:dyDescent="0.3">
      <c r="A291">
        <v>289</v>
      </c>
      <c r="B291">
        <v>4615</v>
      </c>
      <c r="C291" t="b">
        <v>1</v>
      </c>
      <c r="D291">
        <v>8048</v>
      </c>
      <c r="E291">
        <v>8123</v>
      </c>
      <c r="F291">
        <v>8</v>
      </c>
      <c r="G291">
        <v>7.6</v>
      </c>
      <c r="H291">
        <v>1.0526316</v>
      </c>
      <c r="I291">
        <v>-5.2631589999999999E-2</v>
      </c>
      <c r="J291">
        <v>0.48717946000000001</v>
      </c>
    </row>
    <row r="292" spans="1:10" x14ac:dyDescent="0.3">
      <c r="A292">
        <v>290</v>
      </c>
      <c r="B292">
        <v>4630</v>
      </c>
      <c r="C292" t="b">
        <v>1</v>
      </c>
      <c r="D292">
        <v>8048</v>
      </c>
      <c r="E292">
        <v>8123</v>
      </c>
      <c r="F292">
        <v>8</v>
      </c>
      <c r="G292">
        <v>7.6</v>
      </c>
      <c r="H292">
        <v>1.0526316</v>
      </c>
      <c r="I292">
        <v>-5.2631589999999999E-2</v>
      </c>
      <c r="J292">
        <v>0.48717946000000001</v>
      </c>
    </row>
    <row r="293" spans="1:10" x14ac:dyDescent="0.3">
      <c r="A293">
        <v>291</v>
      </c>
      <c r="B293">
        <v>4646</v>
      </c>
      <c r="C293" t="b">
        <v>1</v>
      </c>
      <c r="D293">
        <v>8048</v>
      </c>
      <c r="E293">
        <v>8123</v>
      </c>
      <c r="F293">
        <v>8</v>
      </c>
      <c r="G293">
        <v>7.6</v>
      </c>
      <c r="H293">
        <v>1.0526316</v>
      </c>
      <c r="I293">
        <v>-5.2631589999999999E-2</v>
      </c>
      <c r="J293">
        <v>0.48717946000000001</v>
      </c>
    </row>
    <row r="294" spans="1:10" x14ac:dyDescent="0.3">
      <c r="A294">
        <v>292</v>
      </c>
      <c r="B294">
        <v>4662</v>
      </c>
      <c r="C294" t="b">
        <v>1</v>
      </c>
      <c r="D294">
        <v>8048</v>
      </c>
      <c r="E294">
        <v>8123</v>
      </c>
      <c r="F294">
        <v>8</v>
      </c>
      <c r="G294">
        <v>7.6</v>
      </c>
      <c r="H294">
        <v>1.0526316</v>
      </c>
      <c r="I294">
        <v>-5.2631589999999999E-2</v>
      </c>
      <c r="J294">
        <v>0.48717946000000001</v>
      </c>
    </row>
    <row r="295" spans="1:10" x14ac:dyDescent="0.3">
      <c r="A295">
        <v>293</v>
      </c>
      <c r="B295">
        <v>4677</v>
      </c>
      <c r="C295" t="b">
        <v>1</v>
      </c>
      <c r="D295">
        <v>8048</v>
      </c>
      <c r="E295">
        <v>8123</v>
      </c>
      <c r="F295">
        <v>8</v>
      </c>
      <c r="G295">
        <v>7.6</v>
      </c>
      <c r="H295">
        <v>1.0526316</v>
      </c>
      <c r="I295">
        <v>-5.2631589999999999E-2</v>
      </c>
      <c r="J295">
        <v>0.48717946000000001</v>
      </c>
    </row>
    <row r="296" spans="1:10" x14ac:dyDescent="0.3">
      <c r="A296">
        <v>294</v>
      </c>
      <c r="B296">
        <v>4693</v>
      </c>
      <c r="C296" t="b">
        <v>1</v>
      </c>
      <c r="D296">
        <v>8048</v>
      </c>
      <c r="E296">
        <v>8129</v>
      </c>
      <c r="F296">
        <v>8</v>
      </c>
      <c r="G296">
        <v>7.6</v>
      </c>
      <c r="H296">
        <v>1.0526316</v>
      </c>
      <c r="I296">
        <v>-5.2631589999999999E-2</v>
      </c>
      <c r="J296">
        <v>0.48717946000000001</v>
      </c>
    </row>
    <row r="297" spans="1:10" x14ac:dyDescent="0.3">
      <c r="A297">
        <v>295</v>
      </c>
      <c r="B297">
        <v>4709</v>
      </c>
      <c r="C297" t="b">
        <v>1</v>
      </c>
      <c r="D297">
        <v>8048</v>
      </c>
      <c r="E297">
        <v>8123</v>
      </c>
      <c r="F297">
        <v>8</v>
      </c>
      <c r="G297">
        <v>7.6</v>
      </c>
      <c r="H297">
        <v>1.0526316</v>
      </c>
      <c r="I297">
        <v>-5.2631589999999999E-2</v>
      </c>
      <c r="J297">
        <v>0.48717946000000001</v>
      </c>
    </row>
    <row r="298" spans="1:10" x14ac:dyDescent="0.3">
      <c r="A298">
        <v>296</v>
      </c>
      <c r="B298">
        <v>4725</v>
      </c>
      <c r="C298" t="b">
        <v>1</v>
      </c>
      <c r="D298">
        <v>8048</v>
      </c>
      <c r="E298">
        <v>8129</v>
      </c>
      <c r="F298">
        <v>8</v>
      </c>
      <c r="G298">
        <v>7.6</v>
      </c>
      <c r="H298">
        <v>1.0526316</v>
      </c>
      <c r="I298">
        <v>-5.2631589999999999E-2</v>
      </c>
      <c r="J298">
        <v>0.48717946000000001</v>
      </c>
    </row>
    <row r="299" spans="1:10" x14ac:dyDescent="0.3">
      <c r="A299">
        <v>297</v>
      </c>
      <c r="B299">
        <v>4741</v>
      </c>
      <c r="C299" t="b">
        <v>1</v>
      </c>
      <c r="D299">
        <v>8042</v>
      </c>
      <c r="E299">
        <v>8123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4757</v>
      </c>
      <c r="C300" t="b">
        <v>1</v>
      </c>
      <c r="D300">
        <v>8042</v>
      </c>
      <c r="E300">
        <v>8123</v>
      </c>
      <c r="F300">
        <v>8</v>
      </c>
      <c r="G300">
        <v>7.6</v>
      </c>
      <c r="H300">
        <v>1.0526316</v>
      </c>
      <c r="I300">
        <v>-5.2631589999999999E-2</v>
      </c>
      <c r="J300">
        <v>0.48717946000000001</v>
      </c>
    </row>
    <row r="301" spans="1:10" x14ac:dyDescent="0.3">
      <c r="A301">
        <v>299</v>
      </c>
      <c r="B301">
        <v>4773</v>
      </c>
      <c r="C301" t="b">
        <v>1</v>
      </c>
      <c r="D301">
        <v>8042</v>
      </c>
      <c r="E301">
        <v>8123</v>
      </c>
      <c r="F301">
        <v>7.6</v>
      </c>
      <c r="G301">
        <v>8</v>
      </c>
      <c r="H301">
        <v>0.95</v>
      </c>
      <c r="I301">
        <v>5.0000012000000003E-2</v>
      </c>
      <c r="J301">
        <v>0.51282050000000001</v>
      </c>
    </row>
    <row r="302" spans="1:10" x14ac:dyDescent="0.3">
      <c r="A302">
        <v>300</v>
      </c>
      <c r="B302">
        <v>4789</v>
      </c>
      <c r="C302" t="b">
        <v>1</v>
      </c>
      <c r="D302">
        <v>8042</v>
      </c>
      <c r="E302">
        <v>8117</v>
      </c>
      <c r="F302">
        <v>7.2</v>
      </c>
      <c r="G302">
        <v>8</v>
      </c>
      <c r="H302">
        <v>0.9</v>
      </c>
      <c r="I302">
        <v>0.10000002400000001</v>
      </c>
      <c r="J302">
        <v>0.5263158</v>
      </c>
    </row>
    <row r="303" spans="1:10" x14ac:dyDescent="0.3">
      <c r="A303">
        <v>301</v>
      </c>
      <c r="B303">
        <v>4805</v>
      </c>
      <c r="C303" t="b">
        <v>1</v>
      </c>
      <c r="D303">
        <v>8042</v>
      </c>
      <c r="E303">
        <v>8123</v>
      </c>
      <c r="F303">
        <v>6.8</v>
      </c>
      <c r="G303">
        <v>8</v>
      </c>
      <c r="H303">
        <v>0.85</v>
      </c>
      <c r="I303">
        <v>0.14999998</v>
      </c>
      <c r="J303">
        <v>0.54054049999999998</v>
      </c>
    </row>
    <row r="304" spans="1:10" x14ac:dyDescent="0.3">
      <c r="A304">
        <v>302</v>
      </c>
      <c r="B304">
        <v>4822</v>
      </c>
      <c r="C304" t="b">
        <v>1</v>
      </c>
      <c r="D304">
        <v>8042</v>
      </c>
      <c r="E304">
        <v>8117</v>
      </c>
      <c r="F304">
        <v>6.4</v>
      </c>
      <c r="G304">
        <v>8</v>
      </c>
      <c r="H304">
        <v>0.8</v>
      </c>
      <c r="I304">
        <v>0.19999998999999999</v>
      </c>
      <c r="J304">
        <v>0.55555560000000004</v>
      </c>
    </row>
    <row r="305" spans="1:10" x14ac:dyDescent="0.3">
      <c r="A305">
        <v>303</v>
      </c>
      <c r="B305">
        <v>4837</v>
      </c>
      <c r="C305" t="b">
        <v>1</v>
      </c>
      <c r="D305">
        <v>8048</v>
      </c>
      <c r="E305">
        <v>8129</v>
      </c>
      <c r="F305">
        <v>6</v>
      </c>
      <c r="G305">
        <v>8</v>
      </c>
      <c r="H305">
        <v>0.75</v>
      </c>
      <c r="I305">
        <v>0.25</v>
      </c>
      <c r="J305">
        <v>0.57142859999999995</v>
      </c>
    </row>
    <row r="306" spans="1:10" x14ac:dyDescent="0.3">
      <c r="A306">
        <v>304</v>
      </c>
      <c r="B306">
        <v>4868</v>
      </c>
      <c r="C306" t="b">
        <v>1</v>
      </c>
      <c r="D306">
        <v>8048</v>
      </c>
      <c r="E306">
        <v>8117</v>
      </c>
      <c r="F306">
        <v>5.6</v>
      </c>
      <c r="G306">
        <v>7.6</v>
      </c>
      <c r="H306">
        <v>0.73684210000000006</v>
      </c>
      <c r="I306">
        <v>0.2631579</v>
      </c>
      <c r="J306">
        <v>0.57575756</v>
      </c>
    </row>
    <row r="307" spans="1:10" x14ac:dyDescent="0.3">
      <c r="A307">
        <v>305</v>
      </c>
      <c r="B307">
        <v>4885</v>
      </c>
      <c r="C307" t="b">
        <v>1</v>
      </c>
      <c r="D307">
        <v>8054</v>
      </c>
      <c r="E307">
        <v>8117</v>
      </c>
      <c r="F307">
        <v>5.6</v>
      </c>
      <c r="G307">
        <v>7.2</v>
      </c>
      <c r="H307">
        <v>0.77777779999999996</v>
      </c>
      <c r="I307">
        <v>0.22222221</v>
      </c>
      <c r="J307">
        <v>0.5625</v>
      </c>
    </row>
    <row r="308" spans="1:10" x14ac:dyDescent="0.3">
      <c r="A308">
        <v>306</v>
      </c>
      <c r="B308">
        <v>4900</v>
      </c>
      <c r="C308" t="b">
        <v>1</v>
      </c>
      <c r="D308">
        <v>8048</v>
      </c>
      <c r="E308">
        <v>8117</v>
      </c>
      <c r="F308">
        <v>5.6</v>
      </c>
      <c r="G308">
        <v>6.8</v>
      </c>
      <c r="H308">
        <v>0.82352935999999999</v>
      </c>
      <c r="I308">
        <v>0.17647061999999999</v>
      </c>
      <c r="J308">
        <v>0.54838710000000002</v>
      </c>
    </row>
    <row r="309" spans="1:10" x14ac:dyDescent="0.3">
      <c r="A309">
        <v>307</v>
      </c>
      <c r="B309">
        <v>4916</v>
      </c>
      <c r="C309" t="b">
        <v>1</v>
      </c>
      <c r="D309">
        <v>8048</v>
      </c>
      <c r="E309">
        <v>8117</v>
      </c>
      <c r="F309">
        <v>5.6</v>
      </c>
      <c r="G309">
        <v>6.4</v>
      </c>
      <c r="H309">
        <v>0.875</v>
      </c>
      <c r="I309">
        <v>0.12500003000000001</v>
      </c>
      <c r="J309">
        <v>0.53333335999999998</v>
      </c>
    </row>
    <row r="310" spans="1:10" x14ac:dyDescent="0.3">
      <c r="A310">
        <v>308</v>
      </c>
      <c r="B310">
        <v>4932</v>
      </c>
      <c r="C310" t="b">
        <v>1</v>
      </c>
      <c r="D310">
        <v>8048</v>
      </c>
      <c r="E310">
        <v>8117</v>
      </c>
      <c r="F310">
        <v>5.6</v>
      </c>
      <c r="G310">
        <v>6</v>
      </c>
      <c r="H310">
        <v>0.93333334000000001</v>
      </c>
      <c r="I310">
        <v>6.6666685000000003E-2</v>
      </c>
      <c r="J310">
        <v>0.51724135999999998</v>
      </c>
    </row>
    <row r="311" spans="1:10" x14ac:dyDescent="0.3">
      <c r="A311">
        <v>309</v>
      </c>
      <c r="B311">
        <v>4948</v>
      </c>
      <c r="C311" t="b">
        <v>1</v>
      </c>
      <c r="D311">
        <v>8048</v>
      </c>
      <c r="E311">
        <v>8117</v>
      </c>
      <c r="F311">
        <v>5.6</v>
      </c>
      <c r="G311">
        <v>5.6</v>
      </c>
      <c r="H311">
        <v>1</v>
      </c>
      <c r="I311">
        <v>0</v>
      </c>
      <c r="J311">
        <v>0.5</v>
      </c>
    </row>
    <row r="312" spans="1:10" x14ac:dyDescent="0.3">
      <c r="A312">
        <v>310</v>
      </c>
      <c r="B312">
        <v>4964</v>
      </c>
      <c r="C312" t="b">
        <v>1</v>
      </c>
      <c r="D312">
        <v>8054</v>
      </c>
      <c r="E312">
        <v>8134</v>
      </c>
      <c r="F312">
        <v>5.6</v>
      </c>
      <c r="G312">
        <v>5.2</v>
      </c>
      <c r="H312">
        <v>1.0769230999999999</v>
      </c>
      <c r="I312">
        <v>-7.6923094999999997E-2</v>
      </c>
      <c r="J312">
        <v>0.48148150000000001</v>
      </c>
    </row>
    <row r="313" spans="1:10" x14ac:dyDescent="0.3">
      <c r="A313">
        <v>311</v>
      </c>
      <c r="B313">
        <v>4980</v>
      </c>
      <c r="C313" t="b">
        <v>1</v>
      </c>
      <c r="D313">
        <v>8048</v>
      </c>
      <c r="E313">
        <v>8129</v>
      </c>
      <c r="F313">
        <v>5.6</v>
      </c>
      <c r="G313">
        <v>4.8</v>
      </c>
      <c r="H313">
        <v>1.1666666000000001</v>
      </c>
      <c r="I313">
        <v>-0.1666666</v>
      </c>
      <c r="J313">
        <v>0.46153850000000002</v>
      </c>
    </row>
    <row r="314" spans="1:10" x14ac:dyDescent="0.3">
      <c r="A314">
        <v>312</v>
      </c>
      <c r="B314">
        <v>4995</v>
      </c>
      <c r="C314" t="b">
        <v>1</v>
      </c>
      <c r="D314">
        <v>8048</v>
      </c>
      <c r="E314">
        <v>8123</v>
      </c>
      <c r="F314">
        <v>5.6</v>
      </c>
      <c r="G314">
        <v>4.8</v>
      </c>
      <c r="H314">
        <v>1.1666666000000001</v>
      </c>
      <c r="I314">
        <v>-0.1666666</v>
      </c>
      <c r="J314">
        <v>0.46153850000000002</v>
      </c>
    </row>
    <row r="315" spans="1:10" x14ac:dyDescent="0.3">
      <c r="A315">
        <v>313</v>
      </c>
      <c r="B315">
        <v>5011</v>
      </c>
      <c r="C315" t="b">
        <v>1</v>
      </c>
      <c r="D315">
        <v>8042</v>
      </c>
      <c r="E315">
        <v>8134</v>
      </c>
      <c r="F315">
        <v>5.6</v>
      </c>
      <c r="G315">
        <v>5.2</v>
      </c>
      <c r="H315">
        <v>1.0769230999999999</v>
      </c>
      <c r="I315">
        <v>-7.6923094999999997E-2</v>
      </c>
      <c r="J315">
        <v>0.48148150000000001</v>
      </c>
    </row>
    <row r="316" spans="1:10" x14ac:dyDescent="0.3">
      <c r="A316">
        <v>314</v>
      </c>
      <c r="B316">
        <v>5028</v>
      </c>
      <c r="C316" t="b">
        <v>1</v>
      </c>
      <c r="D316">
        <v>8048</v>
      </c>
      <c r="E316">
        <v>8129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5044</v>
      </c>
      <c r="C317" t="b">
        <v>1</v>
      </c>
      <c r="D317">
        <v>8048</v>
      </c>
      <c r="E317">
        <v>8123</v>
      </c>
      <c r="F317">
        <v>6.4</v>
      </c>
      <c r="G317">
        <v>6</v>
      </c>
      <c r="H317">
        <v>1.0666667000000001</v>
      </c>
      <c r="I317">
        <v>-6.6666685000000003E-2</v>
      </c>
      <c r="J317">
        <v>0.48387098000000001</v>
      </c>
    </row>
    <row r="318" spans="1:10" x14ac:dyDescent="0.3">
      <c r="A318">
        <v>316</v>
      </c>
      <c r="B318">
        <v>5060</v>
      </c>
      <c r="C318" t="b">
        <v>1</v>
      </c>
      <c r="D318">
        <v>8048</v>
      </c>
      <c r="E318">
        <v>8123</v>
      </c>
      <c r="F318">
        <v>6.8</v>
      </c>
      <c r="G318">
        <v>6</v>
      </c>
      <c r="H318">
        <v>1.1333333000000001</v>
      </c>
      <c r="I318">
        <v>-0.13333337000000001</v>
      </c>
      <c r="J318">
        <v>0.46875</v>
      </c>
    </row>
    <row r="319" spans="1:10" x14ac:dyDescent="0.3">
      <c r="A319">
        <v>317</v>
      </c>
      <c r="B319">
        <v>5075</v>
      </c>
      <c r="C319" t="b">
        <v>1</v>
      </c>
      <c r="D319">
        <v>8048</v>
      </c>
      <c r="E319">
        <v>8123</v>
      </c>
      <c r="F319">
        <v>7.2</v>
      </c>
      <c r="G319">
        <v>6</v>
      </c>
      <c r="H319">
        <v>1.1999998999999999</v>
      </c>
      <c r="I319">
        <v>-0.19999997</v>
      </c>
      <c r="J319">
        <v>0.45454547000000001</v>
      </c>
    </row>
    <row r="320" spans="1:10" x14ac:dyDescent="0.3">
      <c r="A320">
        <v>318</v>
      </c>
      <c r="B320">
        <v>5092</v>
      </c>
      <c r="C320" t="b">
        <v>1</v>
      </c>
      <c r="D320">
        <v>8048</v>
      </c>
      <c r="E320">
        <v>8123</v>
      </c>
      <c r="F320">
        <v>7.6</v>
      </c>
      <c r="G320">
        <v>6</v>
      </c>
      <c r="H320">
        <v>1.2666667</v>
      </c>
      <c r="I320">
        <v>-0.26666665000000001</v>
      </c>
      <c r="J320">
        <v>0.44117644</v>
      </c>
    </row>
    <row r="321" spans="1:10" x14ac:dyDescent="0.3">
      <c r="A321">
        <v>319</v>
      </c>
      <c r="B321">
        <v>5107</v>
      </c>
      <c r="C321" t="b">
        <v>1</v>
      </c>
      <c r="D321">
        <v>8048</v>
      </c>
      <c r="E321">
        <v>8123</v>
      </c>
      <c r="F321">
        <v>8</v>
      </c>
      <c r="G321">
        <v>6.4</v>
      </c>
      <c r="H321">
        <v>1.25</v>
      </c>
      <c r="I321">
        <v>-0.24999999000000001</v>
      </c>
      <c r="J321">
        <v>0.44444447999999998</v>
      </c>
    </row>
    <row r="322" spans="1:10" x14ac:dyDescent="0.3">
      <c r="A322">
        <v>320</v>
      </c>
      <c r="B322">
        <v>5124</v>
      </c>
      <c r="C322" t="b">
        <v>1</v>
      </c>
      <c r="D322">
        <v>8048</v>
      </c>
      <c r="E322">
        <v>8123</v>
      </c>
      <c r="F322">
        <v>8</v>
      </c>
      <c r="G322">
        <v>6.8</v>
      </c>
      <c r="H322">
        <v>1.1764705</v>
      </c>
      <c r="I322">
        <v>-0.17647055</v>
      </c>
      <c r="J322">
        <v>0.45945944999999999</v>
      </c>
    </row>
    <row r="323" spans="1:10" x14ac:dyDescent="0.3">
      <c r="A323">
        <v>321</v>
      </c>
      <c r="B323">
        <v>5140</v>
      </c>
      <c r="C323" t="b">
        <v>1</v>
      </c>
      <c r="D323">
        <v>8042</v>
      </c>
      <c r="E323">
        <v>8123</v>
      </c>
      <c r="F323">
        <v>8</v>
      </c>
      <c r="G323">
        <v>7.2</v>
      </c>
      <c r="H323">
        <v>1.1111112000000001</v>
      </c>
      <c r="I323">
        <v>-0.11111114</v>
      </c>
      <c r="J323">
        <v>0.4736842</v>
      </c>
    </row>
    <row r="324" spans="1:10" x14ac:dyDescent="0.3">
      <c r="A324">
        <v>322</v>
      </c>
      <c r="B324">
        <v>5155</v>
      </c>
      <c r="C324" t="b">
        <v>1</v>
      </c>
      <c r="D324">
        <v>8048</v>
      </c>
      <c r="E324">
        <v>8123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5171</v>
      </c>
      <c r="C325" t="b">
        <v>1</v>
      </c>
      <c r="D325">
        <v>8048</v>
      </c>
      <c r="E325">
        <v>8129</v>
      </c>
      <c r="F325">
        <v>8</v>
      </c>
      <c r="G325">
        <v>8</v>
      </c>
      <c r="H325">
        <v>1</v>
      </c>
      <c r="I325">
        <v>0</v>
      </c>
      <c r="J325">
        <v>0.5</v>
      </c>
    </row>
    <row r="326" spans="1:10" x14ac:dyDescent="0.3">
      <c r="A326">
        <v>324</v>
      </c>
      <c r="B326">
        <v>5187</v>
      </c>
      <c r="C326" t="b">
        <v>1</v>
      </c>
      <c r="D326">
        <v>8048</v>
      </c>
      <c r="E326">
        <v>8117</v>
      </c>
      <c r="F326">
        <v>8</v>
      </c>
      <c r="G326">
        <v>8.4</v>
      </c>
      <c r="H326">
        <v>0.95238100000000003</v>
      </c>
      <c r="I326">
        <v>4.7619003999999999E-2</v>
      </c>
      <c r="J326">
        <v>0.51219510000000001</v>
      </c>
    </row>
    <row r="327" spans="1:10" x14ac:dyDescent="0.3">
      <c r="A327">
        <v>325</v>
      </c>
      <c r="B327">
        <v>5203</v>
      </c>
      <c r="C327" t="b">
        <v>1</v>
      </c>
      <c r="D327">
        <v>8048</v>
      </c>
      <c r="E327">
        <v>8117</v>
      </c>
      <c r="F327">
        <v>8</v>
      </c>
      <c r="G327">
        <v>8.8000000000000007</v>
      </c>
      <c r="H327">
        <v>0.90909090000000004</v>
      </c>
      <c r="I327">
        <v>9.0909110000000001E-2</v>
      </c>
      <c r="J327">
        <v>0.52380954999999996</v>
      </c>
    </row>
    <row r="328" spans="1:10" x14ac:dyDescent="0.3">
      <c r="A328">
        <v>326</v>
      </c>
      <c r="B328">
        <v>5219</v>
      </c>
      <c r="C328" t="b">
        <v>1</v>
      </c>
      <c r="D328">
        <v>8054</v>
      </c>
      <c r="E328">
        <v>8117</v>
      </c>
      <c r="F328">
        <v>8</v>
      </c>
      <c r="G328">
        <v>8.8000000000000007</v>
      </c>
      <c r="H328">
        <v>0.90909090000000004</v>
      </c>
      <c r="I328">
        <v>9.0909110000000001E-2</v>
      </c>
      <c r="J328">
        <v>0.52380954999999996</v>
      </c>
    </row>
    <row r="329" spans="1:10" x14ac:dyDescent="0.3">
      <c r="A329">
        <v>327</v>
      </c>
      <c r="B329">
        <v>5235</v>
      </c>
      <c r="C329" t="b">
        <v>1</v>
      </c>
      <c r="D329">
        <v>8048</v>
      </c>
      <c r="E329">
        <v>8123</v>
      </c>
      <c r="F329">
        <v>8</v>
      </c>
      <c r="G329">
        <v>8.4</v>
      </c>
      <c r="H329">
        <v>0.95238100000000003</v>
      </c>
      <c r="I329">
        <v>4.7619003999999999E-2</v>
      </c>
      <c r="J329">
        <v>0.51219510000000001</v>
      </c>
    </row>
    <row r="330" spans="1:10" x14ac:dyDescent="0.3">
      <c r="A330">
        <v>328</v>
      </c>
      <c r="B330">
        <v>5250</v>
      </c>
      <c r="C330" t="b">
        <v>1</v>
      </c>
      <c r="D330">
        <v>8048</v>
      </c>
      <c r="E330">
        <v>8123</v>
      </c>
      <c r="F330">
        <v>8</v>
      </c>
      <c r="G330">
        <v>7.6</v>
      </c>
      <c r="H330">
        <v>1.0526316</v>
      </c>
      <c r="I330">
        <v>-5.2631589999999999E-2</v>
      </c>
      <c r="J330">
        <v>0.48717946000000001</v>
      </c>
    </row>
    <row r="331" spans="1:10" x14ac:dyDescent="0.3">
      <c r="A331">
        <v>329</v>
      </c>
      <c r="B331">
        <v>5267</v>
      </c>
      <c r="C331" t="b">
        <v>1</v>
      </c>
      <c r="D331">
        <v>8048</v>
      </c>
      <c r="E331">
        <v>8123</v>
      </c>
      <c r="F331">
        <v>8</v>
      </c>
      <c r="G331">
        <v>7.2</v>
      </c>
      <c r="H331">
        <v>1.1111112000000001</v>
      </c>
      <c r="I331">
        <v>-0.11111114</v>
      </c>
      <c r="J331">
        <v>0.4736842</v>
      </c>
    </row>
    <row r="332" spans="1:10" x14ac:dyDescent="0.3">
      <c r="A332">
        <v>330</v>
      </c>
      <c r="B332">
        <v>5283</v>
      </c>
      <c r="C332" t="b">
        <v>1</v>
      </c>
      <c r="D332">
        <v>8048</v>
      </c>
      <c r="E332">
        <v>8123</v>
      </c>
      <c r="F332">
        <v>8</v>
      </c>
      <c r="G332">
        <v>6.8</v>
      </c>
      <c r="H332">
        <v>1.1764705</v>
      </c>
      <c r="I332">
        <v>-0.17647055</v>
      </c>
      <c r="J332">
        <v>0.45945944999999999</v>
      </c>
    </row>
    <row r="333" spans="1:10" x14ac:dyDescent="0.3">
      <c r="A333">
        <v>331</v>
      </c>
      <c r="B333">
        <v>5298</v>
      </c>
      <c r="C333" t="b">
        <v>1</v>
      </c>
      <c r="D333">
        <v>8048</v>
      </c>
      <c r="E333">
        <v>8123</v>
      </c>
      <c r="F333">
        <v>8</v>
      </c>
      <c r="G333">
        <v>6.8</v>
      </c>
      <c r="H333">
        <v>1.1764705</v>
      </c>
      <c r="I333">
        <v>-0.17647055</v>
      </c>
      <c r="J333">
        <v>0.45945944999999999</v>
      </c>
    </row>
    <row r="334" spans="1:10" x14ac:dyDescent="0.3">
      <c r="A334">
        <v>332</v>
      </c>
      <c r="B334">
        <v>5314</v>
      </c>
      <c r="C334" t="b">
        <v>1</v>
      </c>
      <c r="D334">
        <v>8048</v>
      </c>
      <c r="E334">
        <v>8123</v>
      </c>
      <c r="F334">
        <v>8</v>
      </c>
      <c r="G334">
        <v>6.8</v>
      </c>
      <c r="H334">
        <v>1.1764705</v>
      </c>
      <c r="I334">
        <v>-0.17647055</v>
      </c>
      <c r="J334">
        <v>0.45945944999999999</v>
      </c>
    </row>
    <row r="335" spans="1:10" x14ac:dyDescent="0.3">
      <c r="A335">
        <v>333</v>
      </c>
      <c r="B335">
        <v>5330</v>
      </c>
      <c r="C335" t="b">
        <v>1</v>
      </c>
      <c r="D335">
        <v>8042</v>
      </c>
      <c r="E335">
        <v>8123</v>
      </c>
      <c r="F335">
        <v>8</v>
      </c>
      <c r="G335">
        <v>6.8</v>
      </c>
      <c r="H335">
        <v>1.1764705</v>
      </c>
      <c r="I335">
        <v>-0.17647055</v>
      </c>
      <c r="J335">
        <v>0.45945944999999999</v>
      </c>
    </row>
    <row r="336" spans="1:10" x14ac:dyDescent="0.3">
      <c r="A336">
        <v>334</v>
      </c>
      <c r="B336">
        <v>5346</v>
      </c>
      <c r="C336" t="b">
        <v>1</v>
      </c>
      <c r="D336">
        <v>8054</v>
      </c>
      <c r="E336">
        <v>8129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5362</v>
      </c>
      <c r="C337" t="b">
        <v>1</v>
      </c>
      <c r="D337">
        <v>8054</v>
      </c>
      <c r="E337">
        <v>8123</v>
      </c>
      <c r="F337">
        <v>8</v>
      </c>
      <c r="G337">
        <v>6.8</v>
      </c>
      <c r="H337">
        <v>1.1764705</v>
      </c>
      <c r="I337">
        <v>-0.17647055</v>
      </c>
      <c r="J337">
        <v>0.45945944999999999</v>
      </c>
    </row>
    <row r="338" spans="1:10" x14ac:dyDescent="0.3">
      <c r="A338">
        <v>336</v>
      </c>
      <c r="B338">
        <v>5378</v>
      </c>
      <c r="C338" t="b">
        <v>1</v>
      </c>
      <c r="D338">
        <v>8060</v>
      </c>
      <c r="E338">
        <v>8134</v>
      </c>
      <c r="F338">
        <v>8.4</v>
      </c>
      <c r="G338">
        <v>6.8</v>
      </c>
      <c r="H338">
        <v>1.2352939999999999</v>
      </c>
      <c r="I338">
        <v>-0.23529402999999999</v>
      </c>
      <c r="J338">
        <v>0.44736843999999998</v>
      </c>
    </row>
    <row r="339" spans="1:10" x14ac:dyDescent="0.3">
      <c r="A339">
        <v>337</v>
      </c>
      <c r="B339">
        <v>5393</v>
      </c>
      <c r="C339" t="b">
        <v>1</v>
      </c>
      <c r="D339">
        <v>8060</v>
      </c>
      <c r="E339">
        <v>8123</v>
      </c>
      <c r="F339">
        <v>8.8000000000000007</v>
      </c>
      <c r="G339">
        <v>6.8</v>
      </c>
      <c r="H339">
        <v>1.2941176999999999</v>
      </c>
      <c r="I339">
        <v>-0.29411763000000002</v>
      </c>
      <c r="J339">
        <v>0.43589744000000002</v>
      </c>
    </row>
    <row r="340" spans="1:10" x14ac:dyDescent="0.3">
      <c r="A340">
        <v>338</v>
      </c>
      <c r="B340">
        <v>5409</v>
      </c>
      <c r="C340" t="b">
        <v>1</v>
      </c>
      <c r="D340">
        <v>8054</v>
      </c>
      <c r="E340">
        <v>8129</v>
      </c>
      <c r="F340">
        <v>9.1999999999999993</v>
      </c>
      <c r="G340">
        <v>7.2</v>
      </c>
      <c r="H340">
        <v>1.2777778</v>
      </c>
      <c r="I340">
        <v>-0.27777780000000002</v>
      </c>
      <c r="J340">
        <v>0.43902439999999998</v>
      </c>
    </row>
    <row r="341" spans="1:10" x14ac:dyDescent="0.3">
      <c r="A341">
        <v>339</v>
      </c>
      <c r="B341">
        <v>5425</v>
      </c>
      <c r="C341" t="b">
        <v>1</v>
      </c>
      <c r="D341">
        <v>8054</v>
      </c>
      <c r="E341">
        <v>8123</v>
      </c>
      <c r="F341">
        <v>9.6</v>
      </c>
      <c r="G341">
        <v>7.2</v>
      </c>
      <c r="H341">
        <v>1.3333333999999999</v>
      </c>
      <c r="I341">
        <v>-0.33333342999999999</v>
      </c>
      <c r="J341">
        <v>0.42857142999999998</v>
      </c>
    </row>
    <row r="342" spans="1:10" x14ac:dyDescent="0.3">
      <c r="A342">
        <v>340</v>
      </c>
      <c r="B342">
        <v>5441</v>
      </c>
      <c r="C342" t="b">
        <v>1</v>
      </c>
      <c r="D342">
        <v>8054</v>
      </c>
      <c r="E342">
        <v>8123</v>
      </c>
      <c r="F342">
        <v>10</v>
      </c>
      <c r="G342">
        <v>7.2</v>
      </c>
      <c r="H342">
        <v>1.388889</v>
      </c>
      <c r="I342">
        <v>-0.38888893000000002</v>
      </c>
      <c r="J342">
        <v>0.41860459999999999</v>
      </c>
    </row>
    <row r="343" spans="1:10" x14ac:dyDescent="0.3">
      <c r="A343">
        <v>341</v>
      </c>
      <c r="B343">
        <v>5457</v>
      </c>
      <c r="C343" t="b">
        <v>1</v>
      </c>
      <c r="D343">
        <v>8042</v>
      </c>
      <c r="E343">
        <v>8123</v>
      </c>
      <c r="F343">
        <v>10.4</v>
      </c>
      <c r="G343">
        <v>7.6</v>
      </c>
      <c r="H343">
        <v>1.3684210999999999</v>
      </c>
      <c r="I343">
        <v>-0.36842101999999999</v>
      </c>
      <c r="J343">
        <v>0.42222222999999998</v>
      </c>
    </row>
    <row r="344" spans="1:10" x14ac:dyDescent="0.3">
      <c r="A344">
        <v>342</v>
      </c>
      <c r="B344">
        <v>5473</v>
      </c>
      <c r="C344" t="b">
        <v>1</v>
      </c>
      <c r="D344">
        <v>8042</v>
      </c>
      <c r="E344">
        <v>8123</v>
      </c>
      <c r="F344">
        <v>10.8</v>
      </c>
      <c r="G344">
        <v>8</v>
      </c>
      <c r="H344">
        <v>1.35</v>
      </c>
      <c r="I344">
        <v>-0.35000002000000002</v>
      </c>
      <c r="J344">
        <v>0.42553192000000001</v>
      </c>
    </row>
    <row r="345" spans="1:10" x14ac:dyDescent="0.3">
      <c r="A345">
        <v>343</v>
      </c>
      <c r="B345">
        <v>5489</v>
      </c>
      <c r="C345" t="b">
        <v>1</v>
      </c>
      <c r="D345">
        <v>8042</v>
      </c>
      <c r="E345">
        <v>8123</v>
      </c>
      <c r="F345">
        <v>10.4</v>
      </c>
      <c r="G345">
        <v>8.4</v>
      </c>
      <c r="H345">
        <v>1.2380952999999999</v>
      </c>
      <c r="I345">
        <v>-0.23809525000000001</v>
      </c>
      <c r="J345">
        <v>0.44680851999999999</v>
      </c>
    </row>
    <row r="346" spans="1:10" x14ac:dyDescent="0.3">
      <c r="A346">
        <v>344</v>
      </c>
      <c r="B346">
        <v>5505</v>
      </c>
      <c r="C346" t="b">
        <v>1</v>
      </c>
      <c r="D346">
        <v>8037</v>
      </c>
      <c r="E346">
        <v>8129</v>
      </c>
      <c r="F346">
        <v>10</v>
      </c>
      <c r="G346">
        <v>8.4</v>
      </c>
      <c r="H346">
        <v>1.1904763</v>
      </c>
      <c r="I346">
        <v>-0.19047623999999999</v>
      </c>
      <c r="J346">
        <v>0.45652172000000002</v>
      </c>
    </row>
    <row r="347" spans="1:10" x14ac:dyDescent="0.3">
      <c r="A347">
        <v>345</v>
      </c>
      <c r="B347">
        <v>5521</v>
      </c>
      <c r="C347" t="b">
        <v>1</v>
      </c>
      <c r="D347">
        <v>8042</v>
      </c>
      <c r="E347">
        <v>8123</v>
      </c>
      <c r="F347">
        <v>9.6</v>
      </c>
      <c r="G347">
        <v>8.4</v>
      </c>
      <c r="H347">
        <v>1.1428571999999999</v>
      </c>
      <c r="I347">
        <v>-0.14285724</v>
      </c>
      <c r="J347">
        <v>0.46666664000000002</v>
      </c>
    </row>
    <row r="348" spans="1:10" x14ac:dyDescent="0.3">
      <c r="A348">
        <v>346</v>
      </c>
      <c r="B348">
        <v>5537</v>
      </c>
      <c r="C348" t="b">
        <v>1</v>
      </c>
      <c r="D348">
        <v>8042</v>
      </c>
      <c r="E348">
        <v>8117</v>
      </c>
      <c r="F348">
        <v>9.1999999999999993</v>
      </c>
      <c r="G348">
        <v>8.4</v>
      </c>
      <c r="H348">
        <v>1.0952381</v>
      </c>
      <c r="I348">
        <v>-9.5238119999999996E-2</v>
      </c>
      <c r="J348">
        <v>0.47727275000000002</v>
      </c>
    </row>
    <row r="349" spans="1:10" x14ac:dyDescent="0.3">
      <c r="A349">
        <v>347</v>
      </c>
      <c r="B349">
        <v>5552</v>
      </c>
      <c r="C349" t="b">
        <v>1</v>
      </c>
      <c r="D349">
        <v>8048</v>
      </c>
      <c r="E349">
        <v>8123</v>
      </c>
      <c r="F349">
        <v>8.8000000000000007</v>
      </c>
      <c r="G349">
        <v>8.4</v>
      </c>
      <c r="H349">
        <v>1.0476190999999999</v>
      </c>
      <c r="I349">
        <v>-4.7619120000000001E-2</v>
      </c>
      <c r="J349">
        <v>0.48837206</v>
      </c>
    </row>
    <row r="350" spans="1:10" x14ac:dyDescent="0.3">
      <c r="A350">
        <v>348</v>
      </c>
      <c r="B350">
        <v>5568</v>
      </c>
      <c r="C350" t="b">
        <v>1</v>
      </c>
      <c r="D350">
        <v>8048</v>
      </c>
      <c r="E350">
        <v>8123</v>
      </c>
      <c r="F350">
        <v>8.4</v>
      </c>
      <c r="G350">
        <v>8.4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5584</v>
      </c>
      <c r="C351" t="b">
        <v>1</v>
      </c>
      <c r="D351">
        <v>8054</v>
      </c>
      <c r="E351">
        <v>8123</v>
      </c>
      <c r="F351">
        <v>8.4</v>
      </c>
      <c r="G351">
        <v>8.4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5600</v>
      </c>
      <c r="C352" t="b">
        <v>1</v>
      </c>
      <c r="D352">
        <v>8048</v>
      </c>
      <c r="E352">
        <v>8123</v>
      </c>
      <c r="F352">
        <v>8.4</v>
      </c>
      <c r="G352">
        <v>8.4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5615</v>
      </c>
      <c r="C353" t="b">
        <v>1</v>
      </c>
      <c r="D353">
        <v>8048</v>
      </c>
      <c r="E353">
        <v>8129</v>
      </c>
      <c r="F353">
        <v>8</v>
      </c>
      <c r="G353">
        <v>8.4</v>
      </c>
      <c r="H353">
        <v>0.95238100000000003</v>
      </c>
      <c r="I353">
        <v>4.7619003999999999E-2</v>
      </c>
      <c r="J353">
        <v>0.51219510000000001</v>
      </c>
    </row>
    <row r="354" spans="1:10" x14ac:dyDescent="0.3">
      <c r="A354">
        <v>352</v>
      </c>
      <c r="B354">
        <v>5631</v>
      </c>
      <c r="C354" t="b">
        <v>1</v>
      </c>
      <c r="D354">
        <v>8048</v>
      </c>
      <c r="E354">
        <v>8129</v>
      </c>
      <c r="F354">
        <v>7.6</v>
      </c>
      <c r="G354">
        <v>8.4</v>
      </c>
      <c r="H354">
        <v>0.90476190000000001</v>
      </c>
      <c r="I354">
        <v>9.5238069999999994E-2</v>
      </c>
      <c r="J354">
        <v>0.52500000000000002</v>
      </c>
    </row>
    <row r="355" spans="1:10" x14ac:dyDescent="0.3">
      <c r="A355">
        <v>353</v>
      </c>
      <c r="B355">
        <v>5647</v>
      </c>
      <c r="C355" t="b">
        <v>1</v>
      </c>
      <c r="D355">
        <v>8048</v>
      </c>
      <c r="E355">
        <v>8123</v>
      </c>
      <c r="F355">
        <v>7.2</v>
      </c>
      <c r="G355">
        <v>8</v>
      </c>
      <c r="H355">
        <v>0.9</v>
      </c>
      <c r="I355">
        <v>0.10000002400000001</v>
      </c>
      <c r="J355">
        <v>0.5263158</v>
      </c>
    </row>
    <row r="356" spans="1:10" x14ac:dyDescent="0.3">
      <c r="A356">
        <v>354</v>
      </c>
      <c r="B356">
        <v>5663</v>
      </c>
      <c r="C356" t="b">
        <v>1</v>
      </c>
      <c r="D356">
        <v>8048</v>
      </c>
      <c r="E356">
        <v>8123</v>
      </c>
      <c r="F356">
        <v>6.8</v>
      </c>
      <c r="G356">
        <v>8</v>
      </c>
      <c r="H356">
        <v>0.85</v>
      </c>
      <c r="I356">
        <v>0.14999998</v>
      </c>
      <c r="J356">
        <v>0.54054049999999998</v>
      </c>
    </row>
    <row r="357" spans="1:10" x14ac:dyDescent="0.3">
      <c r="A357">
        <v>355</v>
      </c>
      <c r="B357">
        <v>5679</v>
      </c>
      <c r="C357" t="b">
        <v>1</v>
      </c>
      <c r="D357">
        <v>8048</v>
      </c>
      <c r="E357">
        <v>8134</v>
      </c>
      <c r="F357">
        <v>6.4</v>
      </c>
      <c r="G357">
        <v>8.4</v>
      </c>
      <c r="H357">
        <v>0.76190484000000003</v>
      </c>
      <c r="I357">
        <v>0.23809520000000001</v>
      </c>
      <c r="J357">
        <v>0.56756759999999995</v>
      </c>
    </row>
    <row r="358" spans="1:10" x14ac:dyDescent="0.3">
      <c r="A358">
        <v>356</v>
      </c>
      <c r="B358">
        <v>5695</v>
      </c>
      <c r="C358" t="b">
        <v>1</v>
      </c>
      <c r="D358">
        <v>8048</v>
      </c>
      <c r="E358">
        <v>8123</v>
      </c>
      <c r="F358">
        <v>6</v>
      </c>
      <c r="G358">
        <v>8.4</v>
      </c>
      <c r="H358">
        <v>0.71428572999999995</v>
      </c>
      <c r="I358">
        <v>0.28571424000000001</v>
      </c>
      <c r="J358">
        <v>0.58333330000000005</v>
      </c>
    </row>
    <row r="359" spans="1:10" x14ac:dyDescent="0.3">
      <c r="A359">
        <v>357</v>
      </c>
      <c r="B359">
        <v>5711</v>
      </c>
      <c r="C359" t="b">
        <v>1</v>
      </c>
      <c r="D359">
        <v>8048</v>
      </c>
      <c r="E359">
        <v>8123</v>
      </c>
      <c r="F359">
        <v>5.6</v>
      </c>
      <c r="G359">
        <v>8.4</v>
      </c>
      <c r="H359">
        <v>0.66666669999999995</v>
      </c>
      <c r="I359">
        <v>0.3333333</v>
      </c>
      <c r="J359">
        <v>0.59999996</v>
      </c>
    </row>
    <row r="360" spans="1:10" x14ac:dyDescent="0.3">
      <c r="A360">
        <v>358</v>
      </c>
      <c r="B360">
        <v>5727</v>
      </c>
      <c r="C360" t="b">
        <v>1</v>
      </c>
      <c r="D360">
        <v>8048</v>
      </c>
      <c r="E360">
        <v>8123</v>
      </c>
      <c r="F360">
        <v>6</v>
      </c>
      <c r="G360">
        <v>8.4</v>
      </c>
      <c r="H360">
        <v>0.71428572999999995</v>
      </c>
      <c r="I360">
        <v>0.28571424000000001</v>
      </c>
      <c r="J360">
        <v>0.58333330000000005</v>
      </c>
    </row>
    <row r="361" spans="1:10" x14ac:dyDescent="0.3">
      <c r="A361">
        <v>359</v>
      </c>
      <c r="B361">
        <v>5743</v>
      </c>
      <c r="C361" t="b">
        <v>1</v>
      </c>
      <c r="D361">
        <v>8048</v>
      </c>
      <c r="E361">
        <v>8129</v>
      </c>
      <c r="F361">
        <v>6.4</v>
      </c>
      <c r="G361">
        <v>8.4</v>
      </c>
      <c r="H361">
        <v>0.76190484000000003</v>
      </c>
      <c r="I361">
        <v>0.23809520000000001</v>
      </c>
      <c r="J361">
        <v>0.56756759999999995</v>
      </c>
    </row>
    <row r="362" spans="1:10" x14ac:dyDescent="0.3">
      <c r="A362">
        <v>360</v>
      </c>
      <c r="B362">
        <v>5759</v>
      </c>
      <c r="C362" t="b">
        <v>1</v>
      </c>
      <c r="D362">
        <v>8048</v>
      </c>
      <c r="E362">
        <v>8129</v>
      </c>
      <c r="F362">
        <v>6.8</v>
      </c>
      <c r="G362">
        <v>8.4</v>
      </c>
      <c r="H362">
        <v>0.80952389999999996</v>
      </c>
      <c r="I362">
        <v>0.19047612999999999</v>
      </c>
      <c r="J362">
        <v>0.55263156000000002</v>
      </c>
    </row>
    <row r="363" spans="1:10" x14ac:dyDescent="0.3">
      <c r="A363">
        <v>361</v>
      </c>
      <c r="B363">
        <v>5775</v>
      </c>
      <c r="C363" t="b">
        <v>1</v>
      </c>
      <c r="D363">
        <v>8048</v>
      </c>
      <c r="E363">
        <v>8123</v>
      </c>
      <c r="F363">
        <v>7.2</v>
      </c>
      <c r="G363">
        <v>8.4</v>
      </c>
      <c r="H363">
        <v>0.85714287</v>
      </c>
      <c r="I363">
        <v>0.14285712</v>
      </c>
      <c r="J363">
        <v>0.53846150000000004</v>
      </c>
    </row>
    <row r="364" spans="1:10" x14ac:dyDescent="0.3">
      <c r="A364">
        <v>362</v>
      </c>
      <c r="B364">
        <v>5791</v>
      </c>
      <c r="C364" t="b">
        <v>1</v>
      </c>
      <c r="D364">
        <v>8048</v>
      </c>
      <c r="E364">
        <v>8129</v>
      </c>
      <c r="F364">
        <v>7.6</v>
      </c>
      <c r="G364">
        <v>8.8000000000000007</v>
      </c>
      <c r="H364">
        <v>0.86363630000000002</v>
      </c>
      <c r="I364">
        <v>0.13636366999999999</v>
      </c>
      <c r="J364">
        <v>0.53658539999999999</v>
      </c>
    </row>
    <row r="365" spans="1:10" x14ac:dyDescent="0.3">
      <c r="A365">
        <v>363</v>
      </c>
      <c r="B365">
        <v>5806</v>
      </c>
      <c r="C365" t="b">
        <v>1</v>
      </c>
      <c r="D365">
        <v>8048</v>
      </c>
      <c r="E365">
        <v>8129</v>
      </c>
      <c r="F365">
        <v>8</v>
      </c>
      <c r="G365">
        <v>9.1999999999999993</v>
      </c>
      <c r="H365">
        <v>0.86956524999999996</v>
      </c>
      <c r="I365">
        <v>0.13043477000000001</v>
      </c>
      <c r="J365">
        <v>0.53488369999999996</v>
      </c>
    </row>
    <row r="366" spans="1:10" x14ac:dyDescent="0.3">
      <c r="A366">
        <v>364</v>
      </c>
      <c r="B366">
        <v>5821</v>
      </c>
      <c r="C366" t="b">
        <v>1</v>
      </c>
      <c r="D366">
        <v>8048</v>
      </c>
      <c r="E366">
        <v>8123</v>
      </c>
      <c r="F366">
        <v>8</v>
      </c>
      <c r="G366">
        <v>9.6</v>
      </c>
      <c r="H366">
        <v>0.83333330000000005</v>
      </c>
      <c r="I366">
        <v>0.1666667</v>
      </c>
      <c r="J366">
        <v>0.54545456000000003</v>
      </c>
    </row>
    <row r="367" spans="1:10" x14ac:dyDescent="0.3">
      <c r="A367">
        <v>365</v>
      </c>
      <c r="B367">
        <v>5837</v>
      </c>
      <c r="C367" t="b">
        <v>1</v>
      </c>
      <c r="D367">
        <v>8048</v>
      </c>
      <c r="E367">
        <v>8129</v>
      </c>
      <c r="F367">
        <v>8</v>
      </c>
      <c r="G367">
        <v>10</v>
      </c>
      <c r="H367">
        <v>0.8</v>
      </c>
      <c r="I367">
        <v>0.2</v>
      </c>
      <c r="J367">
        <v>0.55555560000000004</v>
      </c>
    </row>
    <row r="368" spans="1:10" x14ac:dyDescent="0.3">
      <c r="A368">
        <v>366</v>
      </c>
      <c r="B368">
        <v>5853</v>
      </c>
      <c r="C368" t="b">
        <v>1</v>
      </c>
      <c r="D368">
        <v>8054</v>
      </c>
      <c r="E368">
        <v>8123</v>
      </c>
      <c r="F368">
        <v>8</v>
      </c>
      <c r="G368">
        <v>10.4</v>
      </c>
      <c r="H368">
        <v>0.76923079999999999</v>
      </c>
      <c r="I368">
        <v>0.23076920000000001</v>
      </c>
      <c r="J368">
        <v>0.56521739999999998</v>
      </c>
    </row>
    <row r="369" spans="1:10" x14ac:dyDescent="0.3">
      <c r="A369">
        <v>367</v>
      </c>
      <c r="B369">
        <v>5868</v>
      </c>
      <c r="C369" t="b">
        <v>1</v>
      </c>
      <c r="D369">
        <v>8048</v>
      </c>
      <c r="E369">
        <v>8123</v>
      </c>
      <c r="F369">
        <v>8</v>
      </c>
      <c r="G369">
        <v>10.4</v>
      </c>
      <c r="H369">
        <v>0.76923079999999999</v>
      </c>
      <c r="I369">
        <v>0.23076920000000001</v>
      </c>
      <c r="J369">
        <v>0.56521739999999998</v>
      </c>
    </row>
    <row r="370" spans="1:10" x14ac:dyDescent="0.3">
      <c r="A370">
        <v>368</v>
      </c>
      <c r="B370">
        <v>5884</v>
      </c>
      <c r="C370" t="b">
        <v>1</v>
      </c>
      <c r="D370">
        <v>8048</v>
      </c>
      <c r="E370">
        <v>8123</v>
      </c>
      <c r="F370">
        <v>8</v>
      </c>
      <c r="G370">
        <v>10.4</v>
      </c>
      <c r="H370">
        <v>0.76923079999999999</v>
      </c>
      <c r="I370">
        <v>0.23076920000000001</v>
      </c>
      <c r="J370">
        <v>0.56521739999999998</v>
      </c>
    </row>
    <row r="371" spans="1:10" x14ac:dyDescent="0.3">
      <c r="A371">
        <v>369</v>
      </c>
      <c r="B371">
        <v>5901</v>
      </c>
      <c r="C371" t="b">
        <v>1</v>
      </c>
      <c r="D371">
        <v>8048</v>
      </c>
      <c r="E371">
        <v>8129</v>
      </c>
      <c r="F371">
        <v>8</v>
      </c>
      <c r="G371">
        <v>10.4</v>
      </c>
      <c r="H371">
        <v>0.76923079999999999</v>
      </c>
      <c r="I371">
        <v>0.23076920000000001</v>
      </c>
      <c r="J371">
        <v>0.56521739999999998</v>
      </c>
    </row>
    <row r="372" spans="1:10" x14ac:dyDescent="0.3">
      <c r="A372">
        <v>370</v>
      </c>
      <c r="B372">
        <v>5916</v>
      </c>
      <c r="C372" t="b">
        <v>1</v>
      </c>
      <c r="D372">
        <v>8048</v>
      </c>
      <c r="E372">
        <v>8123</v>
      </c>
      <c r="F372">
        <v>8</v>
      </c>
      <c r="G372">
        <v>10</v>
      </c>
      <c r="H372">
        <v>0.8</v>
      </c>
      <c r="I372">
        <v>0.2</v>
      </c>
      <c r="J372">
        <v>0.55555560000000004</v>
      </c>
    </row>
    <row r="373" spans="1:10" x14ac:dyDescent="0.3">
      <c r="A373">
        <v>371</v>
      </c>
      <c r="B373">
        <v>5932</v>
      </c>
      <c r="C373" t="b">
        <v>1</v>
      </c>
      <c r="D373">
        <v>8048</v>
      </c>
      <c r="E373">
        <v>8123</v>
      </c>
      <c r="F373">
        <v>8</v>
      </c>
      <c r="G373">
        <v>10</v>
      </c>
      <c r="H373">
        <v>0.8</v>
      </c>
      <c r="I373">
        <v>0.2</v>
      </c>
      <c r="J373">
        <v>0.55555560000000004</v>
      </c>
    </row>
    <row r="374" spans="1:10" x14ac:dyDescent="0.3">
      <c r="A374">
        <v>372</v>
      </c>
      <c r="B374">
        <v>5948</v>
      </c>
      <c r="C374" t="b">
        <v>1</v>
      </c>
      <c r="D374">
        <v>8048</v>
      </c>
      <c r="E374">
        <v>8123</v>
      </c>
      <c r="F374">
        <v>8</v>
      </c>
      <c r="G374">
        <v>10</v>
      </c>
      <c r="H374">
        <v>0.8</v>
      </c>
      <c r="I374">
        <v>0.2</v>
      </c>
      <c r="J374">
        <v>0.55555560000000004</v>
      </c>
    </row>
    <row r="375" spans="1:10" x14ac:dyDescent="0.3">
      <c r="A375">
        <v>373</v>
      </c>
      <c r="B375">
        <v>5963</v>
      </c>
      <c r="C375" t="b">
        <v>1</v>
      </c>
      <c r="D375">
        <v>8048</v>
      </c>
      <c r="E375">
        <v>8123</v>
      </c>
      <c r="F375">
        <v>8</v>
      </c>
      <c r="G375">
        <v>10</v>
      </c>
      <c r="H375">
        <v>0.8</v>
      </c>
      <c r="I375">
        <v>0.2</v>
      </c>
      <c r="J375">
        <v>0.55555560000000004</v>
      </c>
    </row>
    <row r="376" spans="1:10" x14ac:dyDescent="0.3">
      <c r="A376">
        <v>374</v>
      </c>
      <c r="B376">
        <v>5979</v>
      </c>
      <c r="C376" t="b">
        <v>1</v>
      </c>
      <c r="D376">
        <v>8048</v>
      </c>
      <c r="E376">
        <v>8123</v>
      </c>
      <c r="F376">
        <v>8</v>
      </c>
      <c r="G376">
        <v>10</v>
      </c>
      <c r="H376">
        <v>0.8</v>
      </c>
      <c r="I376">
        <v>0.2</v>
      </c>
      <c r="J376">
        <v>0.55555560000000004</v>
      </c>
    </row>
    <row r="377" spans="1:10" x14ac:dyDescent="0.3">
      <c r="A377">
        <v>375</v>
      </c>
      <c r="B377">
        <v>5995</v>
      </c>
      <c r="C377" t="b">
        <v>1</v>
      </c>
      <c r="D377">
        <v>8048</v>
      </c>
      <c r="E377">
        <v>8123</v>
      </c>
      <c r="F377">
        <v>8</v>
      </c>
      <c r="G377">
        <v>10</v>
      </c>
      <c r="H377">
        <v>0.8</v>
      </c>
      <c r="I377">
        <v>0.2</v>
      </c>
      <c r="J377">
        <v>0.55555560000000004</v>
      </c>
    </row>
    <row r="378" spans="1:10" x14ac:dyDescent="0.3">
      <c r="A378">
        <v>376</v>
      </c>
      <c r="B378">
        <v>6011</v>
      </c>
      <c r="C378" t="b">
        <v>1</v>
      </c>
      <c r="D378">
        <v>8048</v>
      </c>
      <c r="E378">
        <v>8123</v>
      </c>
      <c r="F378">
        <v>8</v>
      </c>
      <c r="G378">
        <v>10</v>
      </c>
      <c r="H378">
        <v>0.8</v>
      </c>
      <c r="I378">
        <v>0.2</v>
      </c>
      <c r="J378">
        <v>0.55555560000000004</v>
      </c>
    </row>
    <row r="379" spans="1:10" x14ac:dyDescent="0.3">
      <c r="A379">
        <v>377</v>
      </c>
      <c r="B379">
        <v>6027</v>
      </c>
      <c r="C379" t="b">
        <v>1</v>
      </c>
      <c r="D379">
        <v>8048</v>
      </c>
      <c r="E379">
        <v>8123</v>
      </c>
      <c r="F379">
        <v>8</v>
      </c>
      <c r="G379">
        <v>9.6</v>
      </c>
      <c r="H379">
        <v>0.83333330000000005</v>
      </c>
      <c r="I379">
        <v>0.1666667</v>
      </c>
      <c r="J379">
        <v>0.54545456000000003</v>
      </c>
    </row>
    <row r="380" spans="1:10" x14ac:dyDescent="0.3">
      <c r="A380">
        <v>378</v>
      </c>
      <c r="B380">
        <v>6043</v>
      </c>
      <c r="C380" t="b">
        <v>1</v>
      </c>
      <c r="D380">
        <v>8048</v>
      </c>
      <c r="E380">
        <v>8123</v>
      </c>
      <c r="F380">
        <v>8</v>
      </c>
      <c r="G380">
        <v>9.1999999999999993</v>
      </c>
      <c r="H380">
        <v>0.86956524999999996</v>
      </c>
      <c r="I380">
        <v>0.13043477000000001</v>
      </c>
      <c r="J380">
        <v>0.53488369999999996</v>
      </c>
    </row>
    <row r="381" spans="1:10" x14ac:dyDescent="0.3">
      <c r="A381">
        <v>379</v>
      </c>
      <c r="B381">
        <v>6059</v>
      </c>
      <c r="C381" t="b">
        <v>1</v>
      </c>
      <c r="D381">
        <v>8048</v>
      </c>
      <c r="E381">
        <v>8123</v>
      </c>
      <c r="F381">
        <v>8</v>
      </c>
      <c r="G381">
        <v>8.8000000000000007</v>
      </c>
      <c r="H381">
        <v>0.90909090000000004</v>
      </c>
      <c r="I381">
        <v>9.0909110000000001E-2</v>
      </c>
      <c r="J381">
        <v>0.52380954999999996</v>
      </c>
    </row>
    <row r="382" spans="1:10" x14ac:dyDescent="0.3">
      <c r="A382">
        <v>380</v>
      </c>
      <c r="B382">
        <v>6075</v>
      </c>
      <c r="C382" t="b">
        <v>1</v>
      </c>
      <c r="D382">
        <v>8048</v>
      </c>
      <c r="E382">
        <v>8123</v>
      </c>
      <c r="F382">
        <v>8</v>
      </c>
      <c r="G382">
        <v>8.4</v>
      </c>
      <c r="H382">
        <v>0.95238100000000003</v>
      </c>
      <c r="I382">
        <v>4.7619003999999999E-2</v>
      </c>
      <c r="J382">
        <v>0.51219510000000001</v>
      </c>
    </row>
    <row r="383" spans="1:10" x14ac:dyDescent="0.3">
      <c r="A383">
        <v>381</v>
      </c>
      <c r="B383">
        <v>6090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6106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6122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6138</v>
      </c>
      <c r="C386" t="b">
        <v>1</v>
      </c>
      <c r="D386">
        <v>8048</v>
      </c>
      <c r="E386">
        <v>8129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6154</v>
      </c>
      <c r="C387" t="b">
        <v>1</v>
      </c>
      <c r="D387">
        <v>8054</v>
      </c>
      <c r="E387">
        <v>8129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6169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6185</v>
      </c>
      <c r="C389" t="b">
        <v>1</v>
      </c>
      <c r="D389">
        <v>8048</v>
      </c>
      <c r="E389">
        <v>8129</v>
      </c>
      <c r="F389">
        <v>8</v>
      </c>
      <c r="G389">
        <v>8.4</v>
      </c>
      <c r="H389">
        <v>0.95238100000000003</v>
      </c>
      <c r="I389">
        <v>4.7619003999999999E-2</v>
      </c>
      <c r="J389">
        <v>0.51219510000000001</v>
      </c>
    </row>
    <row r="390" spans="1:10" x14ac:dyDescent="0.3">
      <c r="A390">
        <v>388</v>
      </c>
      <c r="B390">
        <v>6201</v>
      </c>
      <c r="C390" t="b">
        <v>1</v>
      </c>
      <c r="D390">
        <v>8048</v>
      </c>
      <c r="E390">
        <v>8123</v>
      </c>
      <c r="F390">
        <v>8</v>
      </c>
      <c r="G390">
        <v>8.8000000000000007</v>
      </c>
      <c r="H390">
        <v>0.90909090000000004</v>
      </c>
      <c r="I390">
        <v>9.0909110000000001E-2</v>
      </c>
      <c r="J390">
        <v>0.52380954999999996</v>
      </c>
    </row>
    <row r="391" spans="1:10" x14ac:dyDescent="0.3">
      <c r="A391">
        <v>389</v>
      </c>
      <c r="B391">
        <v>6217</v>
      </c>
      <c r="C391" t="b">
        <v>1</v>
      </c>
      <c r="D391">
        <v>8048</v>
      </c>
      <c r="E391">
        <v>8117</v>
      </c>
      <c r="F391">
        <v>8</v>
      </c>
      <c r="G391">
        <v>8.8000000000000007</v>
      </c>
      <c r="H391">
        <v>0.90909090000000004</v>
      </c>
      <c r="I391">
        <v>9.0909110000000001E-2</v>
      </c>
      <c r="J391">
        <v>0.52380954999999996</v>
      </c>
    </row>
    <row r="392" spans="1:10" x14ac:dyDescent="0.3">
      <c r="A392">
        <v>390</v>
      </c>
      <c r="B392">
        <v>6233</v>
      </c>
      <c r="C392" t="b">
        <v>1</v>
      </c>
      <c r="D392">
        <v>8048</v>
      </c>
      <c r="E392">
        <v>8129</v>
      </c>
      <c r="F392">
        <v>8</v>
      </c>
      <c r="G392">
        <v>8.8000000000000007</v>
      </c>
      <c r="H392">
        <v>0.90909090000000004</v>
      </c>
      <c r="I392">
        <v>9.0909110000000001E-2</v>
      </c>
      <c r="J392">
        <v>0.52380954999999996</v>
      </c>
    </row>
    <row r="393" spans="1:10" x14ac:dyDescent="0.3">
      <c r="A393">
        <v>391</v>
      </c>
      <c r="B393">
        <v>6249</v>
      </c>
      <c r="C393" t="b">
        <v>1</v>
      </c>
      <c r="D393">
        <v>8048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6264</v>
      </c>
      <c r="C394" t="b">
        <v>1</v>
      </c>
      <c r="D394">
        <v>8042</v>
      </c>
      <c r="E394">
        <v>8129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6280</v>
      </c>
      <c r="C395" t="b">
        <v>1</v>
      </c>
      <c r="D395">
        <v>8048</v>
      </c>
      <c r="E395">
        <v>8123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6296</v>
      </c>
      <c r="C396" t="b">
        <v>1</v>
      </c>
      <c r="D396">
        <v>8048</v>
      </c>
      <c r="E396">
        <v>8123</v>
      </c>
      <c r="F396">
        <v>8</v>
      </c>
      <c r="G396">
        <v>8.8000000000000007</v>
      </c>
      <c r="H396">
        <v>0.90909090000000004</v>
      </c>
      <c r="I396">
        <v>9.0909110000000001E-2</v>
      </c>
      <c r="J396">
        <v>0.52380954999999996</v>
      </c>
    </row>
    <row r="397" spans="1:10" x14ac:dyDescent="0.3">
      <c r="A397">
        <v>395</v>
      </c>
      <c r="B397">
        <v>6312</v>
      </c>
      <c r="C397" t="b">
        <v>1</v>
      </c>
      <c r="D397">
        <v>8054</v>
      </c>
      <c r="E397">
        <v>8129</v>
      </c>
      <c r="F397">
        <v>8</v>
      </c>
      <c r="G397">
        <v>8.8000000000000007</v>
      </c>
      <c r="H397">
        <v>0.90909090000000004</v>
      </c>
      <c r="I397">
        <v>9.0909110000000001E-2</v>
      </c>
      <c r="J397">
        <v>0.52380954999999996</v>
      </c>
    </row>
    <row r="398" spans="1:10" x14ac:dyDescent="0.3">
      <c r="A398">
        <v>396</v>
      </c>
      <c r="B398">
        <v>6328</v>
      </c>
      <c r="C398" t="b">
        <v>1</v>
      </c>
      <c r="D398">
        <v>8048</v>
      </c>
      <c r="E398">
        <v>8117</v>
      </c>
      <c r="F398">
        <v>8</v>
      </c>
      <c r="G398">
        <v>8.8000000000000007</v>
      </c>
      <c r="H398">
        <v>0.90909090000000004</v>
      </c>
      <c r="I398">
        <v>9.0909110000000001E-2</v>
      </c>
      <c r="J398">
        <v>0.52380954999999996</v>
      </c>
    </row>
    <row r="399" spans="1:10" x14ac:dyDescent="0.3">
      <c r="A399">
        <v>397</v>
      </c>
      <c r="B399">
        <v>6344</v>
      </c>
      <c r="C399" t="b">
        <v>1</v>
      </c>
      <c r="D399">
        <v>8048</v>
      </c>
      <c r="E399">
        <v>8117</v>
      </c>
      <c r="F399">
        <v>8</v>
      </c>
      <c r="G399">
        <v>8.8000000000000007</v>
      </c>
      <c r="H399">
        <v>0.90909090000000004</v>
      </c>
      <c r="I399">
        <v>9.0909110000000001E-2</v>
      </c>
      <c r="J399">
        <v>0.52380954999999996</v>
      </c>
    </row>
    <row r="400" spans="1:10" x14ac:dyDescent="0.3">
      <c r="A400">
        <v>398</v>
      </c>
      <c r="B400">
        <v>6360</v>
      </c>
      <c r="C400" t="b">
        <v>1</v>
      </c>
      <c r="D400">
        <v>8048</v>
      </c>
      <c r="E400">
        <v>8117</v>
      </c>
      <c r="F400">
        <v>8</v>
      </c>
      <c r="G400">
        <v>8.4</v>
      </c>
      <c r="H400">
        <v>0.95238100000000003</v>
      </c>
      <c r="I400">
        <v>4.7619003999999999E-2</v>
      </c>
      <c r="J400">
        <v>0.51219510000000001</v>
      </c>
    </row>
    <row r="401" spans="1:10" x14ac:dyDescent="0.3">
      <c r="A401">
        <v>399</v>
      </c>
      <c r="B401">
        <v>6376</v>
      </c>
      <c r="C401" t="b">
        <v>1</v>
      </c>
      <c r="D401">
        <v>8048</v>
      </c>
      <c r="E401">
        <v>8111</v>
      </c>
      <c r="F401">
        <v>8</v>
      </c>
      <c r="G401">
        <v>8</v>
      </c>
      <c r="H401">
        <v>1</v>
      </c>
      <c r="I401">
        <v>0</v>
      </c>
      <c r="J401">
        <v>0.5</v>
      </c>
    </row>
    <row r="402" spans="1:10" x14ac:dyDescent="0.3">
      <c r="A402">
        <v>400</v>
      </c>
      <c r="B402">
        <v>6392</v>
      </c>
      <c r="C402" t="b">
        <v>1</v>
      </c>
      <c r="D402">
        <v>8048</v>
      </c>
      <c r="E402">
        <v>8117</v>
      </c>
      <c r="F402">
        <v>8</v>
      </c>
      <c r="G402">
        <v>7.6</v>
      </c>
      <c r="H402">
        <v>1.0526316</v>
      </c>
      <c r="I402">
        <v>-5.2631589999999999E-2</v>
      </c>
      <c r="J402">
        <v>0.48717946000000001</v>
      </c>
    </row>
    <row r="403" spans="1:10" x14ac:dyDescent="0.3">
      <c r="A403">
        <v>401</v>
      </c>
      <c r="B403">
        <v>6408</v>
      </c>
      <c r="C403" t="b">
        <v>1</v>
      </c>
      <c r="D403">
        <v>8048</v>
      </c>
      <c r="E403">
        <v>8117</v>
      </c>
      <c r="F403">
        <v>8</v>
      </c>
      <c r="G403">
        <v>7.2</v>
      </c>
      <c r="H403">
        <v>1.1111112000000001</v>
      </c>
      <c r="I403">
        <v>-0.11111114</v>
      </c>
      <c r="J403">
        <v>0.4736842</v>
      </c>
    </row>
    <row r="404" spans="1:10" x14ac:dyDescent="0.3">
      <c r="A404">
        <v>402</v>
      </c>
      <c r="B404">
        <v>6424</v>
      </c>
      <c r="C404" t="b">
        <v>1</v>
      </c>
      <c r="D404">
        <v>8048</v>
      </c>
      <c r="E404">
        <v>8111</v>
      </c>
      <c r="F404">
        <v>8</v>
      </c>
      <c r="G404">
        <v>6.4</v>
      </c>
      <c r="H404">
        <v>1.25</v>
      </c>
      <c r="I404">
        <v>-0.24999999000000001</v>
      </c>
      <c r="J404">
        <v>0.44444447999999998</v>
      </c>
    </row>
    <row r="405" spans="1:10" x14ac:dyDescent="0.3">
      <c r="A405">
        <v>403</v>
      </c>
      <c r="B405">
        <v>6440</v>
      </c>
      <c r="C405" t="b">
        <v>1</v>
      </c>
      <c r="D405">
        <v>8048</v>
      </c>
      <c r="E405">
        <v>8129</v>
      </c>
      <c r="F405">
        <v>8</v>
      </c>
      <c r="G405">
        <v>5.6</v>
      </c>
      <c r="H405">
        <v>1.4285715000000001</v>
      </c>
      <c r="I405">
        <v>-0.42857146000000002</v>
      </c>
      <c r="J405">
        <v>0.41176467999999999</v>
      </c>
    </row>
    <row r="406" spans="1:10" x14ac:dyDescent="0.3">
      <c r="A406">
        <v>404</v>
      </c>
      <c r="B406">
        <v>6456</v>
      </c>
      <c r="C406" t="b">
        <v>1</v>
      </c>
      <c r="D406">
        <v>8042</v>
      </c>
      <c r="E406">
        <v>8123</v>
      </c>
      <c r="F406">
        <v>8</v>
      </c>
      <c r="G406">
        <v>5.2</v>
      </c>
      <c r="H406">
        <v>1.5384616</v>
      </c>
      <c r="I406">
        <v>-0.53846156999999994</v>
      </c>
      <c r="J406">
        <v>0.39393938000000001</v>
      </c>
    </row>
    <row r="407" spans="1:10" x14ac:dyDescent="0.3">
      <c r="A407">
        <v>405</v>
      </c>
      <c r="B407">
        <v>6472</v>
      </c>
      <c r="C407" t="b">
        <v>1</v>
      </c>
      <c r="D407">
        <v>8048</v>
      </c>
      <c r="E407">
        <v>8123</v>
      </c>
      <c r="F407">
        <v>8</v>
      </c>
      <c r="G407">
        <v>5.2</v>
      </c>
      <c r="H407">
        <v>1.5384616</v>
      </c>
      <c r="I407">
        <v>-0.53846156999999994</v>
      </c>
      <c r="J407">
        <v>0.39393938000000001</v>
      </c>
    </row>
    <row r="408" spans="1:10" x14ac:dyDescent="0.3">
      <c r="A408">
        <v>406</v>
      </c>
      <c r="B408">
        <v>6487</v>
      </c>
      <c r="C408" t="b">
        <v>1</v>
      </c>
      <c r="D408">
        <v>8048</v>
      </c>
      <c r="E408">
        <v>8123</v>
      </c>
      <c r="F408">
        <v>8</v>
      </c>
      <c r="G408">
        <v>5.2</v>
      </c>
      <c r="H408">
        <v>1.5384616</v>
      </c>
      <c r="I408">
        <v>-0.53846156999999994</v>
      </c>
      <c r="J408">
        <v>0.39393938000000001</v>
      </c>
    </row>
    <row r="409" spans="1:10" x14ac:dyDescent="0.3">
      <c r="A409">
        <v>407</v>
      </c>
      <c r="B409">
        <v>6503</v>
      </c>
      <c r="C409" t="b">
        <v>1</v>
      </c>
      <c r="D409">
        <v>8048</v>
      </c>
      <c r="E409">
        <v>8123</v>
      </c>
      <c r="F409">
        <v>8</v>
      </c>
      <c r="G409">
        <v>5.2</v>
      </c>
      <c r="H409">
        <v>1.5384616</v>
      </c>
      <c r="I409">
        <v>-0.53846156999999994</v>
      </c>
      <c r="J409">
        <v>0.39393938000000001</v>
      </c>
    </row>
    <row r="410" spans="1:10" x14ac:dyDescent="0.3">
      <c r="A410">
        <v>408</v>
      </c>
      <c r="B410">
        <v>6519</v>
      </c>
      <c r="C410" t="b">
        <v>1</v>
      </c>
      <c r="D410">
        <v>8048</v>
      </c>
      <c r="E410">
        <v>8123</v>
      </c>
      <c r="F410">
        <v>8</v>
      </c>
      <c r="G410">
        <v>5.2</v>
      </c>
      <c r="H410">
        <v>1.5384616</v>
      </c>
      <c r="I410">
        <v>-0.53846156999999994</v>
      </c>
      <c r="J410">
        <v>0.39393938000000001</v>
      </c>
    </row>
    <row r="411" spans="1:10" x14ac:dyDescent="0.3">
      <c r="A411">
        <v>409</v>
      </c>
      <c r="B411">
        <v>6535</v>
      </c>
      <c r="C411" t="b">
        <v>1</v>
      </c>
      <c r="D411">
        <v>8048</v>
      </c>
      <c r="E411">
        <v>8123</v>
      </c>
      <c r="F411">
        <v>8</v>
      </c>
      <c r="G411">
        <v>5.2</v>
      </c>
      <c r="H411">
        <v>1.5384616</v>
      </c>
      <c r="I411">
        <v>-0.53846156999999994</v>
      </c>
      <c r="J411">
        <v>0.39393938000000001</v>
      </c>
    </row>
    <row r="412" spans="1:10" x14ac:dyDescent="0.3">
      <c r="A412">
        <v>410</v>
      </c>
      <c r="B412">
        <v>6551</v>
      </c>
      <c r="C412" t="b">
        <v>1</v>
      </c>
      <c r="D412">
        <v>8048</v>
      </c>
      <c r="E412">
        <v>8123</v>
      </c>
      <c r="F412">
        <v>8</v>
      </c>
      <c r="G412">
        <v>5.2</v>
      </c>
      <c r="H412">
        <v>1.5384616</v>
      </c>
      <c r="I412">
        <v>-0.53846156999999994</v>
      </c>
      <c r="J412">
        <v>0.39393938000000001</v>
      </c>
    </row>
    <row r="413" spans="1:10" x14ac:dyDescent="0.3">
      <c r="A413">
        <v>411</v>
      </c>
      <c r="B413">
        <v>6566</v>
      </c>
      <c r="C413" t="b">
        <v>1</v>
      </c>
      <c r="D413">
        <v>8048</v>
      </c>
      <c r="E413">
        <v>8123</v>
      </c>
      <c r="F413">
        <v>8</v>
      </c>
      <c r="G413">
        <v>5.2</v>
      </c>
      <c r="H413">
        <v>1.5384616</v>
      </c>
      <c r="I413">
        <v>-0.53846156999999994</v>
      </c>
      <c r="J413">
        <v>0.39393938000000001</v>
      </c>
    </row>
    <row r="414" spans="1:10" x14ac:dyDescent="0.3">
      <c r="A414">
        <v>412</v>
      </c>
      <c r="B414">
        <v>6582</v>
      </c>
      <c r="C414" t="b">
        <v>1</v>
      </c>
      <c r="D414">
        <v>8048</v>
      </c>
      <c r="E414">
        <v>8123</v>
      </c>
      <c r="F414">
        <v>8</v>
      </c>
      <c r="G414">
        <v>5.2</v>
      </c>
      <c r="H414">
        <v>1.5384616</v>
      </c>
      <c r="I414">
        <v>-0.53846156999999994</v>
      </c>
      <c r="J414">
        <v>0.39393938000000001</v>
      </c>
    </row>
    <row r="415" spans="1:10" x14ac:dyDescent="0.3">
      <c r="A415">
        <v>413</v>
      </c>
      <c r="B415">
        <v>6598</v>
      </c>
      <c r="C415" t="b">
        <v>1</v>
      </c>
      <c r="D415">
        <v>8048</v>
      </c>
      <c r="E415">
        <v>8123</v>
      </c>
      <c r="F415">
        <v>8</v>
      </c>
      <c r="G415">
        <v>5.6</v>
      </c>
      <c r="H415">
        <v>1.4285715000000001</v>
      </c>
      <c r="I415">
        <v>-0.42857146000000002</v>
      </c>
      <c r="J415">
        <v>0.41176467999999999</v>
      </c>
    </row>
    <row r="416" spans="1:10" x14ac:dyDescent="0.3">
      <c r="A416">
        <v>414</v>
      </c>
      <c r="B416">
        <v>6614</v>
      </c>
      <c r="C416" t="b">
        <v>1</v>
      </c>
      <c r="D416">
        <v>8048</v>
      </c>
      <c r="E416">
        <v>8123</v>
      </c>
      <c r="F416">
        <v>8</v>
      </c>
      <c r="G416">
        <v>6</v>
      </c>
      <c r="H416">
        <v>1.3333333999999999</v>
      </c>
      <c r="I416">
        <v>-0.33333333999999998</v>
      </c>
      <c r="J416">
        <v>0.42857142999999998</v>
      </c>
    </row>
    <row r="417" spans="1:10" x14ac:dyDescent="0.3">
      <c r="A417">
        <v>415</v>
      </c>
      <c r="B417">
        <v>6629</v>
      </c>
      <c r="C417" t="b">
        <v>1</v>
      </c>
      <c r="D417">
        <v>8048</v>
      </c>
      <c r="E417">
        <v>8123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6646</v>
      </c>
      <c r="C418" t="b">
        <v>1</v>
      </c>
      <c r="D418">
        <v>8048</v>
      </c>
      <c r="E418">
        <v>8123</v>
      </c>
      <c r="F418">
        <v>8</v>
      </c>
      <c r="G418">
        <v>6.8</v>
      </c>
      <c r="H418">
        <v>1.1764705</v>
      </c>
      <c r="I418">
        <v>-0.17647055</v>
      </c>
      <c r="J418">
        <v>0.45945944999999999</v>
      </c>
    </row>
    <row r="419" spans="1:10" x14ac:dyDescent="0.3">
      <c r="A419">
        <v>417</v>
      </c>
      <c r="B419">
        <v>6661</v>
      </c>
      <c r="C419" t="b">
        <v>1</v>
      </c>
      <c r="D419">
        <v>8048</v>
      </c>
      <c r="E419">
        <v>8134</v>
      </c>
      <c r="F419">
        <v>8</v>
      </c>
      <c r="G419">
        <v>7.2</v>
      </c>
      <c r="H419">
        <v>1.1111112000000001</v>
      </c>
      <c r="I419">
        <v>-0.11111114</v>
      </c>
      <c r="J419">
        <v>0.4736842</v>
      </c>
    </row>
    <row r="420" spans="1:10" x14ac:dyDescent="0.3">
      <c r="A420">
        <v>418</v>
      </c>
      <c r="B420">
        <v>6677</v>
      </c>
      <c r="C420" t="b">
        <v>1</v>
      </c>
      <c r="D420">
        <v>8048</v>
      </c>
      <c r="E420">
        <v>8123</v>
      </c>
      <c r="F420">
        <v>8</v>
      </c>
      <c r="G420">
        <v>7.6</v>
      </c>
      <c r="H420">
        <v>1.0526316</v>
      </c>
      <c r="I420">
        <v>-5.2631589999999999E-2</v>
      </c>
      <c r="J420">
        <v>0.48717946000000001</v>
      </c>
    </row>
    <row r="421" spans="1:10" x14ac:dyDescent="0.3">
      <c r="A421">
        <v>419</v>
      </c>
      <c r="B421">
        <v>6693</v>
      </c>
      <c r="C421" t="b">
        <v>1</v>
      </c>
      <c r="D421">
        <v>8048</v>
      </c>
      <c r="E421">
        <v>8123</v>
      </c>
      <c r="F421">
        <v>8</v>
      </c>
      <c r="G421">
        <v>8</v>
      </c>
      <c r="H421">
        <v>1</v>
      </c>
      <c r="I421">
        <v>0</v>
      </c>
      <c r="J421">
        <v>0.5</v>
      </c>
    </row>
    <row r="422" spans="1:10" x14ac:dyDescent="0.3">
      <c r="A422">
        <v>420</v>
      </c>
      <c r="B422">
        <v>6709</v>
      </c>
      <c r="C422" t="b">
        <v>1</v>
      </c>
      <c r="D422">
        <v>8048</v>
      </c>
      <c r="E422">
        <v>8134</v>
      </c>
      <c r="F422">
        <v>8</v>
      </c>
      <c r="G422">
        <v>8</v>
      </c>
      <c r="H422">
        <v>1</v>
      </c>
      <c r="I422">
        <v>0</v>
      </c>
      <c r="J422">
        <v>0.5</v>
      </c>
    </row>
    <row r="423" spans="1:10" x14ac:dyDescent="0.3">
      <c r="A423">
        <v>421</v>
      </c>
      <c r="B423">
        <v>6725</v>
      </c>
      <c r="C423" t="b">
        <v>1</v>
      </c>
      <c r="D423">
        <v>8048</v>
      </c>
      <c r="E423">
        <v>8123</v>
      </c>
      <c r="F423">
        <v>8</v>
      </c>
      <c r="G423">
        <v>8</v>
      </c>
      <c r="H423">
        <v>1</v>
      </c>
      <c r="I423">
        <v>0</v>
      </c>
      <c r="J423">
        <v>0.5</v>
      </c>
    </row>
    <row r="424" spans="1:10" x14ac:dyDescent="0.3">
      <c r="A424">
        <v>422</v>
      </c>
      <c r="B424">
        <v>6741</v>
      </c>
      <c r="C424" t="b">
        <v>1</v>
      </c>
      <c r="D424">
        <v>8048</v>
      </c>
      <c r="E424">
        <v>8117</v>
      </c>
      <c r="F424">
        <v>8</v>
      </c>
      <c r="G424">
        <v>8</v>
      </c>
      <c r="H424">
        <v>1</v>
      </c>
      <c r="I424">
        <v>0</v>
      </c>
      <c r="J424">
        <v>0.5</v>
      </c>
    </row>
    <row r="425" spans="1:10" x14ac:dyDescent="0.3">
      <c r="A425">
        <v>423</v>
      </c>
      <c r="B425">
        <v>6757</v>
      </c>
      <c r="C425" t="b">
        <v>1</v>
      </c>
      <c r="D425">
        <v>8048</v>
      </c>
      <c r="E425">
        <v>8117</v>
      </c>
      <c r="F425">
        <v>8</v>
      </c>
      <c r="G425">
        <v>8</v>
      </c>
      <c r="H425">
        <v>1</v>
      </c>
      <c r="I425">
        <v>0</v>
      </c>
      <c r="J425">
        <v>0.5</v>
      </c>
    </row>
    <row r="426" spans="1:10" x14ac:dyDescent="0.3">
      <c r="A426">
        <v>424</v>
      </c>
      <c r="B426">
        <v>6773</v>
      </c>
      <c r="C426" t="b">
        <v>1</v>
      </c>
      <c r="D426">
        <v>8048</v>
      </c>
      <c r="E426">
        <v>8123</v>
      </c>
      <c r="F426">
        <v>8</v>
      </c>
      <c r="G426">
        <v>8</v>
      </c>
      <c r="H426">
        <v>1</v>
      </c>
      <c r="I426">
        <v>0</v>
      </c>
      <c r="J426">
        <v>0.5</v>
      </c>
    </row>
    <row r="427" spans="1:10" x14ac:dyDescent="0.3">
      <c r="A427">
        <v>425</v>
      </c>
      <c r="B427">
        <v>6789</v>
      </c>
      <c r="C427" t="b">
        <v>1</v>
      </c>
      <c r="D427">
        <v>8048</v>
      </c>
      <c r="E427">
        <v>8117</v>
      </c>
      <c r="F427">
        <v>8</v>
      </c>
      <c r="G427">
        <v>7.6</v>
      </c>
      <c r="H427">
        <v>1.0526316</v>
      </c>
      <c r="I427">
        <v>-5.2631589999999999E-2</v>
      </c>
      <c r="J427">
        <v>0.48717946000000001</v>
      </c>
    </row>
    <row r="428" spans="1:10" x14ac:dyDescent="0.3">
      <c r="A428">
        <v>426</v>
      </c>
      <c r="B428">
        <v>6805</v>
      </c>
      <c r="C428" t="b">
        <v>1</v>
      </c>
      <c r="D428">
        <v>8048</v>
      </c>
      <c r="E428">
        <v>8117</v>
      </c>
      <c r="F428">
        <v>8</v>
      </c>
      <c r="G428">
        <v>7.2</v>
      </c>
      <c r="H428">
        <v>1.1111112000000001</v>
      </c>
      <c r="I428">
        <v>-0.11111114</v>
      </c>
      <c r="J428">
        <v>0.4736842</v>
      </c>
    </row>
    <row r="429" spans="1:10" x14ac:dyDescent="0.3">
      <c r="A429">
        <v>427</v>
      </c>
      <c r="B429">
        <v>6821</v>
      </c>
      <c r="C429" t="b">
        <v>1</v>
      </c>
      <c r="D429">
        <v>8042</v>
      </c>
      <c r="E429">
        <v>8123</v>
      </c>
      <c r="F429">
        <v>8</v>
      </c>
      <c r="G429">
        <v>6.8</v>
      </c>
      <c r="H429">
        <v>1.1764705</v>
      </c>
      <c r="I429">
        <v>-0.17647055</v>
      </c>
      <c r="J429">
        <v>0.45945944999999999</v>
      </c>
    </row>
    <row r="430" spans="1:10" x14ac:dyDescent="0.3">
      <c r="A430">
        <v>428</v>
      </c>
      <c r="B430">
        <v>6837</v>
      </c>
      <c r="C430" t="b">
        <v>1</v>
      </c>
      <c r="D430">
        <v>8042</v>
      </c>
      <c r="E430">
        <v>8123</v>
      </c>
      <c r="F430">
        <v>8</v>
      </c>
      <c r="G430">
        <v>6.8</v>
      </c>
      <c r="H430">
        <v>1.1764705</v>
      </c>
      <c r="I430">
        <v>-0.17647055</v>
      </c>
      <c r="J430">
        <v>0.45945944999999999</v>
      </c>
    </row>
    <row r="431" spans="1:10" x14ac:dyDescent="0.3">
      <c r="A431">
        <v>429</v>
      </c>
      <c r="B431">
        <v>6853</v>
      </c>
      <c r="C431" t="b">
        <v>1</v>
      </c>
      <c r="D431">
        <v>8042</v>
      </c>
      <c r="E431">
        <v>8123</v>
      </c>
      <c r="F431">
        <v>7.6</v>
      </c>
      <c r="G431">
        <v>6.8</v>
      </c>
      <c r="H431">
        <v>1.1176470000000001</v>
      </c>
      <c r="I431">
        <v>-0.11764701499999999</v>
      </c>
      <c r="J431">
        <v>0.47222224000000002</v>
      </c>
    </row>
    <row r="432" spans="1:10" x14ac:dyDescent="0.3">
      <c r="A432">
        <v>430</v>
      </c>
      <c r="B432">
        <v>6868</v>
      </c>
      <c r="C432" t="b">
        <v>1</v>
      </c>
      <c r="D432">
        <v>8042</v>
      </c>
      <c r="E432">
        <v>8123</v>
      </c>
      <c r="F432">
        <v>7.2</v>
      </c>
      <c r="G432">
        <v>6.8</v>
      </c>
      <c r="H432">
        <v>1.0588234999999999</v>
      </c>
      <c r="I432">
        <v>-5.8823470000000003E-2</v>
      </c>
      <c r="J432">
        <v>0.48571429999999999</v>
      </c>
    </row>
    <row r="433" spans="1:10" x14ac:dyDescent="0.3">
      <c r="A433">
        <v>431</v>
      </c>
      <c r="B433">
        <v>6884</v>
      </c>
      <c r="C433" t="b">
        <v>1</v>
      </c>
      <c r="D433">
        <v>8042</v>
      </c>
      <c r="E433">
        <v>8123</v>
      </c>
      <c r="F433">
        <v>6.8</v>
      </c>
      <c r="G433">
        <v>6.8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6900</v>
      </c>
      <c r="C434" t="b">
        <v>1</v>
      </c>
      <c r="D434">
        <v>8042</v>
      </c>
      <c r="E434">
        <v>8123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6916</v>
      </c>
      <c r="C435" t="b">
        <v>1</v>
      </c>
      <c r="D435">
        <v>8042</v>
      </c>
      <c r="E435">
        <v>8123</v>
      </c>
      <c r="F435">
        <v>6</v>
      </c>
      <c r="G435">
        <v>6.8</v>
      </c>
      <c r="H435">
        <v>0.8823529</v>
      </c>
      <c r="I435">
        <v>0.11764708</v>
      </c>
      <c r="J435">
        <v>0.53125</v>
      </c>
    </row>
    <row r="436" spans="1:10" x14ac:dyDescent="0.3">
      <c r="A436">
        <v>434</v>
      </c>
      <c r="B436">
        <v>6932</v>
      </c>
      <c r="C436" t="b">
        <v>1</v>
      </c>
      <c r="D436">
        <v>8037</v>
      </c>
      <c r="E436">
        <v>8123</v>
      </c>
      <c r="F436">
        <v>5.6</v>
      </c>
      <c r="G436">
        <v>6.8</v>
      </c>
      <c r="H436">
        <v>0.82352935999999999</v>
      </c>
      <c r="I436">
        <v>0.17647061999999999</v>
      </c>
      <c r="J436">
        <v>0.54838710000000002</v>
      </c>
    </row>
    <row r="437" spans="1:10" x14ac:dyDescent="0.3">
      <c r="A437">
        <v>435</v>
      </c>
      <c r="B437">
        <v>6948</v>
      </c>
      <c r="C437" t="b">
        <v>1</v>
      </c>
      <c r="D437">
        <v>8042</v>
      </c>
      <c r="E437">
        <v>8123</v>
      </c>
      <c r="F437">
        <v>5.2</v>
      </c>
      <c r="G437">
        <v>6.8</v>
      </c>
      <c r="H437">
        <v>0.76470583999999997</v>
      </c>
      <c r="I437">
        <v>0.23529416</v>
      </c>
      <c r="J437">
        <v>0.56666665999999999</v>
      </c>
    </row>
    <row r="438" spans="1:10" x14ac:dyDescent="0.3">
      <c r="A438">
        <v>436</v>
      </c>
      <c r="B438">
        <v>6963</v>
      </c>
      <c r="C438" t="b">
        <v>1</v>
      </c>
      <c r="D438">
        <v>8048</v>
      </c>
      <c r="E438">
        <v>8134</v>
      </c>
      <c r="F438">
        <v>4.8</v>
      </c>
      <c r="G438">
        <v>6.8</v>
      </c>
      <c r="H438">
        <v>0.70588240000000002</v>
      </c>
      <c r="I438">
        <v>0.29411763000000002</v>
      </c>
      <c r="J438">
        <v>0.58620689999999998</v>
      </c>
    </row>
    <row r="439" spans="1:10" x14ac:dyDescent="0.3">
      <c r="A439">
        <v>437</v>
      </c>
      <c r="B439">
        <v>6979</v>
      </c>
      <c r="C439" t="b">
        <v>1</v>
      </c>
      <c r="D439">
        <v>8048</v>
      </c>
      <c r="E439">
        <v>8123</v>
      </c>
      <c r="F439">
        <v>4.4000000000000004</v>
      </c>
      <c r="G439">
        <v>6.8</v>
      </c>
      <c r="H439">
        <v>0.64705884000000002</v>
      </c>
      <c r="I439">
        <v>0.35294120000000001</v>
      </c>
      <c r="J439">
        <v>0.60714279999999998</v>
      </c>
    </row>
    <row r="440" spans="1:10" x14ac:dyDescent="0.3">
      <c r="A440">
        <v>438</v>
      </c>
      <c r="B440">
        <v>6995</v>
      </c>
      <c r="C440" t="b">
        <v>1</v>
      </c>
      <c r="D440">
        <v>8048</v>
      </c>
      <c r="E440">
        <v>8123</v>
      </c>
      <c r="F440">
        <v>4.4000000000000004</v>
      </c>
      <c r="G440">
        <v>6.8</v>
      </c>
      <c r="H440">
        <v>0.64705884000000002</v>
      </c>
      <c r="I440">
        <v>0.35294120000000001</v>
      </c>
      <c r="J440">
        <v>0.60714279999999998</v>
      </c>
    </row>
    <row r="441" spans="1:10" x14ac:dyDescent="0.3">
      <c r="A441">
        <v>439</v>
      </c>
      <c r="B441">
        <v>7011</v>
      </c>
      <c r="C441" t="b">
        <v>1</v>
      </c>
      <c r="D441">
        <v>8048</v>
      </c>
      <c r="E441">
        <v>8123</v>
      </c>
      <c r="F441">
        <v>4.4000000000000004</v>
      </c>
      <c r="G441">
        <v>6.8</v>
      </c>
      <c r="H441">
        <v>0.64705884000000002</v>
      </c>
      <c r="I441">
        <v>0.35294120000000001</v>
      </c>
      <c r="J441">
        <v>0.60714279999999998</v>
      </c>
    </row>
    <row r="442" spans="1:10" x14ac:dyDescent="0.3">
      <c r="A442">
        <v>440</v>
      </c>
      <c r="B442">
        <v>7026</v>
      </c>
      <c r="C442" t="b">
        <v>1</v>
      </c>
      <c r="D442">
        <v>8048</v>
      </c>
      <c r="E442">
        <v>8123</v>
      </c>
      <c r="F442">
        <v>4.4000000000000004</v>
      </c>
      <c r="G442">
        <v>7.2</v>
      </c>
      <c r="H442">
        <v>0.61111115999999999</v>
      </c>
      <c r="I442">
        <v>0.38888887</v>
      </c>
      <c r="J442">
        <v>0.62068962999999999</v>
      </c>
    </row>
    <row r="443" spans="1:10" x14ac:dyDescent="0.3">
      <c r="A443">
        <v>441</v>
      </c>
      <c r="B443">
        <v>7042</v>
      </c>
      <c r="C443" t="b">
        <v>1</v>
      </c>
      <c r="D443">
        <v>8048</v>
      </c>
      <c r="E443">
        <v>8123</v>
      </c>
      <c r="F443">
        <v>4.4000000000000004</v>
      </c>
      <c r="G443">
        <v>7.6</v>
      </c>
      <c r="H443">
        <v>0.57894736999999996</v>
      </c>
      <c r="I443">
        <v>0.4210526</v>
      </c>
      <c r="J443">
        <v>0.63333329999999999</v>
      </c>
    </row>
    <row r="444" spans="1:10" x14ac:dyDescent="0.3">
      <c r="A444">
        <v>442</v>
      </c>
      <c r="B444">
        <v>7058</v>
      </c>
      <c r="C444" t="b">
        <v>1</v>
      </c>
      <c r="D444">
        <v>8048</v>
      </c>
      <c r="E444">
        <v>8123</v>
      </c>
      <c r="F444">
        <v>4.4000000000000004</v>
      </c>
      <c r="G444">
        <v>8</v>
      </c>
      <c r="H444">
        <v>0.55000000000000004</v>
      </c>
      <c r="I444">
        <v>0.45</v>
      </c>
      <c r="J444">
        <v>0.64516132999999998</v>
      </c>
    </row>
    <row r="445" spans="1:10" x14ac:dyDescent="0.3">
      <c r="A445">
        <v>443</v>
      </c>
      <c r="B445">
        <v>7074</v>
      </c>
      <c r="C445" t="b">
        <v>1</v>
      </c>
      <c r="D445">
        <v>8048</v>
      </c>
      <c r="E445">
        <v>8129</v>
      </c>
      <c r="F445">
        <v>4.4000000000000004</v>
      </c>
      <c r="G445">
        <v>8</v>
      </c>
      <c r="H445">
        <v>0.55000000000000004</v>
      </c>
      <c r="I445">
        <v>0.45</v>
      </c>
      <c r="J445">
        <v>0.64516132999999998</v>
      </c>
    </row>
    <row r="446" spans="1:10" x14ac:dyDescent="0.3">
      <c r="A446">
        <v>444</v>
      </c>
      <c r="B446">
        <v>7090</v>
      </c>
      <c r="C446" t="b">
        <v>1</v>
      </c>
      <c r="D446">
        <v>8048</v>
      </c>
      <c r="E446">
        <v>8123</v>
      </c>
      <c r="F446">
        <v>4.8</v>
      </c>
      <c r="G446">
        <v>8</v>
      </c>
      <c r="H446">
        <v>0.6</v>
      </c>
      <c r="I446">
        <v>0.39999997999999998</v>
      </c>
      <c r="J446">
        <v>0.625</v>
      </c>
    </row>
    <row r="447" spans="1:10" x14ac:dyDescent="0.3">
      <c r="A447">
        <v>445</v>
      </c>
      <c r="B447">
        <v>7106</v>
      </c>
      <c r="C447" t="b">
        <v>1</v>
      </c>
      <c r="D447">
        <v>8048</v>
      </c>
      <c r="E447">
        <v>8129</v>
      </c>
      <c r="F447">
        <v>5.2</v>
      </c>
      <c r="G447">
        <v>8</v>
      </c>
      <c r="H447">
        <v>0.65</v>
      </c>
      <c r="I447">
        <v>0.35000002000000002</v>
      </c>
      <c r="J447">
        <v>0.60606059999999995</v>
      </c>
    </row>
    <row r="448" spans="1:10" x14ac:dyDescent="0.3">
      <c r="A448">
        <v>446</v>
      </c>
      <c r="B448">
        <v>7121</v>
      </c>
      <c r="C448" t="b">
        <v>1</v>
      </c>
      <c r="D448">
        <v>8048</v>
      </c>
      <c r="E448">
        <v>8123</v>
      </c>
      <c r="F448">
        <v>5.6</v>
      </c>
      <c r="G448">
        <v>8</v>
      </c>
      <c r="H448">
        <v>0.7</v>
      </c>
      <c r="I448">
        <v>0.3</v>
      </c>
      <c r="J448">
        <v>0.58823526000000004</v>
      </c>
    </row>
    <row r="449" spans="1:10" x14ac:dyDescent="0.3">
      <c r="A449">
        <v>447</v>
      </c>
      <c r="B449">
        <v>7138</v>
      </c>
      <c r="C449" t="b">
        <v>1</v>
      </c>
      <c r="D449">
        <v>8048</v>
      </c>
      <c r="E449">
        <v>8134</v>
      </c>
      <c r="F449">
        <v>6</v>
      </c>
      <c r="G449">
        <v>8.4</v>
      </c>
      <c r="H449">
        <v>0.71428572999999995</v>
      </c>
      <c r="I449">
        <v>0.28571424000000001</v>
      </c>
      <c r="J449">
        <v>0.58333330000000005</v>
      </c>
    </row>
    <row r="450" spans="1:10" x14ac:dyDescent="0.3">
      <c r="A450">
        <v>448</v>
      </c>
      <c r="B450">
        <v>7154</v>
      </c>
      <c r="C450" t="b">
        <v>1</v>
      </c>
      <c r="D450">
        <v>8048</v>
      </c>
      <c r="E450">
        <v>8123</v>
      </c>
      <c r="F450">
        <v>6.4</v>
      </c>
      <c r="G450">
        <v>8.4</v>
      </c>
      <c r="H450">
        <v>0.76190484000000003</v>
      </c>
      <c r="I450">
        <v>0.23809520000000001</v>
      </c>
      <c r="J450">
        <v>0.56756759999999995</v>
      </c>
    </row>
    <row r="451" spans="1:10" x14ac:dyDescent="0.3">
      <c r="A451">
        <v>449</v>
      </c>
      <c r="B451">
        <v>7170</v>
      </c>
      <c r="C451" t="b">
        <v>1</v>
      </c>
      <c r="D451">
        <v>8042</v>
      </c>
      <c r="E451">
        <v>8123</v>
      </c>
      <c r="F451">
        <v>6.8</v>
      </c>
      <c r="G451">
        <v>8.4</v>
      </c>
      <c r="H451">
        <v>0.80952389999999996</v>
      </c>
      <c r="I451">
        <v>0.19047612999999999</v>
      </c>
      <c r="J451">
        <v>0.55263156000000002</v>
      </c>
    </row>
    <row r="452" spans="1:10" x14ac:dyDescent="0.3">
      <c r="A452">
        <v>450</v>
      </c>
      <c r="B452">
        <v>7186</v>
      </c>
      <c r="C452" t="b">
        <v>1</v>
      </c>
      <c r="D452">
        <v>8042</v>
      </c>
      <c r="E452">
        <v>8129</v>
      </c>
      <c r="F452">
        <v>7.2</v>
      </c>
      <c r="G452">
        <v>8.4</v>
      </c>
      <c r="H452">
        <v>0.85714287</v>
      </c>
      <c r="I452">
        <v>0.14285712</v>
      </c>
      <c r="J452">
        <v>0.53846150000000004</v>
      </c>
    </row>
    <row r="453" spans="1:10" x14ac:dyDescent="0.3">
      <c r="A453">
        <v>451</v>
      </c>
      <c r="B453">
        <v>7202</v>
      </c>
      <c r="C453" t="b">
        <v>1</v>
      </c>
      <c r="D453">
        <v>8048</v>
      </c>
      <c r="E453">
        <v>8134</v>
      </c>
      <c r="F453">
        <v>7.6</v>
      </c>
      <c r="G453">
        <v>8.8000000000000007</v>
      </c>
      <c r="H453">
        <v>0.86363630000000002</v>
      </c>
      <c r="I453">
        <v>0.13636366999999999</v>
      </c>
      <c r="J453">
        <v>0.53658539999999999</v>
      </c>
    </row>
    <row r="454" spans="1:10" x14ac:dyDescent="0.3">
      <c r="A454">
        <v>452</v>
      </c>
      <c r="B454">
        <v>7217</v>
      </c>
      <c r="C454" t="b">
        <v>1</v>
      </c>
      <c r="D454">
        <v>8042</v>
      </c>
      <c r="E454">
        <v>8123</v>
      </c>
      <c r="F454">
        <v>7.6</v>
      </c>
      <c r="G454">
        <v>8.8000000000000007</v>
      </c>
      <c r="H454">
        <v>0.86363630000000002</v>
      </c>
      <c r="I454">
        <v>0.13636366999999999</v>
      </c>
      <c r="J454">
        <v>0.53658539999999999</v>
      </c>
    </row>
    <row r="455" spans="1:10" x14ac:dyDescent="0.3">
      <c r="A455">
        <v>453</v>
      </c>
      <c r="B455">
        <v>7232</v>
      </c>
      <c r="C455" t="b">
        <v>1</v>
      </c>
      <c r="D455">
        <v>8042</v>
      </c>
      <c r="E455">
        <v>8123</v>
      </c>
      <c r="F455">
        <v>7.2</v>
      </c>
      <c r="G455">
        <v>8.8000000000000007</v>
      </c>
      <c r="H455">
        <v>0.81818175000000004</v>
      </c>
      <c r="I455">
        <v>0.18181822</v>
      </c>
      <c r="J455">
        <v>0.55000000000000004</v>
      </c>
    </row>
    <row r="456" spans="1:10" x14ac:dyDescent="0.3">
      <c r="A456">
        <v>454</v>
      </c>
      <c r="B456">
        <v>7249</v>
      </c>
      <c r="C456" t="b">
        <v>1</v>
      </c>
      <c r="D456">
        <v>8042</v>
      </c>
      <c r="E456">
        <v>8123</v>
      </c>
      <c r="F456">
        <v>6.8</v>
      </c>
      <c r="G456">
        <v>8.8000000000000007</v>
      </c>
      <c r="H456">
        <v>0.77272724999999998</v>
      </c>
      <c r="I456">
        <v>0.22727272000000001</v>
      </c>
      <c r="J456">
        <v>0.56410260000000001</v>
      </c>
    </row>
    <row r="457" spans="1:10" x14ac:dyDescent="0.3">
      <c r="A457">
        <v>455</v>
      </c>
      <c r="B457">
        <v>7265</v>
      </c>
      <c r="C457" t="b">
        <v>1</v>
      </c>
      <c r="D457">
        <v>8048</v>
      </c>
      <c r="E457">
        <v>8123</v>
      </c>
      <c r="F457">
        <v>6.4</v>
      </c>
      <c r="G457">
        <v>8.8000000000000007</v>
      </c>
      <c r="H457">
        <v>0.72727275000000002</v>
      </c>
      <c r="I457">
        <v>0.27272728000000002</v>
      </c>
      <c r="J457">
        <v>0.57894736999999996</v>
      </c>
    </row>
    <row r="458" spans="1:10" x14ac:dyDescent="0.3">
      <c r="A458">
        <v>456</v>
      </c>
      <c r="B458">
        <v>7280</v>
      </c>
      <c r="C458" t="b">
        <v>1</v>
      </c>
      <c r="D458">
        <v>8042</v>
      </c>
      <c r="E458">
        <v>8123</v>
      </c>
      <c r="F458">
        <v>6</v>
      </c>
      <c r="G458">
        <v>8.8000000000000007</v>
      </c>
      <c r="H458">
        <v>0.68181820000000004</v>
      </c>
      <c r="I458">
        <v>0.31818183999999999</v>
      </c>
      <c r="J458">
        <v>0.59459459999999997</v>
      </c>
    </row>
    <row r="459" spans="1:10" x14ac:dyDescent="0.3">
      <c r="A459">
        <v>457</v>
      </c>
      <c r="B459">
        <v>7296</v>
      </c>
      <c r="C459" t="b">
        <v>1</v>
      </c>
      <c r="D459">
        <v>8048</v>
      </c>
      <c r="E459">
        <v>8123</v>
      </c>
      <c r="F459">
        <v>5.6</v>
      </c>
      <c r="G459">
        <v>8.8000000000000007</v>
      </c>
      <c r="H459">
        <v>0.63636360000000003</v>
      </c>
      <c r="I459">
        <v>0.36363636999999999</v>
      </c>
      <c r="J459">
        <v>0.61111115999999999</v>
      </c>
    </row>
    <row r="460" spans="1:10" x14ac:dyDescent="0.3">
      <c r="A460">
        <v>458</v>
      </c>
      <c r="B460">
        <v>7312</v>
      </c>
      <c r="C460" t="b">
        <v>1</v>
      </c>
      <c r="D460">
        <v>8048</v>
      </c>
      <c r="E460">
        <v>8129</v>
      </c>
      <c r="F460">
        <v>5.6</v>
      </c>
      <c r="G460">
        <v>8.8000000000000007</v>
      </c>
      <c r="H460">
        <v>0.63636360000000003</v>
      </c>
      <c r="I460">
        <v>0.36363636999999999</v>
      </c>
      <c r="J460">
        <v>0.61111115999999999</v>
      </c>
    </row>
    <row r="461" spans="1:10" x14ac:dyDescent="0.3">
      <c r="A461">
        <v>459</v>
      </c>
      <c r="B461">
        <v>7328</v>
      </c>
      <c r="C461" t="b">
        <v>1</v>
      </c>
      <c r="D461">
        <v>8048</v>
      </c>
      <c r="E461">
        <v>8129</v>
      </c>
      <c r="F461">
        <v>5.6</v>
      </c>
      <c r="G461">
        <v>8.8000000000000007</v>
      </c>
      <c r="H461">
        <v>0.63636360000000003</v>
      </c>
      <c r="I461">
        <v>0.36363636999999999</v>
      </c>
      <c r="J461">
        <v>0.61111115999999999</v>
      </c>
    </row>
    <row r="462" spans="1:10" x14ac:dyDescent="0.3">
      <c r="A462">
        <v>460</v>
      </c>
      <c r="B462">
        <v>7344</v>
      </c>
      <c r="C462" t="b">
        <v>1</v>
      </c>
      <c r="D462">
        <v>8048</v>
      </c>
      <c r="E462">
        <v>8129</v>
      </c>
      <c r="F462">
        <v>5.6</v>
      </c>
      <c r="G462">
        <v>9.1999999999999993</v>
      </c>
      <c r="H462">
        <v>0.6086956</v>
      </c>
      <c r="I462">
        <v>0.39130433999999997</v>
      </c>
      <c r="J462">
        <v>0.62162167000000002</v>
      </c>
    </row>
    <row r="463" spans="1:10" x14ac:dyDescent="0.3">
      <c r="A463">
        <v>461</v>
      </c>
      <c r="B463">
        <v>7359</v>
      </c>
      <c r="C463" t="b">
        <v>1</v>
      </c>
      <c r="D463">
        <v>8048</v>
      </c>
      <c r="E463">
        <v>8123</v>
      </c>
      <c r="F463">
        <v>5.6</v>
      </c>
      <c r="G463">
        <v>9.6</v>
      </c>
      <c r="H463">
        <v>0.58333330000000005</v>
      </c>
      <c r="I463">
        <v>0.4166667</v>
      </c>
      <c r="J463">
        <v>0.63157890000000005</v>
      </c>
    </row>
    <row r="464" spans="1:10" x14ac:dyDescent="0.3">
      <c r="A464">
        <v>462</v>
      </c>
      <c r="B464">
        <v>7375</v>
      </c>
      <c r="C464" t="b">
        <v>1</v>
      </c>
      <c r="D464">
        <v>8048</v>
      </c>
      <c r="E464">
        <v>8123</v>
      </c>
      <c r="F464">
        <v>5.6</v>
      </c>
      <c r="G464">
        <v>9.6</v>
      </c>
      <c r="H464">
        <v>0.58333330000000005</v>
      </c>
      <c r="I464">
        <v>0.4166667</v>
      </c>
      <c r="J464">
        <v>0.63157890000000005</v>
      </c>
    </row>
    <row r="465" spans="1:10" x14ac:dyDescent="0.3">
      <c r="A465">
        <v>463</v>
      </c>
      <c r="B465">
        <v>7391</v>
      </c>
      <c r="C465" t="b">
        <v>1</v>
      </c>
      <c r="D465">
        <v>8048</v>
      </c>
      <c r="E465">
        <v>8123</v>
      </c>
      <c r="F465">
        <v>5.6</v>
      </c>
      <c r="G465">
        <v>9.6</v>
      </c>
      <c r="H465">
        <v>0.58333330000000005</v>
      </c>
      <c r="I465">
        <v>0.4166667</v>
      </c>
      <c r="J465">
        <v>0.63157890000000005</v>
      </c>
    </row>
    <row r="466" spans="1:10" x14ac:dyDescent="0.3">
      <c r="A466">
        <v>464</v>
      </c>
      <c r="B466">
        <v>7406</v>
      </c>
      <c r="C466" t="b">
        <v>1</v>
      </c>
      <c r="D466">
        <v>8048</v>
      </c>
      <c r="E466">
        <v>8129</v>
      </c>
      <c r="F466">
        <v>5.6</v>
      </c>
      <c r="G466">
        <v>9.6</v>
      </c>
      <c r="H466">
        <v>0.58333330000000005</v>
      </c>
      <c r="I466">
        <v>0.4166667</v>
      </c>
      <c r="J466">
        <v>0.63157890000000005</v>
      </c>
    </row>
    <row r="467" spans="1:10" x14ac:dyDescent="0.3">
      <c r="A467">
        <v>465</v>
      </c>
      <c r="B467">
        <v>7422</v>
      </c>
      <c r="C467" t="b">
        <v>1</v>
      </c>
      <c r="D467">
        <v>8048</v>
      </c>
      <c r="E467">
        <v>8123</v>
      </c>
      <c r="F467">
        <v>5.6</v>
      </c>
      <c r="G467">
        <v>9.6</v>
      </c>
      <c r="H467">
        <v>0.58333330000000005</v>
      </c>
      <c r="I467">
        <v>0.4166667</v>
      </c>
      <c r="J467">
        <v>0.63157890000000005</v>
      </c>
    </row>
    <row r="468" spans="1:10" x14ac:dyDescent="0.3">
      <c r="A468">
        <v>466</v>
      </c>
      <c r="B468">
        <v>7438</v>
      </c>
      <c r="C468" t="b">
        <v>1</v>
      </c>
      <c r="D468">
        <v>8048</v>
      </c>
      <c r="E468">
        <v>8129</v>
      </c>
      <c r="F468">
        <v>5.6</v>
      </c>
      <c r="G468">
        <v>9.1999999999999993</v>
      </c>
      <c r="H468">
        <v>0.6086956</v>
      </c>
      <c r="I468">
        <v>0.39130433999999997</v>
      </c>
      <c r="J468">
        <v>0.62162167000000002</v>
      </c>
    </row>
    <row r="469" spans="1:10" x14ac:dyDescent="0.3">
      <c r="A469">
        <v>467</v>
      </c>
      <c r="B469">
        <v>7454</v>
      </c>
      <c r="C469" t="b">
        <v>1</v>
      </c>
      <c r="D469">
        <v>8048</v>
      </c>
      <c r="E469">
        <v>8129</v>
      </c>
      <c r="F469">
        <v>6</v>
      </c>
      <c r="G469">
        <v>9.6</v>
      </c>
      <c r="H469">
        <v>0.625</v>
      </c>
      <c r="I469">
        <v>0.37500002999999998</v>
      </c>
      <c r="J469">
        <v>0.61538464000000004</v>
      </c>
    </row>
    <row r="470" spans="1:10" x14ac:dyDescent="0.3">
      <c r="A470">
        <v>468</v>
      </c>
      <c r="B470">
        <v>7470</v>
      </c>
      <c r="C470" t="b">
        <v>1</v>
      </c>
      <c r="D470">
        <v>8042</v>
      </c>
      <c r="E470">
        <v>8123</v>
      </c>
      <c r="F470">
        <v>6.4</v>
      </c>
      <c r="G470">
        <v>10</v>
      </c>
      <c r="H470">
        <v>0.64</v>
      </c>
      <c r="I470">
        <v>0.35999998</v>
      </c>
      <c r="J470">
        <v>0.60975610000000002</v>
      </c>
    </row>
    <row r="471" spans="1:10" x14ac:dyDescent="0.3">
      <c r="A471">
        <v>469</v>
      </c>
      <c r="B471">
        <v>7485</v>
      </c>
      <c r="C471" t="b">
        <v>1</v>
      </c>
      <c r="D471">
        <v>8048</v>
      </c>
      <c r="E471">
        <v>8123</v>
      </c>
      <c r="F471">
        <v>6.8</v>
      </c>
      <c r="G471">
        <v>10</v>
      </c>
      <c r="H471">
        <v>0.68</v>
      </c>
      <c r="I471">
        <v>0.32</v>
      </c>
      <c r="J471">
        <v>0.59523815000000002</v>
      </c>
    </row>
    <row r="472" spans="1:10" x14ac:dyDescent="0.3">
      <c r="A472">
        <v>470</v>
      </c>
      <c r="B472">
        <v>7501</v>
      </c>
      <c r="C472" t="b">
        <v>1</v>
      </c>
      <c r="D472">
        <v>8042</v>
      </c>
      <c r="E472">
        <v>8123</v>
      </c>
      <c r="F472">
        <v>7.2</v>
      </c>
      <c r="G472">
        <v>10</v>
      </c>
      <c r="H472">
        <v>0.71999997000000004</v>
      </c>
      <c r="I472">
        <v>0.28000003000000001</v>
      </c>
      <c r="J472">
        <v>0.58139529999999995</v>
      </c>
    </row>
    <row r="473" spans="1:10" x14ac:dyDescent="0.3">
      <c r="A473">
        <v>471</v>
      </c>
      <c r="B473">
        <v>7516</v>
      </c>
      <c r="C473" t="b">
        <v>1</v>
      </c>
      <c r="D473">
        <v>8042</v>
      </c>
      <c r="E473">
        <v>8123</v>
      </c>
      <c r="F473">
        <v>7.2</v>
      </c>
      <c r="G473">
        <v>10</v>
      </c>
      <c r="H473">
        <v>0.71999997000000004</v>
      </c>
      <c r="I473">
        <v>0.28000003000000001</v>
      </c>
      <c r="J473">
        <v>0.58139529999999995</v>
      </c>
    </row>
    <row r="474" spans="1:10" x14ac:dyDescent="0.3">
      <c r="A474">
        <v>472</v>
      </c>
      <c r="B474">
        <v>7532</v>
      </c>
      <c r="C474" t="b">
        <v>1</v>
      </c>
      <c r="D474">
        <v>8042</v>
      </c>
      <c r="E474">
        <v>8123</v>
      </c>
      <c r="F474">
        <v>7.2</v>
      </c>
      <c r="G474">
        <v>10</v>
      </c>
      <c r="H474">
        <v>0.71999997000000004</v>
      </c>
      <c r="I474">
        <v>0.28000003000000001</v>
      </c>
      <c r="J474">
        <v>0.58139529999999995</v>
      </c>
    </row>
    <row r="475" spans="1:10" x14ac:dyDescent="0.3">
      <c r="A475">
        <v>473</v>
      </c>
      <c r="B475">
        <v>7547</v>
      </c>
      <c r="C475" t="b">
        <v>1</v>
      </c>
      <c r="D475">
        <v>8042</v>
      </c>
      <c r="E475">
        <v>8123</v>
      </c>
      <c r="F475">
        <v>6.8</v>
      </c>
      <c r="G475">
        <v>10</v>
      </c>
      <c r="H475">
        <v>0.68</v>
      </c>
      <c r="I475">
        <v>0.32</v>
      </c>
      <c r="J475">
        <v>0.59523815000000002</v>
      </c>
    </row>
    <row r="476" spans="1:10" x14ac:dyDescent="0.3">
      <c r="A476">
        <v>474</v>
      </c>
      <c r="B476">
        <v>7563</v>
      </c>
      <c r="C476" t="b">
        <v>1</v>
      </c>
      <c r="D476">
        <v>8048</v>
      </c>
      <c r="E476">
        <v>8123</v>
      </c>
      <c r="F476">
        <v>6.4</v>
      </c>
      <c r="G476">
        <v>10</v>
      </c>
      <c r="H476">
        <v>0.64</v>
      </c>
      <c r="I476">
        <v>0.35999998</v>
      </c>
      <c r="J476">
        <v>0.60975610000000002</v>
      </c>
    </row>
    <row r="477" spans="1:10" x14ac:dyDescent="0.3">
      <c r="A477">
        <v>475</v>
      </c>
      <c r="B477">
        <v>7579</v>
      </c>
      <c r="C477" t="b">
        <v>1</v>
      </c>
      <c r="D477">
        <v>8042</v>
      </c>
      <c r="E477">
        <v>8123</v>
      </c>
      <c r="F477">
        <v>6</v>
      </c>
      <c r="G477">
        <v>9.6</v>
      </c>
      <c r="H477">
        <v>0.625</v>
      </c>
      <c r="I477">
        <v>0.37500002999999998</v>
      </c>
      <c r="J477">
        <v>0.61538464000000004</v>
      </c>
    </row>
    <row r="478" spans="1:10" x14ac:dyDescent="0.3">
      <c r="A478">
        <v>476</v>
      </c>
      <c r="B478">
        <v>7595</v>
      </c>
      <c r="C478" t="b">
        <v>1</v>
      </c>
      <c r="D478">
        <v>8048</v>
      </c>
      <c r="E478">
        <v>8123</v>
      </c>
      <c r="F478">
        <v>5.6</v>
      </c>
      <c r="G478">
        <v>9.1999999999999993</v>
      </c>
      <c r="H478">
        <v>0.6086956</v>
      </c>
      <c r="I478">
        <v>0.39130433999999997</v>
      </c>
      <c r="J478">
        <v>0.62162167000000002</v>
      </c>
    </row>
    <row r="479" spans="1:10" x14ac:dyDescent="0.3">
      <c r="A479">
        <v>477</v>
      </c>
      <c r="B479">
        <v>7610</v>
      </c>
      <c r="C479" t="b">
        <v>1</v>
      </c>
      <c r="D479">
        <v>8048</v>
      </c>
      <c r="E479">
        <v>8123</v>
      </c>
      <c r="F479">
        <v>5.6</v>
      </c>
      <c r="G479">
        <v>8.8000000000000007</v>
      </c>
      <c r="H479">
        <v>0.63636360000000003</v>
      </c>
      <c r="I479">
        <v>0.36363636999999999</v>
      </c>
      <c r="J479">
        <v>0.61111115999999999</v>
      </c>
    </row>
    <row r="480" spans="1:10" x14ac:dyDescent="0.3">
      <c r="A480">
        <v>478</v>
      </c>
      <c r="B480">
        <v>7626</v>
      </c>
      <c r="C480" t="b">
        <v>1</v>
      </c>
      <c r="D480">
        <v>8048</v>
      </c>
      <c r="E480">
        <v>8123</v>
      </c>
      <c r="F480">
        <v>5.6</v>
      </c>
      <c r="G480">
        <v>8.8000000000000007</v>
      </c>
      <c r="H480">
        <v>0.63636360000000003</v>
      </c>
      <c r="I480">
        <v>0.36363636999999999</v>
      </c>
      <c r="J480">
        <v>0.61111115999999999</v>
      </c>
    </row>
    <row r="481" spans="1:10" x14ac:dyDescent="0.3">
      <c r="A481">
        <v>479</v>
      </c>
      <c r="B481">
        <v>7642</v>
      </c>
      <c r="C481" t="b">
        <v>1</v>
      </c>
      <c r="D481">
        <v>8048</v>
      </c>
      <c r="E481">
        <v>8123</v>
      </c>
      <c r="F481">
        <v>5.6</v>
      </c>
      <c r="G481">
        <v>8.8000000000000007</v>
      </c>
      <c r="H481">
        <v>0.63636360000000003</v>
      </c>
      <c r="I481">
        <v>0.36363636999999999</v>
      </c>
      <c r="J481">
        <v>0.61111115999999999</v>
      </c>
    </row>
    <row r="482" spans="1:10" x14ac:dyDescent="0.3">
      <c r="A482">
        <v>480</v>
      </c>
      <c r="B482">
        <v>7658</v>
      </c>
      <c r="C482" t="b">
        <v>1</v>
      </c>
      <c r="D482">
        <v>8048</v>
      </c>
      <c r="E482">
        <v>8123</v>
      </c>
      <c r="F482">
        <v>5.6</v>
      </c>
      <c r="G482">
        <v>8.8000000000000007</v>
      </c>
      <c r="H482">
        <v>0.63636360000000003</v>
      </c>
      <c r="I482">
        <v>0.36363636999999999</v>
      </c>
      <c r="J482">
        <v>0.61111115999999999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5.6</v>
      </c>
      <c r="G483">
        <v>8.8000000000000007</v>
      </c>
      <c r="H483">
        <v>0.63636360000000003</v>
      </c>
      <c r="I483">
        <v>0.36363636999999999</v>
      </c>
      <c r="J483">
        <v>0.61111115999999999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5.6</v>
      </c>
      <c r="G484">
        <v>8.4</v>
      </c>
      <c r="H484">
        <v>0.66666669999999995</v>
      </c>
      <c r="I484">
        <v>0.3333333</v>
      </c>
      <c r="J484">
        <v>0.59999996</v>
      </c>
    </row>
    <row r="485" spans="1:10" x14ac:dyDescent="0.3">
      <c r="A485">
        <v>483</v>
      </c>
      <c r="B485">
        <v>7705</v>
      </c>
      <c r="C485" t="b">
        <v>1</v>
      </c>
      <c r="D485">
        <v>8048</v>
      </c>
      <c r="E485">
        <v>8123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7721</v>
      </c>
      <c r="C486" t="b">
        <v>1</v>
      </c>
      <c r="D486">
        <v>8048</v>
      </c>
      <c r="E486">
        <v>8134</v>
      </c>
      <c r="F486">
        <v>5.6</v>
      </c>
      <c r="G486">
        <v>8</v>
      </c>
      <c r="H486">
        <v>0.7</v>
      </c>
      <c r="I486">
        <v>0.3</v>
      </c>
      <c r="J486">
        <v>0.58823526000000004</v>
      </c>
    </row>
    <row r="487" spans="1:10" x14ac:dyDescent="0.3">
      <c r="A487">
        <v>485</v>
      </c>
      <c r="B487">
        <v>7737</v>
      </c>
      <c r="C487" t="b">
        <v>1</v>
      </c>
      <c r="D487">
        <v>8048</v>
      </c>
      <c r="E487">
        <v>8129</v>
      </c>
      <c r="F487">
        <v>5.6</v>
      </c>
      <c r="G487">
        <v>8</v>
      </c>
      <c r="H487">
        <v>0.7</v>
      </c>
      <c r="I487">
        <v>0.3</v>
      </c>
      <c r="J487">
        <v>0.58823526000000004</v>
      </c>
    </row>
    <row r="488" spans="1:10" x14ac:dyDescent="0.3">
      <c r="A488">
        <v>486</v>
      </c>
      <c r="B488">
        <v>7753</v>
      </c>
      <c r="C488" t="b">
        <v>1</v>
      </c>
      <c r="D488">
        <v>8048</v>
      </c>
      <c r="E488">
        <v>8123</v>
      </c>
      <c r="F488">
        <v>6</v>
      </c>
      <c r="G488">
        <v>8</v>
      </c>
      <c r="H488">
        <v>0.75</v>
      </c>
      <c r="I488">
        <v>0.25</v>
      </c>
      <c r="J488">
        <v>0.57142859999999995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8129</v>
      </c>
      <c r="F489">
        <v>6.4</v>
      </c>
      <c r="G489">
        <v>8.4</v>
      </c>
      <c r="H489">
        <v>0.76190484000000003</v>
      </c>
      <c r="I489">
        <v>0.23809520000000001</v>
      </c>
      <c r="J489">
        <v>0.56756759999999995</v>
      </c>
    </row>
    <row r="490" spans="1:10" x14ac:dyDescent="0.3">
      <c r="A490">
        <v>488</v>
      </c>
      <c r="B490">
        <v>7784</v>
      </c>
      <c r="C490" t="b">
        <v>1</v>
      </c>
      <c r="D490">
        <v>8042</v>
      </c>
      <c r="E490">
        <v>8129</v>
      </c>
      <c r="F490">
        <v>6.8</v>
      </c>
      <c r="G490">
        <v>8.8000000000000007</v>
      </c>
      <c r="H490">
        <v>0.77272724999999998</v>
      </c>
      <c r="I490">
        <v>0.22727272000000001</v>
      </c>
      <c r="J490">
        <v>0.56410260000000001</v>
      </c>
    </row>
    <row r="491" spans="1:10" x14ac:dyDescent="0.3">
      <c r="A491">
        <v>489</v>
      </c>
      <c r="B491">
        <v>7800</v>
      </c>
      <c r="C491" t="b">
        <v>1</v>
      </c>
      <c r="D491">
        <v>8042</v>
      </c>
      <c r="E491">
        <v>8129</v>
      </c>
      <c r="F491">
        <v>7.2</v>
      </c>
      <c r="G491">
        <v>9.1999999999999993</v>
      </c>
      <c r="H491">
        <v>0.78260870000000005</v>
      </c>
      <c r="I491">
        <v>0.21739131</v>
      </c>
      <c r="J491">
        <v>0.56097560000000002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7.6</v>
      </c>
      <c r="G492">
        <v>9.6</v>
      </c>
      <c r="H492">
        <v>0.7916666</v>
      </c>
      <c r="I492">
        <v>0.20833336999999999</v>
      </c>
      <c r="J492">
        <v>0.55813950000000001</v>
      </c>
    </row>
    <row r="493" spans="1:10" x14ac:dyDescent="0.3">
      <c r="A493">
        <v>491</v>
      </c>
      <c r="B493">
        <v>7831</v>
      </c>
      <c r="C493" t="b">
        <v>1</v>
      </c>
      <c r="D493">
        <v>8048</v>
      </c>
      <c r="E493">
        <v>8117</v>
      </c>
      <c r="F493">
        <v>8</v>
      </c>
      <c r="G493">
        <v>10</v>
      </c>
      <c r="H493">
        <v>0.8</v>
      </c>
      <c r="I493">
        <v>0.2</v>
      </c>
      <c r="J493">
        <v>0.55555560000000004</v>
      </c>
    </row>
    <row r="494" spans="1:10" x14ac:dyDescent="0.3">
      <c r="A494">
        <v>492</v>
      </c>
      <c r="B494">
        <v>7847</v>
      </c>
      <c r="C494" t="b">
        <v>1</v>
      </c>
      <c r="D494">
        <v>8048</v>
      </c>
      <c r="E494">
        <v>8111</v>
      </c>
      <c r="F494">
        <v>8</v>
      </c>
      <c r="G494">
        <v>9.6</v>
      </c>
      <c r="H494">
        <v>0.83333330000000005</v>
      </c>
      <c r="I494">
        <v>0.1666667</v>
      </c>
      <c r="J494">
        <v>0.54545456000000003</v>
      </c>
    </row>
    <row r="495" spans="1:10" x14ac:dyDescent="0.3">
      <c r="A495">
        <v>493</v>
      </c>
      <c r="B495">
        <v>7863</v>
      </c>
      <c r="C495" t="b">
        <v>1</v>
      </c>
      <c r="D495">
        <v>8042</v>
      </c>
      <c r="E495">
        <v>8117</v>
      </c>
      <c r="F495">
        <v>8</v>
      </c>
      <c r="G495">
        <v>9.1999999999999993</v>
      </c>
      <c r="H495">
        <v>0.86956524999999996</v>
      </c>
      <c r="I495">
        <v>0.13043477000000001</v>
      </c>
      <c r="J495">
        <v>0.53488369999999996</v>
      </c>
    </row>
    <row r="496" spans="1:10" x14ac:dyDescent="0.3">
      <c r="A496">
        <v>494</v>
      </c>
      <c r="B496">
        <v>7879</v>
      </c>
      <c r="C496" t="b">
        <v>1</v>
      </c>
      <c r="D496">
        <v>8048</v>
      </c>
      <c r="E496">
        <v>8117</v>
      </c>
      <c r="F496">
        <v>8</v>
      </c>
      <c r="G496">
        <v>8.8000000000000007</v>
      </c>
      <c r="H496">
        <v>0.90909090000000004</v>
      </c>
      <c r="I496">
        <v>9.0909110000000001E-2</v>
      </c>
      <c r="J496">
        <v>0.52380954999999996</v>
      </c>
    </row>
    <row r="497" spans="1:10" x14ac:dyDescent="0.3">
      <c r="A497">
        <v>495</v>
      </c>
      <c r="B497">
        <v>7894</v>
      </c>
      <c r="C497" t="b">
        <v>1</v>
      </c>
      <c r="D497">
        <v>8054</v>
      </c>
      <c r="E497">
        <v>8117</v>
      </c>
      <c r="F497">
        <v>8</v>
      </c>
      <c r="G497">
        <v>8.4</v>
      </c>
      <c r="H497">
        <v>0.95238100000000003</v>
      </c>
      <c r="I497">
        <v>4.7619003999999999E-2</v>
      </c>
      <c r="J497">
        <v>0.51219510000000001</v>
      </c>
    </row>
    <row r="498" spans="1:10" x14ac:dyDescent="0.3">
      <c r="A498">
        <v>496</v>
      </c>
      <c r="B498">
        <v>7910</v>
      </c>
      <c r="C498" t="b">
        <v>1</v>
      </c>
      <c r="D498">
        <v>8054</v>
      </c>
      <c r="E498">
        <v>8129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7926</v>
      </c>
      <c r="C499" t="b">
        <v>1</v>
      </c>
      <c r="D499">
        <v>8048</v>
      </c>
      <c r="E499">
        <v>8123</v>
      </c>
      <c r="F499">
        <v>8</v>
      </c>
      <c r="G499">
        <v>7.6</v>
      </c>
      <c r="H499">
        <v>1.0526316</v>
      </c>
      <c r="I499">
        <v>-5.2631589999999999E-2</v>
      </c>
      <c r="J499">
        <v>0.48717946000000001</v>
      </c>
    </row>
    <row r="500" spans="1:10" x14ac:dyDescent="0.3">
      <c r="A500">
        <v>498</v>
      </c>
      <c r="B500">
        <v>7942</v>
      </c>
      <c r="C500" t="b">
        <v>1</v>
      </c>
      <c r="D500">
        <v>8048</v>
      </c>
      <c r="E500">
        <v>8123</v>
      </c>
      <c r="F500">
        <v>8</v>
      </c>
      <c r="G500">
        <v>7.6</v>
      </c>
      <c r="H500">
        <v>1.0526316</v>
      </c>
      <c r="I500">
        <v>-5.2631589999999999E-2</v>
      </c>
      <c r="J500">
        <v>0.48717946000000001</v>
      </c>
    </row>
    <row r="501" spans="1:10" x14ac:dyDescent="0.3">
      <c r="A501">
        <v>499</v>
      </c>
      <c r="B501">
        <v>7958</v>
      </c>
      <c r="C501" t="b">
        <v>1</v>
      </c>
      <c r="D501">
        <v>8042</v>
      </c>
      <c r="E501">
        <v>8123</v>
      </c>
      <c r="F501">
        <v>8</v>
      </c>
      <c r="G501">
        <v>7.6</v>
      </c>
      <c r="H501">
        <v>1.0526316</v>
      </c>
      <c r="I501">
        <v>-5.2631589999999999E-2</v>
      </c>
      <c r="J501">
        <v>0.48717946000000001</v>
      </c>
    </row>
    <row r="502" spans="1:10" x14ac:dyDescent="0.3">
      <c r="A502">
        <v>500</v>
      </c>
      <c r="B502">
        <v>7973</v>
      </c>
      <c r="C502" t="b">
        <v>1</v>
      </c>
      <c r="D502">
        <v>8048</v>
      </c>
      <c r="E502">
        <v>8134</v>
      </c>
      <c r="F502">
        <v>8</v>
      </c>
      <c r="G502">
        <v>7.6</v>
      </c>
      <c r="H502">
        <v>1.0526316</v>
      </c>
      <c r="I502">
        <v>-5.2631589999999999E-2</v>
      </c>
      <c r="J502">
        <v>0.48717946000000001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9D0E-EE3D-4568-97C4-6F0C981B1DA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8088</v>
      </c>
      <c r="E2">
        <v>8117</v>
      </c>
      <c r="F2">
        <v>248</v>
      </c>
      <c r="G2">
        <v>202</v>
      </c>
      <c r="H2">
        <v>1.2277228</v>
      </c>
      <c r="I2">
        <v>-0.22772278000000001</v>
      </c>
      <c r="J2">
        <v>0.44888889999999998</v>
      </c>
    </row>
    <row r="3" spans="1:10" x14ac:dyDescent="0.3">
      <c r="A3">
        <v>1</v>
      </c>
      <c r="B3">
        <v>25</v>
      </c>
      <c r="C3" t="b">
        <v>1</v>
      </c>
      <c r="D3">
        <v>8065</v>
      </c>
      <c r="E3">
        <v>8140</v>
      </c>
      <c r="F3">
        <v>248</v>
      </c>
      <c r="G3">
        <v>213.5</v>
      </c>
      <c r="H3">
        <v>1.1615925</v>
      </c>
      <c r="I3">
        <v>-0.1615925</v>
      </c>
      <c r="J3">
        <v>0.46262189999999997</v>
      </c>
    </row>
    <row r="4" spans="1:10" x14ac:dyDescent="0.3">
      <c r="A4">
        <v>2</v>
      </c>
      <c r="B4">
        <v>57</v>
      </c>
      <c r="C4" t="b">
        <v>1</v>
      </c>
      <c r="D4">
        <v>8071</v>
      </c>
      <c r="E4">
        <v>8117</v>
      </c>
      <c r="F4">
        <v>242.33332999999999</v>
      </c>
      <c r="G4">
        <v>209.66667000000001</v>
      </c>
      <c r="H4">
        <v>1.1558028</v>
      </c>
      <c r="I4">
        <v>-0.15580282000000001</v>
      </c>
      <c r="J4">
        <v>0.46386432999999999</v>
      </c>
    </row>
    <row r="5" spans="1:10" x14ac:dyDescent="0.3">
      <c r="A5">
        <v>3</v>
      </c>
      <c r="B5">
        <v>89</v>
      </c>
      <c r="C5" t="b">
        <v>1</v>
      </c>
      <c r="D5">
        <v>8083</v>
      </c>
      <c r="E5">
        <v>8129</v>
      </c>
      <c r="F5">
        <v>242.5</v>
      </c>
      <c r="G5">
        <v>210.75</v>
      </c>
      <c r="H5">
        <v>1.1506524</v>
      </c>
      <c r="I5">
        <v>-0.15065244</v>
      </c>
      <c r="J5">
        <v>0.46497517999999999</v>
      </c>
    </row>
    <row r="6" spans="1:10" x14ac:dyDescent="0.3">
      <c r="A6">
        <v>4</v>
      </c>
      <c r="B6">
        <v>120</v>
      </c>
      <c r="C6" t="b">
        <v>1</v>
      </c>
      <c r="D6">
        <v>8100</v>
      </c>
      <c r="E6">
        <v>8099</v>
      </c>
      <c r="F6">
        <v>242.6</v>
      </c>
      <c r="G6">
        <v>209</v>
      </c>
      <c r="H6">
        <v>1.1607654999999999</v>
      </c>
      <c r="I6">
        <v>-0.16076557</v>
      </c>
      <c r="J6">
        <v>0.46279892</v>
      </c>
    </row>
    <row r="7" spans="1:10" x14ac:dyDescent="0.3">
      <c r="A7">
        <v>5</v>
      </c>
      <c r="B7">
        <v>136</v>
      </c>
      <c r="C7" t="b">
        <v>1</v>
      </c>
      <c r="D7">
        <v>8077</v>
      </c>
      <c r="E7">
        <v>8105</v>
      </c>
      <c r="F7">
        <v>241.66667000000001</v>
      </c>
      <c r="G7">
        <v>207.83332999999999</v>
      </c>
      <c r="H7">
        <v>1.1627908</v>
      </c>
      <c r="I7">
        <v>-0.16279075000000001</v>
      </c>
      <c r="J7">
        <v>0.46236557</v>
      </c>
    </row>
    <row r="8" spans="1:10" x14ac:dyDescent="0.3">
      <c r="A8">
        <v>6</v>
      </c>
      <c r="B8">
        <v>152</v>
      </c>
      <c r="C8" t="b">
        <v>1</v>
      </c>
      <c r="D8">
        <v>8077</v>
      </c>
      <c r="E8">
        <v>8134</v>
      </c>
      <c r="F8">
        <v>241</v>
      </c>
      <c r="G8">
        <v>207</v>
      </c>
      <c r="H8">
        <v>1.1642512</v>
      </c>
      <c r="I8">
        <v>-0.16425121000000001</v>
      </c>
      <c r="J8">
        <v>0.46205357000000002</v>
      </c>
    </row>
    <row r="9" spans="1:10" x14ac:dyDescent="0.3">
      <c r="A9">
        <v>7</v>
      </c>
      <c r="B9">
        <v>168</v>
      </c>
      <c r="C9" t="b">
        <v>1</v>
      </c>
      <c r="D9">
        <v>8054</v>
      </c>
      <c r="E9">
        <v>8105</v>
      </c>
      <c r="F9">
        <v>240.5</v>
      </c>
      <c r="G9">
        <v>204.875</v>
      </c>
      <c r="H9">
        <v>1.1738865000000001</v>
      </c>
      <c r="I9">
        <v>-0.17388651999999999</v>
      </c>
      <c r="J9">
        <v>0.46000560000000001</v>
      </c>
    </row>
    <row r="10" spans="1:10" x14ac:dyDescent="0.3">
      <c r="A10">
        <v>8</v>
      </c>
      <c r="B10">
        <v>184</v>
      </c>
      <c r="C10" t="b">
        <v>1</v>
      </c>
      <c r="D10">
        <v>8077</v>
      </c>
      <c r="E10">
        <v>8111</v>
      </c>
      <c r="F10">
        <v>240.11111</v>
      </c>
      <c r="G10">
        <v>203.22223</v>
      </c>
      <c r="H10">
        <v>1.1815199999999999</v>
      </c>
      <c r="I10">
        <v>-0.18151993999999999</v>
      </c>
      <c r="J10">
        <v>0.45839600000000003</v>
      </c>
    </row>
    <row r="11" spans="1:10" x14ac:dyDescent="0.3">
      <c r="A11">
        <v>9</v>
      </c>
      <c r="B11">
        <v>216</v>
      </c>
      <c r="C11" t="b">
        <v>1</v>
      </c>
      <c r="D11">
        <v>8088</v>
      </c>
      <c r="E11">
        <v>8105</v>
      </c>
      <c r="F11">
        <v>239.8</v>
      </c>
      <c r="G11">
        <v>201.9</v>
      </c>
      <c r="H11">
        <v>1.1877167</v>
      </c>
      <c r="I11">
        <v>-0.18771673999999999</v>
      </c>
      <c r="J11">
        <v>0.45709756000000001</v>
      </c>
    </row>
    <row r="12" spans="1:10" x14ac:dyDescent="0.3">
      <c r="A12">
        <v>10</v>
      </c>
      <c r="B12">
        <v>248</v>
      </c>
      <c r="C12" t="b">
        <v>1</v>
      </c>
      <c r="D12">
        <v>8094</v>
      </c>
      <c r="E12">
        <v>8111</v>
      </c>
      <c r="F12">
        <v>239.54545999999999</v>
      </c>
      <c r="G12">
        <v>201.36363</v>
      </c>
      <c r="H12">
        <v>1.1896163</v>
      </c>
      <c r="I12">
        <v>-0.18961628</v>
      </c>
      <c r="J12">
        <v>0.45670100000000002</v>
      </c>
    </row>
    <row r="13" spans="1:10" x14ac:dyDescent="0.3">
      <c r="A13">
        <v>11</v>
      </c>
      <c r="B13">
        <v>279</v>
      </c>
      <c r="C13" t="b">
        <v>1</v>
      </c>
      <c r="D13">
        <v>8071</v>
      </c>
      <c r="E13">
        <v>8111</v>
      </c>
      <c r="F13">
        <v>239.33332999999999</v>
      </c>
      <c r="G13">
        <v>200.91667000000001</v>
      </c>
      <c r="H13">
        <v>1.1912069000000001</v>
      </c>
      <c r="I13">
        <v>-0.19120692</v>
      </c>
      <c r="J13">
        <v>0.45636949999999998</v>
      </c>
    </row>
    <row r="14" spans="1:10" x14ac:dyDescent="0.3">
      <c r="A14">
        <v>12</v>
      </c>
      <c r="B14">
        <v>311</v>
      </c>
      <c r="C14" t="b">
        <v>1</v>
      </c>
      <c r="D14">
        <v>8100</v>
      </c>
      <c r="E14">
        <v>8129</v>
      </c>
      <c r="F14">
        <v>240</v>
      </c>
      <c r="G14">
        <v>200.53846999999999</v>
      </c>
      <c r="H14">
        <v>1.1967778</v>
      </c>
      <c r="I14">
        <v>-0.19677786999999999</v>
      </c>
      <c r="J14">
        <v>0.45521218000000002</v>
      </c>
    </row>
    <row r="15" spans="1:10" x14ac:dyDescent="0.3">
      <c r="A15">
        <v>13</v>
      </c>
      <c r="B15">
        <v>343</v>
      </c>
      <c r="C15" t="b">
        <v>1</v>
      </c>
      <c r="D15">
        <v>8065</v>
      </c>
      <c r="E15">
        <v>8087</v>
      </c>
      <c r="F15">
        <v>240.57142999999999</v>
      </c>
      <c r="G15">
        <v>200.21428</v>
      </c>
      <c r="H15">
        <v>1.2015697999999999</v>
      </c>
      <c r="I15">
        <v>-0.20156978</v>
      </c>
      <c r="J15">
        <v>0.45422133999999997</v>
      </c>
    </row>
    <row r="16" spans="1:10" x14ac:dyDescent="0.3">
      <c r="A16">
        <v>14</v>
      </c>
      <c r="B16">
        <v>374</v>
      </c>
      <c r="C16" t="b">
        <v>1</v>
      </c>
      <c r="D16">
        <v>8065</v>
      </c>
      <c r="E16">
        <v>8099</v>
      </c>
      <c r="F16">
        <v>239.93333000000001</v>
      </c>
      <c r="G16">
        <v>199.93333000000001</v>
      </c>
      <c r="H16">
        <v>1.2000667</v>
      </c>
      <c r="I16">
        <v>-0.20006668999999999</v>
      </c>
      <c r="J16">
        <v>0.45453167</v>
      </c>
    </row>
    <row r="17" spans="1:10" x14ac:dyDescent="0.3">
      <c r="A17">
        <v>15</v>
      </c>
      <c r="B17">
        <v>406</v>
      </c>
      <c r="C17" t="b">
        <v>1</v>
      </c>
      <c r="D17">
        <v>8083</v>
      </c>
      <c r="E17">
        <v>8093</v>
      </c>
      <c r="F17">
        <v>238.8</v>
      </c>
      <c r="G17">
        <v>198.73334</v>
      </c>
      <c r="H17">
        <v>1.2016102</v>
      </c>
      <c r="I17">
        <v>-0.20161019999999999</v>
      </c>
      <c r="J17">
        <v>0.45421302000000002</v>
      </c>
    </row>
    <row r="18" spans="1:10" x14ac:dyDescent="0.3">
      <c r="A18">
        <v>16</v>
      </c>
      <c r="B18">
        <v>438</v>
      </c>
      <c r="C18" t="b">
        <v>1</v>
      </c>
      <c r="D18">
        <v>8060</v>
      </c>
      <c r="E18">
        <v>8105</v>
      </c>
      <c r="F18">
        <v>237.26666</v>
      </c>
      <c r="G18">
        <v>196</v>
      </c>
      <c r="H18">
        <v>1.2105442</v>
      </c>
      <c r="I18">
        <v>-0.21054419999999999</v>
      </c>
      <c r="J18">
        <v>0.45237729999999998</v>
      </c>
    </row>
    <row r="19" spans="1:10" x14ac:dyDescent="0.3">
      <c r="A19">
        <v>17</v>
      </c>
      <c r="B19">
        <v>469</v>
      </c>
      <c r="C19" t="b">
        <v>1</v>
      </c>
      <c r="D19">
        <v>8094</v>
      </c>
      <c r="E19">
        <v>8111</v>
      </c>
      <c r="F19">
        <v>236.86667</v>
      </c>
      <c r="G19">
        <v>194.8</v>
      </c>
      <c r="H19">
        <v>1.215948</v>
      </c>
      <c r="I19">
        <v>-0.21594796999999999</v>
      </c>
      <c r="J19">
        <v>0.45127413</v>
      </c>
    </row>
    <row r="20" spans="1:10" x14ac:dyDescent="0.3">
      <c r="A20">
        <v>18</v>
      </c>
      <c r="B20">
        <v>501</v>
      </c>
      <c r="C20" t="b">
        <v>1</v>
      </c>
      <c r="D20">
        <v>8065</v>
      </c>
      <c r="E20">
        <v>8117</v>
      </c>
      <c r="F20">
        <v>235.66667000000001</v>
      </c>
      <c r="G20">
        <v>193.2</v>
      </c>
      <c r="H20">
        <v>1.2198068</v>
      </c>
      <c r="I20">
        <v>-0.2198068</v>
      </c>
      <c r="J20">
        <v>0.45048964000000002</v>
      </c>
    </row>
    <row r="21" spans="1:10" x14ac:dyDescent="0.3">
      <c r="A21">
        <v>19</v>
      </c>
      <c r="B21">
        <v>533</v>
      </c>
      <c r="C21" t="b">
        <v>1</v>
      </c>
      <c r="D21">
        <v>8065</v>
      </c>
      <c r="E21">
        <v>8117</v>
      </c>
      <c r="F21">
        <v>234.46665999999999</v>
      </c>
      <c r="G21">
        <v>192.8</v>
      </c>
      <c r="H21">
        <v>1.2161133</v>
      </c>
      <c r="I21">
        <v>-0.21611336</v>
      </c>
      <c r="J21">
        <v>0.45124045000000002</v>
      </c>
    </row>
    <row r="22" spans="1:10" x14ac:dyDescent="0.3">
      <c r="A22">
        <v>20</v>
      </c>
      <c r="B22">
        <v>565</v>
      </c>
      <c r="C22" t="b">
        <v>1</v>
      </c>
      <c r="D22">
        <v>8083</v>
      </c>
      <c r="E22">
        <v>8105</v>
      </c>
      <c r="F22">
        <v>233.66667000000001</v>
      </c>
      <c r="G22">
        <v>192.4</v>
      </c>
      <c r="H22">
        <v>1.2144836999999999</v>
      </c>
      <c r="I22">
        <v>-0.21448378000000001</v>
      </c>
      <c r="J22">
        <v>0.45157254000000002</v>
      </c>
    </row>
    <row r="23" spans="1:10" x14ac:dyDescent="0.3">
      <c r="A23">
        <v>21</v>
      </c>
      <c r="B23">
        <v>596</v>
      </c>
      <c r="C23" t="b">
        <v>1</v>
      </c>
      <c r="D23">
        <v>8065</v>
      </c>
      <c r="E23">
        <v>8093</v>
      </c>
      <c r="F23">
        <v>232.86667</v>
      </c>
      <c r="G23">
        <v>192</v>
      </c>
      <c r="H23">
        <v>1.2128471999999999</v>
      </c>
      <c r="I23">
        <v>-0.21284723</v>
      </c>
      <c r="J23">
        <v>0.45190647</v>
      </c>
    </row>
    <row r="24" spans="1:10" x14ac:dyDescent="0.3">
      <c r="A24">
        <v>22</v>
      </c>
      <c r="B24">
        <v>628</v>
      </c>
      <c r="C24" t="b">
        <v>1</v>
      </c>
      <c r="D24">
        <v>8100</v>
      </c>
      <c r="E24">
        <v>8099</v>
      </c>
      <c r="F24">
        <v>232.06666999999999</v>
      </c>
      <c r="G24">
        <v>192</v>
      </c>
      <c r="H24">
        <v>1.2086805</v>
      </c>
      <c r="I24">
        <v>-0.20868055999999999</v>
      </c>
      <c r="J24">
        <v>0.45275903000000001</v>
      </c>
    </row>
    <row r="25" spans="1:10" x14ac:dyDescent="0.3">
      <c r="A25">
        <v>23</v>
      </c>
      <c r="B25">
        <v>660</v>
      </c>
      <c r="C25" t="b">
        <v>1</v>
      </c>
      <c r="D25">
        <v>8054</v>
      </c>
      <c r="E25">
        <v>8111</v>
      </c>
      <c r="F25">
        <v>231.26666</v>
      </c>
      <c r="G25">
        <v>192</v>
      </c>
      <c r="H25">
        <v>1.2045139</v>
      </c>
      <c r="I25">
        <v>-0.20451385999999999</v>
      </c>
      <c r="J25">
        <v>0.45361474000000002</v>
      </c>
    </row>
    <row r="26" spans="1:10" x14ac:dyDescent="0.3">
      <c r="A26">
        <v>24</v>
      </c>
      <c r="B26">
        <v>676</v>
      </c>
      <c r="C26" t="b">
        <v>1</v>
      </c>
      <c r="D26">
        <v>8065</v>
      </c>
      <c r="E26">
        <v>8117</v>
      </c>
      <c r="F26">
        <v>230.46665999999999</v>
      </c>
      <c r="G26">
        <v>192</v>
      </c>
      <c r="H26">
        <v>1.2003471999999999</v>
      </c>
      <c r="I26">
        <v>-0.20034719000000001</v>
      </c>
      <c r="J26">
        <v>0.45447369999999998</v>
      </c>
    </row>
    <row r="27" spans="1:10" x14ac:dyDescent="0.3">
      <c r="A27">
        <v>25</v>
      </c>
      <c r="B27">
        <v>692</v>
      </c>
      <c r="C27" t="b">
        <v>1</v>
      </c>
      <c r="D27">
        <v>8054</v>
      </c>
      <c r="E27">
        <v>8105</v>
      </c>
      <c r="F27">
        <v>229.66667000000001</v>
      </c>
      <c r="G27">
        <v>191.6</v>
      </c>
      <c r="H27">
        <v>1.1986778</v>
      </c>
      <c r="I27">
        <v>-0.19867779999999999</v>
      </c>
      <c r="J27">
        <v>0.45481881000000002</v>
      </c>
    </row>
    <row r="28" spans="1:10" x14ac:dyDescent="0.3">
      <c r="A28">
        <v>26</v>
      </c>
      <c r="B28">
        <v>723</v>
      </c>
      <c r="C28" t="b">
        <v>1</v>
      </c>
      <c r="D28">
        <v>8077</v>
      </c>
      <c r="E28">
        <v>8099</v>
      </c>
      <c r="F28">
        <v>228.86667</v>
      </c>
      <c r="G28">
        <v>191.2</v>
      </c>
      <c r="H28">
        <v>1.1970015000000001</v>
      </c>
      <c r="I28">
        <v>-0.19700143000000001</v>
      </c>
      <c r="J28">
        <v>0.45516585999999998</v>
      </c>
    </row>
    <row r="29" spans="1:10" x14ac:dyDescent="0.3">
      <c r="A29">
        <v>27</v>
      </c>
      <c r="B29">
        <v>756</v>
      </c>
      <c r="C29" t="b">
        <v>1</v>
      </c>
      <c r="D29">
        <v>8065</v>
      </c>
      <c r="E29">
        <v>8111</v>
      </c>
      <c r="F29">
        <v>227.33332999999999</v>
      </c>
      <c r="G29">
        <v>191.2</v>
      </c>
      <c r="H29">
        <v>1.1889818999999999</v>
      </c>
      <c r="I29">
        <v>-0.18898186</v>
      </c>
      <c r="J29">
        <v>0.4568334</v>
      </c>
    </row>
    <row r="30" spans="1:10" x14ac:dyDescent="0.3">
      <c r="A30">
        <v>28</v>
      </c>
      <c r="B30">
        <v>787</v>
      </c>
      <c r="C30" t="b">
        <v>1</v>
      </c>
      <c r="D30">
        <v>8106</v>
      </c>
      <c r="E30">
        <v>8129</v>
      </c>
      <c r="F30">
        <v>225.8</v>
      </c>
      <c r="G30">
        <v>191.2</v>
      </c>
      <c r="H30">
        <v>1.1809623</v>
      </c>
      <c r="I30">
        <v>-0.18096238000000001</v>
      </c>
      <c r="J30">
        <v>0.45851317000000003</v>
      </c>
    </row>
    <row r="31" spans="1:10" x14ac:dyDescent="0.3">
      <c r="A31">
        <v>29</v>
      </c>
      <c r="B31">
        <v>803</v>
      </c>
      <c r="C31" t="b">
        <v>1</v>
      </c>
      <c r="D31">
        <v>8106</v>
      </c>
      <c r="E31">
        <v>8111</v>
      </c>
      <c r="F31">
        <v>226.2</v>
      </c>
      <c r="G31">
        <v>191.2</v>
      </c>
      <c r="H31">
        <v>1.1830544000000001</v>
      </c>
      <c r="I31">
        <v>-0.18305440000000001</v>
      </c>
      <c r="J31">
        <v>0.45807379999999998</v>
      </c>
    </row>
    <row r="32" spans="1:10" x14ac:dyDescent="0.3">
      <c r="A32">
        <v>30</v>
      </c>
      <c r="B32">
        <v>819</v>
      </c>
      <c r="C32" t="b">
        <v>1</v>
      </c>
      <c r="D32">
        <v>8094</v>
      </c>
      <c r="E32">
        <v>8105</v>
      </c>
      <c r="F32">
        <v>227.73334</v>
      </c>
      <c r="G32">
        <v>192</v>
      </c>
      <c r="H32">
        <v>1.1861111</v>
      </c>
      <c r="I32">
        <v>-0.18611114000000001</v>
      </c>
      <c r="J32">
        <v>0.45743328</v>
      </c>
    </row>
    <row r="33" spans="1:10" x14ac:dyDescent="0.3">
      <c r="A33">
        <v>31</v>
      </c>
      <c r="B33">
        <v>851</v>
      </c>
      <c r="C33" t="b">
        <v>1</v>
      </c>
      <c r="D33">
        <v>8088</v>
      </c>
      <c r="E33">
        <v>8117</v>
      </c>
      <c r="F33">
        <v>229.66667000000001</v>
      </c>
      <c r="G33">
        <v>192.8</v>
      </c>
      <c r="H33">
        <v>1.1912172000000001</v>
      </c>
      <c r="I33">
        <v>-0.19121715</v>
      </c>
      <c r="J33">
        <v>0.45636736999999999</v>
      </c>
    </row>
    <row r="34" spans="1:10" x14ac:dyDescent="0.3">
      <c r="A34">
        <v>32</v>
      </c>
      <c r="B34">
        <v>882</v>
      </c>
      <c r="C34" t="b">
        <v>1</v>
      </c>
      <c r="D34">
        <v>8094</v>
      </c>
      <c r="E34">
        <v>8099</v>
      </c>
      <c r="F34">
        <v>231.6</v>
      </c>
      <c r="G34">
        <v>193.6</v>
      </c>
      <c r="H34">
        <v>1.1962809999999999</v>
      </c>
      <c r="I34">
        <v>-0.19628098999999999</v>
      </c>
      <c r="J34">
        <v>0.45531514000000001</v>
      </c>
    </row>
    <row r="35" spans="1:10" x14ac:dyDescent="0.3">
      <c r="A35">
        <v>33</v>
      </c>
      <c r="B35">
        <v>914</v>
      </c>
      <c r="C35" t="b">
        <v>1</v>
      </c>
      <c r="D35">
        <v>8094</v>
      </c>
      <c r="E35">
        <v>8093</v>
      </c>
      <c r="F35">
        <v>233.53334000000001</v>
      </c>
      <c r="G35">
        <v>193.6</v>
      </c>
      <c r="H35">
        <v>1.2062672000000001</v>
      </c>
      <c r="I35">
        <v>-0.20626722</v>
      </c>
      <c r="J35">
        <v>0.45325421999999999</v>
      </c>
    </row>
    <row r="36" spans="1:10" x14ac:dyDescent="0.3">
      <c r="A36">
        <v>34</v>
      </c>
      <c r="B36">
        <v>945</v>
      </c>
      <c r="C36" t="b">
        <v>1</v>
      </c>
      <c r="D36">
        <v>8077</v>
      </c>
      <c r="E36">
        <v>8087</v>
      </c>
      <c r="F36">
        <v>235.46665999999999</v>
      </c>
      <c r="G36">
        <v>192.8</v>
      </c>
      <c r="H36">
        <v>1.2213001000000001</v>
      </c>
      <c r="I36">
        <v>-0.22130008000000001</v>
      </c>
      <c r="J36">
        <v>0.45018681999999999</v>
      </c>
    </row>
    <row r="37" spans="1:10" x14ac:dyDescent="0.3">
      <c r="A37">
        <v>35</v>
      </c>
      <c r="B37">
        <v>977</v>
      </c>
      <c r="C37" t="b">
        <v>1</v>
      </c>
      <c r="D37">
        <v>8071</v>
      </c>
      <c r="E37">
        <v>8129</v>
      </c>
      <c r="F37">
        <v>237</v>
      </c>
      <c r="G37">
        <v>192</v>
      </c>
      <c r="H37">
        <v>1.234375</v>
      </c>
      <c r="I37">
        <v>-0.234375</v>
      </c>
      <c r="J37">
        <v>0.44755244</v>
      </c>
    </row>
    <row r="38" spans="1:10" x14ac:dyDescent="0.3">
      <c r="A38">
        <v>36</v>
      </c>
      <c r="B38">
        <v>993</v>
      </c>
      <c r="C38" t="b">
        <v>1</v>
      </c>
      <c r="D38">
        <v>8060</v>
      </c>
      <c r="E38">
        <v>8117</v>
      </c>
      <c r="F38">
        <v>237.8</v>
      </c>
      <c r="G38">
        <v>191.2</v>
      </c>
      <c r="H38">
        <v>1.2437239</v>
      </c>
      <c r="I38">
        <v>-0.24372388</v>
      </c>
      <c r="J38">
        <v>0.44568764999999999</v>
      </c>
    </row>
    <row r="39" spans="1:10" x14ac:dyDescent="0.3">
      <c r="A39">
        <v>37</v>
      </c>
      <c r="B39">
        <v>1009</v>
      </c>
      <c r="C39" t="b">
        <v>1</v>
      </c>
      <c r="D39">
        <v>8088</v>
      </c>
      <c r="E39">
        <v>8111</v>
      </c>
      <c r="F39">
        <v>238.6</v>
      </c>
      <c r="G39">
        <v>191.6</v>
      </c>
      <c r="H39">
        <v>1.2453027000000001</v>
      </c>
      <c r="I39">
        <v>-0.24530270000000001</v>
      </c>
      <c r="J39">
        <v>0.44537425000000003</v>
      </c>
    </row>
    <row r="40" spans="1:10" x14ac:dyDescent="0.3">
      <c r="A40">
        <v>38</v>
      </c>
      <c r="B40">
        <v>1041</v>
      </c>
      <c r="C40" t="b">
        <v>1</v>
      </c>
      <c r="D40">
        <v>8077</v>
      </c>
      <c r="E40">
        <v>8111</v>
      </c>
      <c r="F40">
        <v>239.4</v>
      </c>
      <c r="G40">
        <v>192</v>
      </c>
      <c r="H40">
        <v>1.2468748999999999</v>
      </c>
      <c r="I40">
        <v>-0.24687497</v>
      </c>
      <c r="J40">
        <v>0.44506259999999997</v>
      </c>
    </row>
    <row r="41" spans="1:10" x14ac:dyDescent="0.3">
      <c r="A41">
        <v>39</v>
      </c>
      <c r="B41">
        <v>1057</v>
      </c>
      <c r="C41" t="b">
        <v>1</v>
      </c>
      <c r="D41">
        <v>8083</v>
      </c>
      <c r="E41">
        <v>8111</v>
      </c>
      <c r="F41">
        <v>240.2</v>
      </c>
      <c r="G41">
        <v>192.4</v>
      </c>
      <c r="H41">
        <v>1.2484407</v>
      </c>
      <c r="I41">
        <v>-0.24844077000000001</v>
      </c>
      <c r="J41">
        <v>0.44475266000000002</v>
      </c>
    </row>
    <row r="42" spans="1:10" x14ac:dyDescent="0.3">
      <c r="A42">
        <v>40</v>
      </c>
      <c r="B42">
        <v>1073</v>
      </c>
      <c r="C42" t="b">
        <v>1</v>
      </c>
      <c r="D42">
        <v>8111</v>
      </c>
      <c r="E42">
        <v>8111</v>
      </c>
      <c r="F42">
        <v>241.4</v>
      </c>
      <c r="G42">
        <v>192.8</v>
      </c>
      <c r="H42">
        <v>1.2520746</v>
      </c>
      <c r="I42">
        <v>-0.25207463000000002</v>
      </c>
      <c r="J42">
        <v>0.44403500000000001</v>
      </c>
    </row>
    <row r="43" spans="1:10" x14ac:dyDescent="0.3">
      <c r="A43">
        <v>41</v>
      </c>
      <c r="B43">
        <v>1089</v>
      </c>
      <c r="C43" t="b">
        <v>1</v>
      </c>
      <c r="D43">
        <v>8071</v>
      </c>
      <c r="E43">
        <v>8093</v>
      </c>
      <c r="F43">
        <v>242.6</v>
      </c>
      <c r="G43">
        <v>193.2</v>
      </c>
      <c r="H43">
        <v>1.2556936999999999</v>
      </c>
      <c r="I43">
        <v>-0.25569364</v>
      </c>
      <c r="J43">
        <v>0.44332263</v>
      </c>
    </row>
    <row r="44" spans="1:10" x14ac:dyDescent="0.3">
      <c r="A44">
        <v>42</v>
      </c>
      <c r="B44">
        <v>1105</v>
      </c>
      <c r="C44" t="b">
        <v>1</v>
      </c>
      <c r="D44">
        <v>8060</v>
      </c>
      <c r="E44">
        <v>8117</v>
      </c>
      <c r="F44">
        <v>243.4</v>
      </c>
      <c r="G44">
        <v>193.2</v>
      </c>
      <c r="H44">
        <v>1.2598343999999999</v>
      </c>
      <c r="I44">
        <v>-0.25983434999999999</v>
      </c>
      <c r="J44">
        <v>0.44251034</v>
      </c>
    </row>
    <row r="45" spans="1:10" x14ac:dyDescent="0.3">
      <c r="A45">
        <v>43</v>
      </c>
      <c r="B45">
        <v>1120</v>
      </c>
      <c r="C45" t="b">
        <v>1</v>
      </c>
      <c r="D45">
        <v>8048</v>
      </c>
      <c r="E45">
        <v>8111</v>
      </c>
      <c r="F45">
        <v>243.8</v>
      </c>
      <c r="G45">
        <v>193.2</v>
      </c>
      <c r="H45">
        <v>1.2619047999999999</v>
      </c>
      <c r="I45">
        <v>-0.26190479999999999</v>
      </c>
      <c r="J45">
        <v>0.44210526</v>
      </c>
    </row>
    <row r="46" spans="1:10" x14ac:dyDescent="0.3">
      <c r="A46">
        <v>44</v>
      </c>
      <c r="B46">
        <v>1136</v>
      </c>
      <c r="C46" t="b">
        <v>1</v>
      </c>
      <c r="D46">
        <v>8083</v>
      </c>
      <c r="E46">
        <v>8075</v>
      </c>
      <c r="F46">
        <v>243.4</v>
      </c>
      <c r="G46">
        <v>193.2</v>
      </c>
      <c r="H46">
        <v>1.2598343999999999</v>
      </c>
      <c r="I46">
        <v>-0.25983434999999999</v>
      </c>
      <c r="J46">
        <v>0.44251034</v>
      </c>
    </row>
    <row r="47" spans="1:10" x14ac:dyDescent="0.3">
      <c r="A47">
        <v>45</v>
      </c>
      <c r="B47">
        <v>1153</v>
      </c>
      <c r="C47" t="b">
        <v>1</v>
      </c>
      <c r="D47">
        <v>8094</v>
      </c>
      <c r="E47">
        <v>8105</v>
      </c>
      <c r="F47">
        <v>241.86667</v>
      </c>
      <c r="G47">
        <v>192.8</v>
      </c>
      <c r="H47">
        <v>1.2544951</v>
      </c>
      <c r="I47">
        <v>-0.25449514000000001</v>
      </c>
      <c r="J47">
        <v>0.44355828000000003</v>
      </c>
    </row>
    <row r="48" spans="1:10" x14ac:dyDescent="0.3">
      <c r="A48">
        <v>46</v>
      </c>
      <c r="B48">
        <v>1168</v>
      </c>
      <c r="C48" t="b">
        <v>1</v>
      </c>
      <c r="D48">
        <v>8060</v>
      </c>
      <c r="E48">
        <v>8087</v>
      </c>
      <c r="F48">
        <v>239.6</v>
      </c>
      <c r="G48">
        <v>192.4</v>
      </c>
      <c r="H48">
        <v>1.2453223</v>
      </c>
      <c r="I48">
        <v>-0.24532232000000001</v>
      </c>
      <c r="J48">
        <v>0.44537035000000003</v>
      </c>
    </row>
    <row r="49" spans="1:10" x14ac:dyDescent="0.3">
      <c r="A49">
        <v>47</v>
      </c>
      <c r="B49">
        <v>1184</v>
      </c>
      <c r="C49" t="b">
        <v>1</v>
      </c>
      <c r="D49">
        <v>8077</v>
      </c>
      <c r="E49">
        <v>8117</v>
      </c>
      <c r="F49">
        <v>238.46665999999999</v>
      </c>
      <c r="G49">
        <v>192</v>
      </c>
      <c r="H49">
        <v>1.2420138000000001</v>
      </c>
      <c r="I49">
        <v>-0.24201386</v>
      </c>
      <c r="J49">
        <v>0.44602754999999999</v>
      </c>
    </row>
    <row r="50" spans="1:10" x14ac:dyDescent="0.3">
      <c r="A50">
        <v>48</v>
      </c>
      <c r="B50">
        <v>1200</v>
      </c>
      <c r="C50" t="b">
        <v>1</v>
      </c>
      <c r="D50">
        <v>8094</v>
      </c>
      <c r="E50">
        <v>8123</v>
      </c>
      <c r="F50">
        <v>237.73334</v>
      </c>
      <c r="G50">
        <v>192</v>
      </c>
      <c r="H50">
        <v>1.2381945000000001</v>
      </c>
      <c r="I50">
        <v>-0.23819446999999999</v>
      </c>
      <c r="J50">
        <v>0.44678869999999998</v>
      </c>
    </row>
    <row r="51" spans="1:10" x14ac:dyDescent="0.3">
      <c r="A51">
        <v>49</v>
      </c>
      <c r="B51">
        <v>1232</v>
      </c>
      <c r="C51" t="b">
        <v>1</v>
      </c>
      <c r="D51">
        <v>8100</v>
      </c>
      <c r="E51">
        <v>8111</v>
      </c>
      <c r="F51">
        <v>237.73334</v>
      </c>
      <c r="G51">
        <v>192.8</v>
      </c>
      <c r="H51">
        <v>1.2330566999999999</v>
      </c>
      <c r="I51">
        <v>-0.23305671</v>
      </c>
      <c r="J51">
        <v>0.44781667000000003</v>
      </c>
    </row>
    <row r="52" spans="1:10" x14ac:dyDescent="0.3">
      <c r="A52">
        <v>50</v>
      </c>
      <c r="B52">
        <v>1248</v>
      </c>
      <c r="C52" t="b">
        <v>1</v>
      </c>
      <c r="D52">
        <v>8106</v>
      </c>
      <c r="E52">
        <v>8099</v>
      </c>
      <c r="F52">
        <v>238.13333</v>
      </c>
      <c r="G52">
        <v>193.6</v>
      </c>
      <c r="H52">
        <v>1.2300276000000001</v>
      </c>
      <c r="I52">
        <v>-0.2300275</v>
      </c>
      <c r="J52">
        <v>0.44842496999999998</v>
      </c>
    </row>
    <row r="53" spans="1:10" x14ac:dyDescent="0.3">
      <c r="A53">
        <v>51</v>
      </c>
      <c r="B53">
        <v>1280</v>
      </c>
      <c r="C53" t="b">
        <v>1</v>
      </c>
      <c r="D53">
        <v>8071</v>
      </c>
      <c r="E53">
        <v>8117</v>
      </c>
      <c r="F53">
        <v>239.26666</v>
      </c>
      <c r="G53">
        <v>194.8</v>
      </c>
      <c r="H53">
        <v>1.2282683000000001</v>
      </c>
      <c r="I53">
        <v>-0.22826827</v>
      </c>
      <c r="J53">
        <v>0.44877901999999997</v>
      </c>
    </row>
    <row r="54" spans="1:10" x14ac:dyDescent="0.3">
      <c r="A54">
        <v>52</v>
      </c>
      <c r="B54">
        <v>1312</v>
      </c>
      <c r="C54" t="b">
        <v>1</v>
      </c>
      <c r="D54">
        <v>8088</v>
      </c>
      <c r="E54">
        <v>8129</v>
      </c>
      <c r="F54">
        <v>240.4</v>
      </c>
      <c r="G54">
        <v>195.2</v>
      </c>
      <c r="H54">
        <v>1.2315574</v>
      </c>
      <c r="I54">
        <v>-0.23155737000000001</v>
      </c>
      <c r="J54">
        <v>0.44811754999999998</v>
      </c>
    </row>
    <row r="55" spans="1:10" x14ac:dyDescent="0.3">
      <c r="A55">
        <v>53</v>
      </c>
      <c r="B55">
        <v>1344</v>
      </c>
      <c r="C55" t="b">
        <v>1</v>
      </c>
      <c r="D55">
        <v>8077</v>
      </c>
      <c r="E55">
        <v>8140</v>
      </c>
      <c r="F55">
        <v>241.13333</v>
      </c>
      <c r="G55">
        <v>195.6</v>
      </c>
      <c r="H55">
        <v>1.232788</v>
      </c>
      <c r="I55">
        <v>-0.23278794999999999</v>
      </c>
      <c r="J55">
        <v>0.44787054999999998</v>
      </c>
    </row>
    <row r="56" spans="1:10" x14ac:dyDescent="0.3">
      <c r="A56">
        <v>54</v>
      </c>
      <c r="B56">
        <v>1360</v>
      </c>
      <c r="C56" t="b">
        <v>1</v>
      </c>
      <c r="D56">
        <v>8071</v>
      </c>
      <c r="E56">
        <v>8123</v>
      </c>
      <c r="F56">
        <v>241.13333</v>
      </c>
      <c r="G56">
        <v>196.4</v>
      </c>
      <c r="H56">
        <v>1.2277665</v>
      </c>
      <c r="I56">
        <v>-0.22776647999999999</v>
      </c>
      <c r="J56">
        <v>0.44888008000000001</v>
      </c>
    </row>
    <row r="57" spans="1:10" x14ac:dyDescent="0.3">
      <c r="A57">
        <v>55</v>
      </c>
      <c r="B57">
        <v>1375</v>
      </c>
      <c r="C57" t="b">
        <v>1</v>
      </c>
      <c r="D57">
        <v>8048</v>
      </c>
      <c r="E57">
        <v>8099</v>
      </c>
      <c r="F57">
        <v>240.33332999999999</v>
      </c>
      <c r="G57">
        <v>197.2</v>
      </c>
      <c r="H57">
        <v>1.2187288999999999</v>
      </c>
      <c r="I57">
        <v>-0.21872886999999999</v>
      </c>
      <c r="J57">
        <v>0.45070850000000001</v>
      </c>
    </row>
    <row r="58" spans="1:10" x14ac:dyDescent="0.3">
      <c r="A58">
        <v>56</v>
      </c>
      <c r="B58">
        <v>1391</v>
      </c>
      <c r="C58" t="b">
        <v>1</v>
      </c>
      <c r="D58">
        <v>8054</v>
      </c>
      <c r="E58">
        <v>8093</v>
      </c>
      <c r="F58">
        <v>239.53334000000001</v>
      </c>
      <c r="G58">
        <v>198</v>
      </c>
      <c r="H58">
        <v>1.2097644000000001</v>
      </c>
      <c r="I58">
        <v>-0.20976434999999999</v>
      </c>
      <c r="J58">
        <v>0.45253696999999998</v>
      </c>
    </row>
    <row r="59" spans="1:10" x14ac:dyDescent="0.3">
      <c r="A59">
        <v>57</v>
      </c>
      <c r="B59">
        <v>1407</v>
      </c>
      <c r="C59" t="b">
        <v>1</v>
      </c>
      <c r="D59">
        <v>8100</v>
      </c>
      <c r="E59">
        <v>8087</v>
      </c>
      <c r="F59">
        <v>239.13333</v>
      </c>
      <c r="G59">
        <v>197.2</v>
      </c>
      <c r="H59">
        <v>1.2126437000000001</v>
      </c>
      <c r="I59">
        <v>-0.21264368</v>
      </c>
      <c r="J59">
        <v>0.45194807999999997</v>
      </c>
    </row>
    <row r="60" spans="1:10" x14ac:dyDescent="0.3">
      <c r="A60">
        <v>58</v>
      </c>
      <c r="B60">
        <v>1423</v>
      </c>
      <c r="C60" t="b">
        <v>1</v>
      </c>
      <c r="D60">
        <v>8088</v>
      </c>
      <c r="E60">
        <v>8099</v>
      </c>
      <c r="F60">
        <v>239.13333</v>
      </c>
      <c r="G60">
        <v>196.4</v>
      </c>
      <c r="H60">
        <v>1.2175832</v>
      </c>
      <c r="I60">
        <v>-0.2175832</v>
      </c>
      <c r="J60">
        <v>0.45094138</v>
      </c>
    </row>
    <row r="61" spans="1:10" x14ac:dyDescent="0.3">
      <c r="A61">
        <v>59</v>
      </c>
      <c r="B61">
        <v>1455</v>
      </c>
      <c r="C61" t="b">
        <v>1</v>
      </c>
      <c r="D61">
        <v>8083</v>
      </c>
      <c r="E61">
        <v>8111</v>
      </c>
      <c r="F61">
        <v>239.93333000000001</v>
      </c>
      <c r="G61">
        <v>195.6</v>
      </c>
      <c r="H61">
        <v>1.226653</v>
      </c>
      <c r="I61">
        <v>-0.22665299999999999</v>
      </c>
      <c r="J61">
        <v>0.44910457999999998</v>
      </c>
    </row>
    <row r="62" spans="1:10" x14ac:dyDescent="0.3">
      <c r="A62">
        <v>60</v>
      </c>
      <c r="B62">
        <v>1487</v>
      </c>
      <c r="C62" t="b">
        <v>1</v>
      </c>
      <c r="D62">
        <v>8071</v>
      </c>
      <c r="E62">
        <v>8117</v>
      </c>
      <c r="F62">
        <v>240.73334</v>
      </c>
      <c r="G62">
        <v>195.2</v>
      </c>
      <c r="H62">
        <v>1.2332650000000001</v>
      </c>
      <c r="I62">
        <v>-0.23326506999999999</v>
      </c>
      <c r="J62">
        <v>0.44777486</v>
      </c>
    </row>
    <row r="63" spans="1:10" x14ac:dyDescent="0.3">
      <c r="A63">
        <v>61</v>
      </c>
      <c r="B63">
        <v>1503</v>
      </c>
      <c r="C63" t="b">
        <v>1</v>
      </c>
      <c r="D63">
        <v>8065</v>
      </c>
      <c r="E63">
        <v>8117</v>
      </c>
      <c r="F63">
        <v>242.26666</v>
      </c>
      <c r="G63">
        <v>195.6</v>
      </c>
      <c r="H63">
        <v>1.2385820999999999</v>
      </c>
      <c r="I63">
        <v>-0.23858207000000001</v>
      </c>
      <c r="J63">
        <v>0.44671133000000002</v>
      </c>
    </row>
    <row r="64" spans="1:10" x14ac:dyDescent="0.3">
      <c r="A64">
        <v>62</v>
      </c>
      <c r="B64">
        <v>1519</v>
      </c>
      <c r="C64" t="b">
        <v>1</v>
      </c>
      <c r="D64">
        <v>8048</v>
      </c>
      <c r="E64">
        <v>8117</v>
      </c>
      <c r="F64">
        <v>241.86667</v>
      </c>
      <c r="G64">
        <v>196.4</v>
      </c>
      <c r="H64">
        <v>1.2315004000000001</v>
      </c>
      <c r="I64">
        <v>-0.23150039</v>
      </c>
      <c r="J64">
        <v>0.44812897000000002</v>
      </c>
    </row>
    <row r="65" spans="1:10" x14ac:dyDescent="0.3">
      <c r="A65">
        <v>63</v>
      </c>
      <c r="B65">
        <v>1535</v>
      </c>
      <c r="C65" t="b">
        <v>1</v>
      </c>
      <c r="D65">
        <v>8048</v>
      </c>
      <c r="E65">
        <v>8111</v>
      </c>
      <c r="F65">
        <v>240.66667000000001</v>
      </c>
      <c r="G65">
        <v>197.2</v>
      </c>
      <c r="H65">
        <v>1.2204193000000001</v>
      </c>
      <c r="I65">
        <v>-0.22041923999999999</v>
      </c>
      <c r="J65">
        <v>0.45036540000000003</v>
      </c>
    </row>
    <row r="66" spans="1:10" x14ac:dyDescent="0.3">
      <c r="A66">
        <v>64</v>
      </c>
      <c r="B66">
        <v>1551</v>
      </c>
      <c r="C66" t="b">
        <v>1</v>
      </c>
      <c r="D66">
        <v>8083</v>
      </c>
      <c r="E66">
        <v>8105</v>
      </c>
      <c r="F66">
        <v>238.73334</v>
      </c>
      <c r="G66">
        <v>197.6</v>
      </c>
      <c r="H66">
        <v>1.2081645999999999</v>
      </c>
      <c r="I66">
        <v>-0.20816462999999999</v>
      </c>
      <c r="J66">
        <v>0.45286480000000001</v>
      </c>
    </row>
    <row r="67" spans="1:10" x14ac:dyDescent="0.3">
      <c r="A67">
        <v>65</v>
      </c>
      <c r="B67">
        <v>1567</v>
      </c>
      <c r="C67" t="b">
        <v>1</v>
      </c>
      <c r="D67">
        <v>8071</v>
      </c>
      <c r="E67">
        <v>8093</v>
      </c>
      <c r="F67">
        <v>236.8</v>
      </c>
      <c r="G67">
        <v>197.6</v>
      </c>
      <c r="H67">
        <v>1.1983805999999999</v>
      </c>
      <c r="I67">
        <v>-0.19838053999999999</v>
      </c>
      <c r="J67">
        <v>0.45488030000000002</v>
      </c>
    </row>
    <row r="68" spans="1:10" x14ac:dyDescent="0.3">
      <c r="A68">
        <v>66</v>
      </c>
      <c r="B68">
        <v>1583</v>
      </c>
      <c r="C68" t="b">
        <v>1</v>
      </c>
      <c r="D68">
        <v>8060</v>
      </c>
      <c r="E68">
        <v>8099</v>
      </c>
      <c r="F68">
        <v>234.53334000000001</v>
      </c>
      <c r="G68">
        <v>196.8</v>
      </c>
      <c r="H68">
        <v>1.1917344000000001</v>
      </c>
      <c r="I68">
        <v>-0.19173443000000001</v>
      </c>
      <c r="J68">
        <v>0.45625967000000001</v>
      </c>
    </row>
    <row r="69" spans="1:10" x14ac:dyDescent="0.3">
      <c r="A69">
        <v>67</v>
      </c>
      <c r="B69">
        <v>1599</v>
      </c>
      <c r="C69" t="b">
        <v>1</v>
      </c>
      <c r="D69">
        <v>8071</v>
      </c>
      <c r="E69">
        <v>8087</v>
      </c>
      <c r="F69">
        <v>233</v>
      </c>
      <c r="G69">
        <v>195.6</v>
      </c>
      <c r="H69">
        <v>1.1912065000000001</v>
      </c>
      <c r="I69">
        <v>-0.1912065</v>
      </c>
      <c r="J69">
        <v>0.45636958</v>
      </c>
    </row>
    <row r="70" spans="1:10" x14ac:dyDescent="0.3">
      <c r="A70">
        <v>68</v>
      </c>
      <c r="B70">
        <v>1630</v>
      </c>
      <c r="C70" t="b">
        <v>1</v>
      </c>
      <c r="D70">
        <v>8077</v>
      </c>
      <c r="E70">
        <v>8111</v>
      </c>
      <c r="F70">
        <v>231.86667</v>
      </c>
      <c r="G70">
        <v>194.4</v>
      </c>
      <c r="H70">
        <v>1.1927298</v>
      </c>
      <c r="I70">
        <v>-0.19272982</v>
      </c>
      <c r="J70">
        <v>0.45605254000000001</v>
      </c>
    </row>
    <row r="71" spans="1:10" x14ac:dyDescent="0.3">
      <c r="A71">
        <v>69</v>
      </c>
      <c r="B71">
        <v>1662</v>
      </c>
      <c r="C71" t="b">
        <v>1</v>
      </c>
      <c r="D71">
        <v>8071</v>
      </c>
      <c r="E71">
        <v>8117</v>
      </c>
      <c r="F71">
        <v>231.46665999999999</v>
      </c>
      <c r="G71">
        <v>192.8</v>
      </c>
      <c r="H71">
        <v>1.2005532000000001</v>
      </c>
      <c r="I71">
        <v>-0.20055319999999999</v>
      </c>
      <c r="J71">
        <v>0.45443117999999999</v>
      </c>
    </row>
    <row r="72" spans="1:10" x14ac:dyDescent="0.3">
      <c r="A72">
        <v>70</v>
      </c>
      <c r="B72">
        <v>1694</v>
      </c>
      <c r="C72" t="b">
        <v>1</v>
      </c>
      <c r="D72">
        <v>8094</v>
      </c>
      <c r="E72">
        <v>8117</v>
      </c>
      <c r="F72">
        <v>231.46665999999999</v>
      </c>
      <c r="G72">
        <v>192</v>
      </c>
      <c r="H72">
        <v>1.2055556000000001</v>
      </c>
      <c r="I72">
        <v>-0.20555551</v>
      </c>
      <c r="J72">
        <v>0.45340049999999998</v>
      </c>
    </row>
    <row r="73" spans="1:10" x14ac:dyDescent="0.3">
      <c r="A73">
        <v>71</v>
      </c>
      <c r="B73">
        <v>1726</v>
      </c>
      <c r="C73" t="b">
        <v>1</v>
      </c>
      <c r="D73">
        <v>8077</v>
      </c>
      <c r="E73">
        <v>8111</v>
      </c>
      <c r="F73">
        <v>231.86667</v>
      </c>
      <c r="G73">
        <v>191.2</v>
      </c>
      <c r="H73">
        <v>1.2126918</v>
      </c>
      <c r="I73">
        <v>-0.21269179999999999</v>
      </c>
      <c r="J73">
        <v>0.45193823999999999</v>
      </c>
    </row>
    <row r="74" spans="1:10" x14ac:dyDescent="0.3">
      <c r="A74">
        <v>72</v>
      </c>
      <c r="B74">
        <v>1757</v>
      </c>
      <c r="C74" t="b">
        <v>1</v>
      </c>
      <c r="D74">
        <v>8100</v>
      </c>
      <c r="E74">
        <v>8117</v>
      </c>
      <c r="F74">
        <v>232.26666</v>
      </c>
      <c r="G74">
        <v>192.4</v>
      </c>
      <c r="H74">
        <v>1.2072072</v>
      </c>
      <c r="I74">
        <v>-0.20720722</v>
      </c>
      <c r="J74">
        <v>0.45306121999999999</v>
      </c>
    </row>
    <row r="75" spans="1:10" x14ac:dyDescent="0.3">
      <c r="A75">
        <v>73</v>
      </c>
      <c r="B75">
        <v>1773</v>
      </c>
      <c r="C75" t="b">
        <v>1</v>
      </c>
      <c r="D75">
        <v>8100</v>
      </c>
      <c r="E75">
        <v>8099</v>
      </c>
      <c r="F75">
        <v>233.8</v>
      </c>
      <c r="G75">
        <v>193.6</v>
      </c>
      <c r="H75">
        <v>1.2076446000000001</v>
      </c>
      <c r="I75">
        <v>-0.20764461000000001</v>
      </c>
      <c r="J75">
        <v>0.45297145999999999</v>
      </c>
    </row>
    <row r="76" spans="1:10" x14ac:dyDescent="0.3">
      <c r="A76">
        <v>74</v>
      </c>
      <c r="B76">
        <v>1790</v>
      </c>
      <c r="C76" t="b">
        <v>1</v>
      </c>
      <c r="D76">
        <v>8111</v>
      </c>
      <c r="E76">
        <v>8105</v>
      </c>
      <c r="F76">
        <v>234.93333000000001</v>
      </c>
      <c r="G76">
        <v>194.4</v>
      </c>
      <c r="H76">
        <v>1.2085048</v>
      </c>
      <c r="I76">
        <v>-0.20850484</v>
      </c>
      <c r="J76">
        <v>0.45279502999999999</v>
      </c>
    </row>
    <row r="77" spans="1:10" x14ac:dyDescent="0.3">
      <c r="A77">
        <v>75</v>
      </c>
      <c r="B77">
        <v>1806</v>
      </c>
      <c r="C77" t="b">
        <v>1</v>
      </c>
      <c r="D77">
        <v>8065</v>
      </c>
      <c r="E77">
        <v>8117</v>
      </c>
      <c r="F77">
        <v>236.06666999999999</v>
      </c>
      <c r="G77">
        <v>195.2</v>
      </c>
      <c r="H77">
        <v>1.2093579999999999</v>
      </c>
      <c r="I77">
        <v>-0.20935793</v>
      </c>
      <c r="J77">
        <v>0.45262017999999998</v>
      </c>
    </row>
    <row r="78" spans="1:10" x14ac:dyDescent="0.3">
      <c r="A78">
        <v>76</v>
      </c>
      <c r="B78">
        <v>1837</v>
      </c>
      <c r="C78" t="b">
        <v>1</v>
      </c>
      <c r="D78">
        <v>8083</v>
      </c>
      <c r="E78">
        <v>8111</v>
      </c>
      <c r="F78">
        <v>237.2</v>
      </c>
      <c r="G78">
        <v>195.2</v>
      </c>
      <c r="H78">
        <v>1.2151639999999999</v>
      </c>
      <c r="I78">
        <v>-0.21516393</v>
      </c>
      <c r="J78">
        <v>0.45143387000000001</v>
      </c>
    </row>
    <row r="79" spans="1:10" x14ac:dyDescent="0.3">
      <c r="A79">
        <v>77</v>
      </c>
      <c r="B79">
        <v>1869</v>
      </c>
      <c r="C79" t="b">
        <v>1</v>
      </c>
      <c r="D79">
        <v>8071</v>
      </c>
      <c r="E79">
        <v>8111</v>
      </c>
      <c r="F79">
        <v>238</v>
      </c>
      <c r="G79">
        <v>194.8</v>
      </c>
      <c r="H79">
        <v>1.2217659000000001</v>
      </c>
      <c r="I79">
        <v>-0.22176588999999999</v>
      </c>
      <c r="J79">
        <v>0.45009242999999999</v>
      </c>
    </row>
    <row r="80" spans="1:10" x14ac:dyDescent="0.3">
      <c r="A80">
        <v>78</v>
      </c>
      <c r="B80">
        <v>1901</v>
      </c>
      <c r="C80" t="b">
        <v>1</v>
      </c>
      <c r="D80">
        <v>8077</v>
      </c>
      <c r="E80">
        <v>8105</v>
      </c>
      <c r="F80">
        <v>238.8</v>
      </c>
      <c r="G80">
        <v>194.4</v>
      </c>
      <c r="H80">
        <v>1.2283951</v>
      </c>
      <c r="I80">
        <v>-0.22839512000000001</v>
      </c>
      <c r="J80">
        <v>0.44875345</v>
      </c>
    </row>
    <row r="81" spans="1:10" x14ac:dyDescent="0.3">
      <c r="A81">
        <v>79</v>
      </c>
      <c r="B81">
        <v>1917</v>
      </c>
      <c r="C81" t="b">
        <v>1</v>
      </c>
      <c r="D81">
        <v>8071</v>
      </c>
      <c r="E81">
        <v>8105</v>
      </c>
      <c r="F81">
        <v>239.2</v>
      </c>
      <c r="G81">
        <v>194</v>
      </c>
      <c r="H81">
        <v>1.2329897000000001</v>
      </c>
      <c r="I81">
        <v>-0.23298967000000001</v>
      </c>
      <c r="J81">
        <v>0.44783008000000002</v>
      </c>
    </row>
    <row r="82" spans="1:10" x14ac:dyDescent="0.3">
      <c r="A82">
        <v>80</v>
      </c>
      <c r="B82">
        <v>1949</v>
      </c>
      <c r="C82" t="b">
        <v>1</v>
      </c>
      <c r="D82">
        <v>8077</v>
      </c>
      <c r="E82">
        <v>8105</v>
      </c>
      <c r="F82">
        <v>240</v>
      </c>
      <c r="G82">
        <v>193.6</v>
      </c>
      <c r="H82">
        <v>1.2396693000000001</v>
      </c>
      <c r="I82">
        <v>-0.23966937999999999</v>
      </c>
      <c r="J82">
        <v>0.44649445999999998</v>
      </c>
    </row>
    <row r="83" spans="1:10" x14ac:dyDescent="0.3">
      <c r="A83">
        <v>81</v>
      </c>
      <c r="B83">
        <v>1980</v>
      </c>
      <c r="C83" t="b">
        <v>1</v>
      </c>
      <c r="D83">
        <v>8083</v>
      </c>
      <c r="E83">
        <v>8117</v>
      </c>
      <c r="F83">
        <v>241.13333</v>
      </c>
      <c r="G83">
        <v>193.6</v>
      </c>
      <c r="H83">
        <v>1.2455233000000001</v>
      </c>
      <c r="I83">
        <v>-0.24552336</v>
      </c>
      <c r="J83">
        <v>0.44533046999999998</v>
      </c>
    </row>
    <row r="84" spans="1:10" x14ac:dyDescent="0.3">
      <c r="A84">
        <v>82</v>
      </c>
      <c r="B84">
        <v>2012</v>
      </c>
      <c r="C84" t="b">
        <v>1</v>
      </c>
      <c r="D84">
        <v>8094</v>
      </c>
      <c r="E84">
        <v>8123</v>
      </c>
      <c r="F84">
        <v>241.53334000000001</v>
      </c>
      <c r="G84">
        <v>194</v>
      </c>
      <c r="H84">
        <v>1.2450171999999999</v>
      </c>
      <c r="I84">
        <v>-0.24501722000000001</v>
      </c>
      <c r="J84">
        <v>0.44543090000000002</v>
      </c>
    </row>
    <row r="85" spans="1:10" x14ac:dyDescent="0.3">
      <c r="A85">
        <v>83</v>
      </c>
      <c r="B85">
        <v>2044</v>
      </c>
      <c r="C85" t="b">
        <v>1</v>
      </c>
      <c r="D85">
        <v>8077</v>
      </c>
      <c r="E85">
        <v>8105</v>
      </c>
      <c r="F85">
        <v>241.93333000000001</v>
      </c>
      <c r="G85">
        <v>194.4</v>
      </c>
      <c r="H85">
        <v>1.244513</v>
      </c>
      <c r="I85">
        <v>-0.24451307999999999</v>
      </c>
      <c r="J85">
        <v>0.44553094999999998</v>
      </c>
    </row>
    <row r="86" spans="1:10" x14ac:dyDescent="0.3">
      <c r="A86">
        <v>84</v>
      </c>
      <c r="B86">
        <v>2076</v>
      </c>
      <c r="C86" t="b">
        <v>1</v>
      </c>
      <c r="D86">
        <v>8094</v>
      </c>
      <c r="E86">
        <v>8105</v>
      </c>
      <c r="F86">
        <v>242.73334</v>
      </c>
      <c r="G86">
        <v>194.8</v>
      </c>
      <c r="H86">
        <v>1.2460643</v>
      </c>
      <c r="I86">
        <v>-0.24606433999999999</v>
      </c>
      <c r="J86">
        <v>0.44522324000000002</v>
      </c>
    </row>
    <row r="87" spans="1:10" x14ac:dyDescent="0.3">
      <c r="A87">
        <v>85</v>
      </c>
      <c r="B87">
        <v>2092</v>
      </c>
      <c r="C87" t="b">
        <v>1</v>
      </c>
      <c r="D87">
        <v>8088</v>
      </c>
      <c r="E87">
        <v>8099</v>
      </c>
      <c r="F87">
        <v>243.86667</v>
      </c>
      <c r="G87">
        <v>194.4</v>
      </c>
      <c r="H87">
        <v>1.2544582</v>
      </c>
      <c r="I87">
        <v>-0.25445822000000001</v>
      </c>
      <c r="J87">
        <v>0.44356554999999998</v>
      </c>
    </row>
    <row r="88" spans="1:10" x14ac:dyDescent="0.3">
      <c r="A88">
        <v>86</v>
      </c>
      <c r="B88">
        <v>2123</v>
      </c>
      <c r="C88" t="b">
        <v>1</v>
      </c>
      <c r="D88">
        <v>8106</v>
      </c>
      <c r="E88">
        <v>8105</v>
      </c>
      <c r="F88">
        <v>245</v>
      </c>
      <c r="G88">
        <v>194</v>
      </c>
      <c r="H88">
        <v>1.2628866000000001</v>
      </c>
      <c r="I88">
        <v>-0.26288657999999998</v>
      </c>
      <c r="J88">
        <v>0.44191343</v>
      </c>
    </row>
    <row r="89" spans="1:10" x14ac:dyDescent="0.3">
      <c r="A89">
        <v>87</v>
      </c>
      <c r="B89">
        <v>2139</v>
      </c>
      <c r="C89" t="b">
        <v>1</v>
      </c>
      <c r="D89">
        <v>8083</v>
      </c>
      <c r="E89">
        <v>8099</v>
      </c>
      <c r="F89">
        <v>245.73334</v>
      </c>
      <c r="G89">
        <v>193.2</v>
      </c>
      <c r="H89">
        <v>1.2719117</v>
      </c>
      <c r="I89">
        <v>-0.27191169999999998</v>
      </c>
      <c r="J89">
        <v>0.44015795000000002</v>
      </c>
    </row>
    <row r="90" spans="1:10" x14ac:dyDescent="0.3">
      <c r="A90">
        <v>88</v>
      </c>
      <c r="B90">
        <v>2155</v>
      </c>
      <c r="C90" t="b">
        <v>1</v>
      </c>
      <c r="D90">
        <v>8071</v>
      </c>
      <c r="E90">
        <v>8105</v>
      </c>
      <c r="F90">
        <v>245.33332999999999</v>
      </c>
      <c r="G90">
        <v>192.4</v>
      </c>
      <c r="H90">
        <v>1.2751212999999999</v>
      </c>
      <c r="I90">
        <v>-0.27512130000000001</v>
      </c>
      <c r="J90">
        <v>0.43953700000000001</v>
      </c>
    </row>
    <row r="91" spans="1:10" x14ac:dyDescent="0.3">
      <c r="A91">
        <v>89</v>
      </c>
      <c r="B91">
        <v>2171</v>
      </c>
      <c r="C91" t="b">
        <v>1</v>
      </c>
      <c r="D91">
        <v>8071</v>
      </c>
      <c r="E91">
        <v>8117</v>
      </c>
      <c r="F91">
        <v>244.2</v>
      </c>
      <c r="G91">
        <v>192</v>
      </c>
      <c r="H91">
        <v>1.2718750000000001</v>
      </c>
      <c r="I91">
        <v>-0.27187499999999998</v>
      </c>
      <c r="J91">
        <v>0.44016504000000001</v>
      </c>
    </row>
    <row r="92" spans="1:10" x14ac:dyDescent="0.3">
      <c r="A92">
        <v>90</v>
      </c>
      <c r="B92">
        <v>2187</v>
      </c>
      <c r="C92" t="b">
        <v>1</v>
      </c>
      <c r="D92">
        <v>8077</v>
      </c>
      <c r="E92">
        <v>8087</v>
      </c>
      <c r="F92">
        <v>242.66667000000001</v>
      </c>
      <c r="G92">
        <v>191.6</v>
      </c>
      <c r="H92">
        <v>1.2665275</v>
      </c>
      <c r="I92">
        <v>-0.26652746999999999</v>
      </c>
      <c r="J92">
        <v>0.44120359999999997</v>
      </c>
    </row>
    <row r="93" spans="1:10" x14ac:dyDescent="0.3">
      <c r="A93">
        <v>91</v>
      </c>
      <c r="B93">
        <v>2202</v>
      </c>
      <c r="C93" t="b">
        <v>1</v>
      </c>
      <c r="D93">
        <v>8054</v>
      </c>
      <c r="E93">
        <v>8129</v>
      </c>
      <c r="F93">
        <v>240.73334</v>
      </c>
      <c r="G93">
        <v>191.2</v>
      </c>
      <c r="H93">
        <v>1.2590656</v>
      </c>
      <c r="I93">
        <v>-0.25906560000000001</v>
      </c>
      <c r="J93">
        <v>0.44266086999999998</v>
      </c>
    </row>
    <row r="94" spans="1:10" x14ac:dyDescent="0.3">
      <c r="A94">
        <v>92</v>
      </c>
      <c r="B94">
        <v>2219</v>
      </c>
      <c r="C94" t="b">
        <v>1</v>
      </c>
      <c r="D94">
        <v>8077</v>
      </c>
      <c r="E94">
        <v>8105</v>
      </c>
      <c r="F94">
        <v>239.93333000000001</v>
      </c>
      <c r="G94">
        <v>190.8</v>
      </c>
      <c r="H94">
        <v>1.2575122000000001</v>
      </c>
      <c r="I94">
        <v>-0.25751220000000002</v>
      </c>
      <c r="J94">
        <v>0.44296548000000002</v>
      </c>
    </row>
    <row r="95" spans="1:10" x14ac:dyDescent="0.3">
      <c r="A95">
        <v>93</v>
      </c>
      <c r="B95">
        <v>2234</v>
      </c>
      <c r="C95" t="b">
        <v>1</v>
      </c>
      <c r="D95">
        <v>8065</v>
      </c>
      <c r="E95">
        <v>8087</v>
      </c>
      <c r="F95">
        <v>239.53334000000001</v>
      </c>
      <c r="G95">
        <v>190.4</v>
      </c>
      <c r="H95">
        <v>1.2580533</v>
      </c>
      <c r="I95">
        <v>-0.25805329999999999</v>
      </c>
      <c r="J95">
        <v>0.44285932</v>
      </c>
    </row>
    <row r="96" spans="1:10" x14ac:dyDescent="0.3">
      <c r="A96">
        <v>94</v>
      </c>
      <c r="B96">
        <v>2266</v>
      </c>
      <c r="C96" t="b">
        <v>1</v>
      </c>
      <c r="D96">
        <v>8065</v>
      </c>
      <c r="E96">
        <v>8111</v>
      </c>
      <c r="F96">
        <v>239.13333</v>
      </c>
      <c r="G96">
        <v>190</v>
      </c>
      <c r="H96">
        <v>1.2585964999999999</v>
      </c>
      <c r="I96">
        <v>-0.25859648000000002</v>
      </c>
      <c r="J96">
        <v>0.44275283999999998</v>
      </c>
    </row>
    <row r="97" spans="1:10" x14ac:dyDescent="0.3">
      <c r="A97">
        <v>95</v>
      </c>
      <c r="B97">
        <v>2298</v>
      </c>
      <c r="C97" t="b">
        <v>1</v>
      </c>
      <c r="D97">
        <v>8060</v>
      </c>
      <c r="E97">
        <v>8081</v>
      </c>
      <c r="F97">
        <v>238.33332999999999</v>
      </c>
      <c r="G97">
        <v>190</v>
      </c>
      <c r="H97">
        <v>1.254386</v>
      </c>
      <c r="I97">
        <v>-0.25438595000000003</v>
      </c>
      <c r="J97">
        <v>0.44357980000000002</v>
      </c>
    </row>
    <row r="98" spans="1:10" x14ac:dyDescent="0.3">
      <c r="A98">
        <v>96</v>
      </c>
      <c r="B98">
        <v>2329</v>
      </c>
      <c r="C98" t="b">
        <v>1</v>
      </c>
      <c r="D98">
        <v>8083</v>
      </c>
      <c r="E98">
        <v>8111</v>
      </c>
      <c r="F98">
        <v>237.53334000000001</v>
      </c>
      <c r="G98">
        <v>190</v>
      </c>
      <c r="H98">
        <v>1.2501755000000001</v>
      </c>
      <c r="I98">
        <v>-0.25017548000000001</v>
      </c>
      <c r="J98">
        <v>0.44440980000000002</v>
      </c>
    </row>
    <row r="99" spans="1:10" x14ac:dyDescent="0.3">
      <c r="A99">
        <v>97</v>
      </c>
      <c r="B99">
        <v>2361</v>
      </c>
      <c r="C99" t="b">
        <v>1</v>
      </c>
      <c r="D99">
        <v>8111</v>
      </c>
      <c r="E99">
        <v>8093</v>
      </c>
      <c r="F99">
        <v>236.73334</v>
      </c>
      <c r="G99">
        <v>189.2</v>
      </c>
      <c r="H99">
        <v>1.2512333</v>
      </c>
      <c r="I99">
        <v>-0.25123329999999999</v>
      </c>
      <c r="J99">
        <v>0.44420092999999999</v>
      </c>
    </row>
    <row r="100" spans="1:10" x14ac:dyDescent="0.3">
      <c r="A100">
        <v>98</v>
      </c>
      <c r="B100">
        <v>2393</v>
      </c>
      <c r="C100" t="b">
        <v>1</v>
      </c>
      <c r="D100">
        <v>8071</v>
      </c>
      <c r="E100">
        <v>8134</v>
      </c>
      <c r="F100">
        <v>236.33332999999999</v>
      </c>
      <c r="G100">
        <v>189.6</v>
      </c>
      <c r="H100">
        <v>1.2464838</v>
      </c>
      <c r="I100">
        <v>-0.24648376</v>
      </c>
      <c r="J100">
        <v>0.44514009999999998</v>
      </c>
    </row>
    <row r="101" spans="1:10" x14ac:dyDescent="0.3">
      <c r="A101">
        <v>99</v>
      </c>
      <c r="B101">
        <v>2425</v>
      </c>
      <c r="C101" t="b">
        <v>1</v>
      </c>
      <c r="D101">
        <v>8060</v>
      </c>
      <c r="E101">
        <v>8093</v>
      </c>
      <c r="F101">
        <v>235.53334000000001</v>
      </c>
      <c r="G101">
        <v>188.8</v>
      </c>
      <c r="H101">
        <v>1.2475282999999999</v>
      </c>
      <c r="I101">
        <v>-0.24752826999999999</v>
      </c>
      <c r="J101">
        <v>0.44493324000000001</v>
      </c>
    </row>
    <row r="102" spans="1:10" x14ac:dyDescent="0.3">
      <c r="A102">
        <v>100</v>
      </c>
      <c r="B102">
        <v>2457</v>
      </c>
      <c r="C102" t="b">
        <v>1</v>
      </c>
      <c r="D102">
        <v>8094</v>
      </c>
      <c r="E102">
        <v>8093</v>
      </c>
      <c r="F102">
        <v>235.2</v>
      </c>
      <c r="G102">
        <v>188</v>
      </c>
      <c r="H102">
        <v>1.2510638000000001</v>
      </c>
      <c r="I102">
        <v>-0.25106381999999999</v>
      </c>
      <c r="J102">
        <v>0.44423439999999997</v>
      </c>
    </row>
    <row r="103" spans="1:10" x14ac:dyDescent="0.3">
      <c r="A103">
        <v>101</v>
      </c>
      <c r="B103">
        <v>2473</v>
      </c>
      <c r="C103" t="b">
        <v>1</v>
      </c>
      <c r="D103">
        <v>8060</v>
      </c>
      <c r="E103">
        <v>8134</v>
      </c>
      <c r="F103">
        <v>233.66667000000001</v>
      </c>
      <c r="G103">
        <v>187.2</v>
      </c>
      <c r="H103">
        <v>1.2482194</v>
      </c>
      <c r="I103">
        <v>-0.24821942</v>
      </c>
      <c r="J103">
        <v>0.44479644000000002</v>
      </c>
    </row>
    <row r="104" spans="1:10" x14ac:dyDescent="0.3">
      <c r="A104">
        <v>102</v>
      </c>
      <c r="B104">
        <v>2505</v>
      </c>
      <c r="C104" t="b">
        <v>1</v>
      </c>
      <c r="D104">
        <v>8065</v>
      </c>
      <c r="E104">
        <v>8099</v>
      </c>
      <c r="F104">
        <v>232.13333</v>
      </c>
      <c r="G104">
        <v>186.8</v>
      </c>
      <c r="H104">
        <v>1.2426838</v>
      </c>
      <c r="I104">
        <v>-0.24268376999999999</v>
      </c>
      <c r="J104">
        <v>0.44589433000000001</v>
      </c>
    </row>
    <row r="105" spans="1:10" x14ac:dyDescent="0.3">
      <c r="A105">
        <v>103</v>
      </c>
      <c r="B105">
        <v>2536</v>
      </c>
      <c r="C105" t="b">
        <v>1</v>
      </c>
      <c r="D105">
        <v>8048</v>
      </c>
      <c r="E105">
        <v>8129</v>
      </c>
      <c r="F105">
        <v>230.26666</v>
      </c>
      <c r="G105">
        <v>186.4</v>
      </c>
      <c r="H105">
        <v>1.2353362000000001</v>
      </c>
      <c r="I105">
        <v>-0.23533620999999999</v>
      </c>
      <c r="J105">
        <v>0.44735999999999998</v>
      </c>
    </row>
    <row r="106" spans="1:10" x14ac:dyDescent="0.3">
      <c r="A106">
        <v>104</v>
      </c>
      <c r="B106">
        <v>2567</v>
      </c>
      <c r="C106" t="b">
        <v>1</v>
      </c>
      <c r="D106">
        <v>8060</v>
      </c>
      <c r="E106">
        <v>8111</v>
      </c>
      <c r="F106">
        <v>228.73334</v>
      </c>
      <c r="G106">
        <v>186.8</v>
      </c>
      <c r="H106">
        <v>1.2244824999999999</v>
      </c>
      <c r="I106">
        <v>-0.22448251999999999</v>
      </c>
      <c r="J106">
        <v>0.44954275999999999</v>
      </c>
    </row>
    <row r="107" spans="1:10" x14ac:dyDescent="0.3">
      <c r="A107">
        <v>105</v>
      </c>
      <c r="B107">
        <v>2598</v>
      </c>
      <c r="C107" t="b">
        <v>1</v>
      </c>
      <c r="D107">
        <v>8100</v>
      </c>
      <c r="E107">
        <v>8105</v>
      </c>
      <c r="F107">
        <v>227.6</v>
      </c>
      <c r="G107">
        <v>187.2</v>
      </c>
      <c r="H107">
        <v>1.2158119999999999</v>
      </c>
      <c r="I107">
        <v>-0.21581201</v>
      </c>
      <c r="J107">
        <v>0.45130184000000001</v>
      </c>
    </row>
    <row r="108" spans="1:10" x14ac:dyDescent="0.3">
      <c r="A108">
        <v>106</v>
      </c>
      <c r="B108">
        <v>2630</v>
      </c>
      <c r="C108" t="b">
        <v>1</v>
      </c>
      <c r="D108">
        <v>8100</v>
      </c>
      <c r="E108">
        <v>8129</v>
      </c>
      <c r="F108">
        <v>227.2</v>
      </c>
      <c r="G108">
        <v>187.6</v>
      </c>
      <c r="H108">
        <v>1.2110873</v>
      </c>
      <c r="I108">
        <v>-0.21108736</v>
      </c>
      <c r="J108">
        <v>0.45226620000000001</v>
      </c>
    </row>
    <row r="109" spans="1:10" x14ac:dyDescent="0.3">
      <c r="A109">
        <v>107</v>
      </c>
      <c r="B109">
        <v>2662</v>
      </c>
      <c r="C109" t="b">
        <v>1</v>
      </c>
      <c r="D109">
        <v>8077</v>
      </c>
      <c r="E109">
        <v>8087</v>
      </c>
      <c r="F109">
        <v>227.6</v>
      </c>
      <c r="G109">
        <v>188</v>
      </c>
      <c r="H109">
        <v>1.2106383000000001</v>
      </c>
      <c r="I109">
        <v>-0.21063833000000001</v>
      </c>
      <c r="J109">
        <v>0.45235804000000002</v>
      </c>
    </row>
    <row r="110" spans="1:10" x14ac:dyDescent="0.3">
      <c r="A110">
        <v>108</v>
      </c>
      <c r="B110">
        <v>2693</v>
      </c>
      <c r="C110" t="b">
        <v>1</v>
      </c>
      <c r="D110">
        <v>8077</v>
      </c>
      <c r="E110">
        <v>8111</v>
      </c>
      <c r="F110">
        <v>228</v>
      </c>
      <c r="G110">
        <v>188.4</v>
      </c>
      <c r="H110">
        <v>1.2101911000000001</v>
      </c>
      <c r="I110">
        <v>-0.21019112000000001</v>
      </c>
      <c r="J110">
        <v>0.45244955999999997</v>
      </c>
    </row>
    <row r="111" spans="1:10" x14ac:dyDescent="0.3">
      <c r="A111">
        <v>109</v>
      </c>
      <c r="B111">
        <v>2709</v>
      </c>
      <c r="C111" t="b">
        <v>1</v>
      </c>
      <c r="D111">
        <v>8077</v>
      </c>
      <c r="E111">
        <v>8134</v>
      </c>
      <c r="F111">
        <v>228.8</v>
      </c>
      <c r="G111">
        <v>188.8</v>
      </c>
      <c r="H111">
        <v>1.2118644000000001</v>
      </c>
      <c r="I111">
        <v>-0.21186440000000001</v>
      </c>
      <c r="J111">
        <v>0.45210728</v>
      </c>
    </row>
    <row r="112" spans="1:10" x14ac:dyDescent="0.3">
      <c r="A112">
        <v>110</v>
      </c>
      <c r="B112">
        <v>2725</v>
      </c>
      <c r="C112" t="b">
        <v>1</v>
      </c>
      <c r="D112">
        <v>8077</v>
      </c>
      <c r="E112">
        <v>8117</v>
      </c>
      <c r="F112">
        <v>229.6</v>
      </c>
      <c r="G112">
        <v>189.6</v>
      </c>
      <c r="H112">
        <v>1.2109703999999999</v>
      </c>
      <c r="I112">
        <v>-0.21097046</v>
      </c>
      <c r="J112">
        <v>0.45229009999999997</v>
      </c>
    </row>
    <row r="113" spans="1:10" x14ac:dyDescent="0.3">
      <c r="A113">
        <v>111</v>
      </c>
      <c r="B113">
        <v>2741</v>
      </c>
      <c r="C113" t="b">
        <v>1</v>
      </c>
      <c r="D113">
        <v>8083</v>
      </c>
      <c r="E113">
        <v>8111</v>
      </c>
      <c r="F113">
        <v>230.4</v>
      </c>
      <c r="G113">
        <v>190</v>
      </c>
      <c r="H113">
        <v>1.2126315999999999</v>
      </c>
      <c r="I113">
        <v>-0.21263155</v>
      </c>
      <c r="J113">
        <v>0.45195052000000002</v>
      </c>
    </row>
    <row r="114" spans="1:10" x14ac:dyDescent="0.3">
      <c r="A114">
        <v>112</v>
      </c>
      <c r="B114">
        <v>2757</v>
      </c>
      <c r="C114" t="b">
        <v>1</v>
      </c>
      <c r="D114">
        <v>8065</v>
      </c>
      <c r="E114">
        <v>8111</v>
      </c>
      <c r="F114">
        <v>231.2</v>
      </c>
      <c r="G114">
        <v>191.2</v>
      </c>
      <c r="H114">
        <v>1.2092050000000001</v>
      </c>
      <c r="I114">
        <v>-0.20920502999999999</v>
      </c>
      <c r="J114">
        <v>0.45265149999999998</v>
      </c>
    </row>
    <row r="115" spans="1:10" x14ac:dyDescent="0.3">
      <c r="A115">
        <v>113</v>
      </c>
      <c r="B115">
        <v>2788</v>
      </c>
      <c r="C115" t="b">
        <v>1</v>
      </c>
      <c r="D115">
        <v>8106</v>
      </c>
      <c r="E115">
        <v>8081</v>
      </c>
      <c r="F115">
        <v>231.6</v>
      </c>
      <c r="G115">
        <v>191.2</v>
      </c>
      <c r="H115">
        <v>1.2112972</v>
      </c>
      <c r="I115">
        <v>-0.21129712</v>
      </c>
      <c r="J115">
        <v>0.45222327000000001</v>
      </c>
    </row>
    <row r="116" spans="1:10" x14ac:dyDescent="0.3">
      <c r="A116">
        <v>114</v>
      </c>
      <c r="B116">
        <v>2820</v>
      </c>
      <c r="C116" t="b">
        <v>1</v>
      </c>
      <c r="D116">
        <v>8060</v>
      </c>
      <c r="E116">
        <v>8087</v>
      </c>
      <c r="F116">
        <v>232</v>
      </c>
      <c r="G116">
        <v>192.4</v>
      </c>
      <c r="H116">
        <v>1.2058213</v>
      </c>
      <c r="I116">
        <v>-0.20582125000000001</v>
      </c>
      <c r="J116">
        <v>0.45334590000000002</v>
      </c>
    </row>
    <row r="117" spans="1:10" x14ac:dyDescent="0.3">
      <c r="A117">
        <v>115</v>
      </c>
      <c r="B117">
        <v>2836</v>
      </c>
      <c r="C117" t="b">
        <v>1</v>
      </c>
      <c r="D117">
        <v>8065</v>
      </c>
      <c r="E117">
        <v>8093</v>
      </c>
      <c r="F117">
        <v>230.8</v>
      </c>
      <c r="G117">
        <v>192.4</v>
      </c>
      <c r="H117">
        <v>1.1995842000000001</v>
      </c>
      <c r="I117">
        <v>-0.19958426000000001</v>
      </c>
      <c r="J117">
        <v>0.45463135999999998</v>
      </c>
    </row>
    <row r="118" spans="1:10" x14ac:dyDescent="0.3">
      <c r="A118">
        <v>116</v>
      </c>
      <c r="B118">
        <v>2852</v>
      </c>
      <c r="C118" t="b">
        <v>1</v>
      </c>
      <c r="D118">
        <v>8088</v>
      </c>
      <c r="E118">
        <v>8105</v>
      </c>
      <c r="F118">
        <v>230.4</v>
      </c>
      <c r="G118">
        <v>192.4</v>
      </c>
      <c r="H118">
        <v>1.1975051999999999</v>
      </c>
      <c r="I118">
        <v>-0.19750519999999999</v>
      </c>
      <c r="J118">
        <v>0.45506150000000001</v>
      </c>
    </row>
    <row r="119" spans="1:10" x14ac:dyDescent="0.3">
      <c r="A119">
        <v>117</v>
      </c>
      <c r="B119">
        <v>2868</v>
      </c>
      <c r="C119" t="b">
        <v>1</v>
      </c>
      <c r="D119">
        <v>8065</v>
      </c>
      <c r="E119">
        <v>8099</v>
      </c>
      <c r="F119">
        <v>230.4</v>
      </c>
      <c r="G119">
        <v>192</v>
      </c>
      <c r="H119">
        <v>1.1999998999999999</v>
      </c>
      <c r="I119">
        <v>-0.19999997</v>
      </c>
      <c r="J119">
        <v>0.45454547000000001</v>
      </c>
    </row>
    <row r="120" spans="1:10" x14ac:dyDescent="0.3">
      <c r="A120">
        <v>118</v>
      </c>
      <c r="B120">
        <v>2899</v>
      </c>
      <c r="C120" t="b">
        <v>1</v>
      </c>
      <c r="D120">
        <v>8060</v>
      </c>
      <c r="E120">
        <v>8093</v>
      </c>
      <c r="F120">
        <v>230.73334</v>
      </c>
      <c r="G120">
        <v>191.6</v>
      </c>
      <c r="H120">
        <v>1.204245</v>
      </c>
      <c r="I120">
        <v>-0.20424494000000001</v>
      </c>
      <c r="J120">
        <v>0.45367007999999998</v>
      </c>
    </row>
    <row r="121" spans="1:10" x14ac:dyDescent="0.3">
      <c r="A121">
        <v>119</v>
      </c>
      <c r="B121">
        <v>2915</v>
      </c>
      <c r="C121" t="b">
        <v>1</v>
      </c>
      <c r="D121">
        <v>8088</v>
      </c>
      <c r="E121">
        <v>8099</v>
      </c>
      <c r="F121">
        <v>231.06666999999999</v>
      </c>
      <c r="G121">
        <v>190.8</v>
      </c>
      <c r="H121">
        <v>1.2110411999999999</v>
      </c>
      <c r="I121">
        <v>-0.21104121000000001</v>
      </c>
      <c r="J121">
        <v>0.4522756</v>
      </c>
    </row>
    <row r="122" spans="1:10" x14ac:dyDescent="0.3">
      <c r="A122">
        <v>120</v>
      </c>
      <c r="B122">
        <v>2931</v>
      </c>
      <c r="C122" t="b">
        <v>1</v>
      </c>
      <c r="D122">
        <v>8083</v>
      </c>
      <c r="E122">
        <v>8117</v>
      </c>
      <c r="F122">
        <v>232.6</v>
      </c>
      <c r="G122">
        <v>190</v>
      </c>
      <c r="H122">
        <v>1.2242105000000001</v>
      </c>
      <c r="I122">
        <v>-0.22421056</v>
      </c>
      <c r="J122">
        <v>0.44959771999999998</v>
      </c>
    </row>
    <row r="123" spans="1:10" x14ac:dyDescent="0.3">
      <c r="A123">
        <v>121</v>
      </c>
      <c r="B123">
        <v>2947</v>
      </c>
      <c r="C123" t="b">
        <v>1</v>
      </c>
      <c r="D123">
        <v>8065</v>
      </c>
      <c r="E123">
        <v>8117</v>
      </c>
      <c r="F123">
        <v>232.6</v>
      </c>
      <c r="G123">
        <v>189.2</v>
      </c>
      <c r="H123">
        <v>1.2293868999999999</v>
      </c>
      <c r="I123">
        <v>-0.22938694000000001</v>
      </c>
      <c r="J123">
        <v>0.44855382999999999</v>
      </c>
    </row>
    <row r="124" spans="1:10" x14ac:dyDescent="0.3">
      <c r="A124">
        <v>122</v>
      </c>
      <c r="B124">
        <v>2978</v>
      </c>
      <c r="C124" t="b">
        <v>1</v>
      </c>
      <c r="D124">
        <v>8065</v>
      </c>
      <c r="E124">
        <v>8111</v>
      </c>
      <c r="F124">
        <v>231.8</v>
      </c>
      <c r="G124">
        <v>189.2</v>
      </c>
      <c r="H124">
        <v>1.2251586000000001</v>
      </c>
      <c r="I124">
        <v>-0.22515859999999999</v>
      </c>
      <c r="J124">
        <v>0.44940617999999999</v>
      </c>
    </row>
    <row r="125" spans="1:10" x14ac:dyDescent="0.3">
      <c r="A125">
        <v>123</v>
      </c>
      <c r="B125">
        <v>3010</v>
      </c>
      <c r="C125" t="b">
        <v>1</v>
      </c>
      <c r="D125">
        <v>8077</v>
      </c>
      <c r="E125">
        <v>8093</v>
      </c>
      <c r="F125">
        <v>231.8</v>
      </c>
      <c r="G125">
        <v>189.2</v>
      </c>
      <c r="H125">
        <v>1.2251586000000001</v>
      </c>
      <c r="I125">
        <v>-0.22515859999999999</v>
      </c>
      <c r="J125">
        <v>0.44940617999999999</v>
      </c>
    </row>
    <row r="126" spans="1:10" x14ac:dyDescent="0.3">
      <c r="A126">
        <v>124</v>
      </c>
      <c r="B126">
        <v>3042</v>
      </c>
      <c r="C126" t="b">
        <v>1</v>
      </c>
      <c r="D126">
        <v>8065</v>
      </c>
      <c r="E126">
        <v>8105</v>
      </c>
      <c r="F126">
        <v>231</v>
      </c>
      <c r="G126">
        <v>189.2</v>
      </c>
      <c r="H126">
        <v>1.2209302</v>
      </c>
      <c r="I126">
        <v>-0.22093024999999999</v>
      </c>
      <c r="J126">
        <v>0.45026177000000001</v>
      </c>
    </row>
    <row r="127" spans="1:10" x14ac:dyDescent="0.3">
      <c r="A127">
        <v>125</v>
      </c>
      <c r="B127">
        <v>3074</v>
      </c>
      <c r="C127" t="b">
        <v>1</v>
      </c>
      <c r="D127">
        <v>8071</v>
      </c>
      <c r="E127">
        <v>8087</v>
      </c>
      <c r="F127">
        <v>230.2</v>
      </c>
      <c r="G127">
        <v>188.4</v>
      </c>
      <c r="H127">
        <v>1.2218684</v>
      </c>
      <c r="I127">
        <v>-0.22186839999999999</v>
      </c>
      <c r="J127">
        <v>0.45007170000000002</v>
      </c>
    </row>
    <row r="128" spans="1:10" x14ac:dyDescent="0.3">
      <c r="A128">
        <v>126</v>
      </c>
      <c r="B128">
        <v>3106</v>
      </c>
      <c r="C128" t="b">
        <v>1</v>
      </c>
      <c r="D128">
        <v>8100</v>
      </c>
      <c r="E128">
        <v>8099</v>
      </c>
      <c r="F128">
        <v>229.8</v>
      </c>
      <c r="G128">
        <v>187.6</v>
      </c>
      <c r="H128">
        <v>1.2249466</v>
      </c>
      <c r="I128">
        <v>-0.22494668000000001</v>
      </c>
      <c r="J128">
        <v>0.44944897</v>
      </c>
    </row>
    <row r="129" spans="1:10" x14ac:dyDescent="0.3">
      <c r="A129">
        <v>127</v>
      </c>
      <c r="B129">
        <v>3122</v>
      </c>
      <c r="C129" t="b">
        <v>1</v>
      </c>
      <c r="D129">
        <v>8083</v>
      </c>
      <c r="E129">
        <v>8129</v>
      </c>
      <c r="F129">
        <v>229.8</v>
      </c>
      <c r="G129">
        <v>186.8</v>
      </c>
      <c r="H129">
        <v>1.2301926999999999</v>
      </c>
      <c r="I129">
        <v>-0.23019271999999999</v>
      </c>
      <c r="J129">
        <v>0.44839173999999998</v>
      </c>
    </row>
    <row r="130" spans="1:10" x14ac:dyDescent="0.3">
      <c r="A130">
        <v>128</v>
      </c>
      <c r="B130">
        <v>3154</v>
      </c>
      <c r="C130" t="b">
        <v>1</v>
      </c>
      <c r="D130">
        <v>8100</v>
      </c>
      <c r="E130">
        <v>8099</v>
      </c>
      <c r="F130">
        <v>230.2</v>
      </c>
      <c r="G130">
        <v>186</v>
      </c>
      <c r="H130">
        <v>1.2376343999999999</v>
      </c>
      <c r="I130">
        <v>-0.23763439</v>
      </c>
      <c r="J130">
        <v>0.44690052000000002</v>
      </c>
    </row>
    <row r="131" spans="1:10" x14ac:dyDescent="0.3">
      <c r="A131">
        <v>129</v>
      </c>
      <c r="B131">
        <v>3185</v>
      </c>
      <c r="C131" t="b">
        <v>1</v>
      </c>
      <c r="D131">
        <v>8094</v>
      </c>
      <c r="E131">
        <v>8105</v>
      </c>
      <c r="F131">
        <v>231.33332999999999</v>
      </c>
      <c r="G131">
        <v>185.2</v>
      </c>
      <c r="H131">
        <v>1.2491000999999999</v>
      </c>
      <c r="I131">
        <v>-0.24910006000000001</v>
      </c>
      <c r="J131">
        <v>0.44462227999999998</v>
      </c>
    </row>
    <row r="132" spans="1:10" x14ac:dyDescent="0.3">
      <c r="A132">
        <v>130</v>
      </c>
      <c r="B132">
        <v>3201</v>
      </c>
      <c r="C132" t="b">
        <v>1</v>
      </c>
      <c r="D132">
        <v>8083</v>
      </c>
      <c r="E132">
        <v>8087</v>
      </c>
      <c r="F132">
        <v>233.26666</v>
      </c>
      <c r="G132">
        <v>185.6</v>
      </c>
      <c r="H132">
        <v>1.2568246000000001</v>
      </c>
      <c r="I132">
        <v>-0.25682463999999999</v>
      </c>
      <c r="J132">
        <v>0.44310044999999998</v>
      </c>
    </row>
    <row r="133" spans="1:10" x14ac:dyDescent="0.3">
      <c r="A133">
        <v>131</v>
      </c>
      <c r="B133">
        <v>3217</v>
      </c>
      <c r="C133" t="b">
        <v>1</v>
      </c>
      <c r="D133">
        <v>8077</v>
      </c>
      <c r="E133">
        <v>8081</v>
      </c>
      <c r="F133">
        <v>234.46665999999999</v>
      </c>
      <c r="G133">
        <v>186</v>
      </c>
      <c r="H133">
        <v>1.2605734</v>
      </c>
      <c r="I133">
        <v>-0.26057344999999998</v>
      </c>
      <c r="J133">
        <v>0.44236562000000001</v>
      </c>
    </row>
    <row r="134" spans="1:10" x14ac:dyDescent="0.3">
      <c r="A134">
        <v>132</v>
      </c>
      <c r="B134">
        <v>3233</v>
      </c>
      <c r="C134" t="b">
        <v>1</v>
      </c>
      <c r="D134">
        <v>8071</v>
      </c>
      <c r="E134">
        <v>8099</v>
      </c>
      <c r="F134">
        <v>235.66667000000001</v>
      </c>
      <c r="G134">
        <v>186.4</v>
      </c>
      <c r="H134">
        <v>1.2643062</v>
      </c>
      <c r="I134">
        <v>-0.26430621999999998</v>
      </c>
      <c r="J134">
        <v>0.44163638</v>
      </c>
    </row>
    <row r="135" spans="1:10" x14ac:dyDescent="0.3">
      <c r="A135">
        <v>133</v>
      </c>
      <c r="B135">
        <v>3266</v>
      </c>
      <c r="C135" t="b">
        <v>1</v>
      </c>
      <c r="D135">
        <v>8106</v>
      </c>
      <c r="E135">
        <v>8117</v>
      </c>
      <c r="F135">
        <v>236.86667</v>
      </c>
      <c r="G135">
        <v>186.8</v>
      </c>
      <c r="H135">
        <v>1.2680228</v>
      </c>
      <c r="I135">
        <v>-0.26802283999999998</v>
      </c>
      <c r="J135">
        <v>0.44091266000000001</v>
      </c>
    </row>
    <row r="136" spans="1:10" x14ac:dyDescent="0.3">
      <c r="A136">
        <v>134</v>
      </c>
      <c r="B136">
        <v>3297</v>
      </c>
      <c r="C136" t="b">
        <v>1</v>
      </c>
      <c r="D136">
        <v>8083</v>
      </c>
      <c r="E136">
        <v>8099</v>
      </c>
      <c r="F136">
        <v>238.06666999999999</v>
      </c>
      <c r="G136">
        <v>186.8</v>
      </c>
      <c r="H136">
        <v>1.2744468</v>
      </c>
      <c r="I136">
        <v>-0.27444679999999999</v>
      </c>
      <c r="J136">
        <v>0.43966734000000002</v>
      </c>
    </row>
    <row r="137" spans="1:10" x14ac:dyDescent="0.3">
      <c r="A137">
        <v>135</v>
      </c>
      <c r="B137">
        <v>3329</v>
      </c>
      <c r="C137" t="b">
        <v>1</v>
      </c>
      <c r="D137">
        <v>8083</v>
      </c>
      <c r="E137">
        <v>8093</v>
      </c>
      <c r="F137">
        <v>238.06666999999999</v>
      </c>
      <c r="G137">
        <v>186.8</v>
      </c>
      <c r="H137">
        <v>1.2744468</v>
      </c>
      <c r="I137">
        <v>-0.27444679999999999</v>
      </c>
      <c r="J137">
        <v>0.43966734000000002</v>
      </c>
    </row>
    <row r="138" spans="1:10" x14ac:dyDescent="0.3">
      <c r="A138">
        <v>136</v>
      </c>
      <c r="B138">
        <v>3361</v>
      </c>
      <c r="C138" t="b">
        <v>1</v>
      </c>
      <c r="D138">
        <v>8083</v>
      </c>
      <c r="E138">
        <v>8111</v>
      </c>
      <c r="F138">
        <v>239.26666</v>
      </c>
      <c r="G138">
        <v>186.8</v>
      </c>
      <c r="H138">
        <v>1.2808708</v>
      </c>
      <c r="I138">
        <v>-0.28087076999999999</v>
      </c>
      <c r="J138">
        <v>0.43842905999999998</v>
      </c>
    </row>
    <row r="139" spans="1:10" x14ac:dyDescent="0.3">
      <c r="A139">
        <v>137</v>
      </c>
      <c r="B139">
        <v>3393</v>
      </c>
      <c r="C139" t="b">
        <v>1</v>
      </c>
      <c r="D139">
        <v>8088</v>
      </c>
      <c r="E139">
        <v>8105</v>
      </c>
      <c r="F139">
        <v>240.46665999999999</v>
      </c>
      <c r="G139">
        <v>186.4</v>
      </c>
      <c r="H139">
        <v>1.2900571999999999</v>
      </c>
      <c r="I139">
        <v>-0.29005723999999999</v>
      </c>
      <c r="J139">
        <v>0.43667033</v>
      </c>
    </row>
    <row r="140" spans="1:10" x14ac:dyDescent="0.3">
      <c r="A140">
        <v>138</v>
      </c>
      <c r="B140">
        <v>3424</v>
      </c>
      <c r="C140" t="b">
        <v>1</v>
      </c>
      <c r="D140">
        <v>8100</v>
      </c>
      <c r="E140">
        <v>8087</v>
      </c>
      <c r="F140">
        <v>240.86667</v>
      </c>
      <c r="G140">
        <v>185.6</v>
      </c>
      <c r="H140">
        <v>1.2977730000000001</v>
      </c>
      <c r="I140">
        <v>-0.29777293999999999</v>
      </c>
      <c r="J140">
        <v>0.43520399999999998</v>
      </c>
    </row>
    <row r="141" spans="1:10" x14ac:dyDescent="0.3">
      <c r="A141">
        <v>139</v>
      </c>
      <c r="B141">
        <v>3456</v>
      </c>
      <c r="C141" t="b">
        <v>1</v>
      </c>
      <c r="D141">
        <v>8100</v>
      </c>
      <c r="E141">
        <v>8140</v>
      </c>
      <c r="F141">
        <v>242.4</v>
      </c>
      <c r="G141">
        <v>185.2</v>
      </c>
      <c r="H141">
        <v>1.3088553000000001</v>
      </c>
      <c r="I141">
        <v>-0.30885527000000002</v>
      </c>
      <c r="J141">
        <v>0.43311506999999999</v>
      </c>
    </row>
    <row r="142" spans="1:10" x14ac:dyDescent="0.3">
      <c r="A142">
        <v>140</v>
      </c>
      <c r="B142">
        <v>3488</v>
      </c>
      <c r="C142" t="b">
        <v>1</v>
      </c>
      <c r="D142">
        <v>8077</v>
      </c>
      <c r="E142">
        <v>8111</v>
      </c>
      <c r="F142">
        <v>243.93333000000001</v>
      </c>
      <c r="G142">
        <v>185.6</v>
      </c>
      <c r="H142">
        <v>1.3142959000000001</v>
      </c>
      <c r="I142">
        <v>-0.31429594999999999</v>
      </c>
      <c r="J142">
        <v>0.43209687000000002</v>
      </c>
    </row>
    <row r="143" spans="1:10" x14ac:dyDescent="0.3">
      <c r="A143">
        <v>141</v>
      </c>
      <c r="B143">
        <v>3519</v>
      </c>
      <c r="C143" t="b">
        <v>1</v>
      </c>
      <c r="D143">
        <v>8106</v>
      </c>
      <c r="E143">
        <v>8099</v>
      </c>
      <c r="F143">
        <v>245.86667</v>
      </c>
      <c r="G143">
        <v>186</v>
      </c>
      <c r="H143">
        <v>1.3218638</v>
      </c>
      <c r="I143">
        <v>-0.32186379999999998</v>
      </c>
      <c r="J143">
        <v>0.43068846999999999</v>
      </c>
    </row>
    <row r="144" spans="1:10" x14ac:dyDescent="0.3">
      <c r="A144">
        <v>142</v>
      </c>
      <c r="B144">
        <v>3551</v>
      </c>
      <c r="C144" t="b">
        <v>1</v>
      </c>
      <c r="D144">
        <v>8077</v>
      </c>
      <c r="E144">
        <v>8129</v>
      </c>
      <c r="F144">
        <v>247.4</v>
      </c>
      <c r="G144">
        <v>186.8</v>
      </c>
      <c r="H144">
        <v>1.324411</v>
      </c>
      <c r="I144">
        <v>-0.32441110000000001</v>
      </c>
      <c r="J144">
        <v>0.4302165</v>
      </c>
    </row>
    <row r="145" spans="1:10" x14ac:dyDescent="0.3">
      <c r="A145">
        <v>143</v>
      </c>
      <c r="B145">
        <v>3583</v>
      </c>
      <c r="C145" t="b">
        <v>1</v>
      </c>
      <c r="D145">
        <v>8083</v>
      </c>
      <c r="E145">
        <v>8105</v>
      </c>
      <c r="F145">
        <v>247.4</v>
      </c>
      <c r="G145">
        <v>187.6</v>
      </c>
      <c r="H145">
        <v>1.3187633000000001</v>
      </c>
      <c r="I145">
        <v>-0.31876325999999999</v>
      </c>
      <c r="J145">
        <v>0.43126437000000001</v>
      </c>
    </row>
    <row r="146" spans="1:10" x14ac:dyDescent="0.3">
      <c r="A146">
        <v>144</v>
      </c>
      <c r="B146">
        <v>3614</v>
      </c>
      <c r="C146" t="b">
        <v>1</v>
      </c>
      <c r="D146">
        <v>8088</v>
      </c>
      <c r="E146">
        <v>8117</v>
      </c>
      <c r="F146">
        <v>246.66667000000001</v>
      </c>
      <c r="G146">
        <v>188.4</v>
      </c>
      <c r="H146">
        <v>1.3092710999999999</v>
      </c>
      <c r="I146">
        <v>-0.30927113000000001</v>
      </c>
      <c r="J146">
        <v>0.43303707000000002</v>
      </c>
    </row>
    <row r="147" spans="1:10" x14ac:dyDescent="0.3">
      <c r="A147">
        <v>145</v>
      </c>
      <c r="B147">
        <v>3646</v>
      </c>
      <c r="C147" t="b">
        <v>1</v>
      </c>
      <c r="D147">
        <v>8088</v>
      </c>
      <c r="E147">
        <v>8093</v>
      </c>
      <c r="F147">
        <v>246.26666</v>
      </c>
      <c r="G147">
        <v>188.8</v>
      </c>
      <c r="H147">
        <v>1.3043785000000001</v>
      </c>
      <c r="I147">
        <v>-0.30437848000000001</v>
      </c>
      <c r="J147">
        <v>0.43395650000000002</v>
      </c>
    </row>
    <row r="148" spans="1:10" x14ac:dyDescent="0.3">
      <c r="A148">
        <v>146</v>
      </c>
      <c r="B148">
        <v>3678</v>
      </c>
      <c r="C148" t="b">
        <v>1</v>
      </c>
      <c r="D148">
        <v>8071</v>
      </c>
      <c r="E148">
        <v>8129</v>
      </c>
      <c r="F148">
        <v>246.26666</v>
      </c>
      <c r="G148">
        <v>190</v>
      </c>
      <c r="H148">
        <v>1.2961403</v>
      </c>
      <c r="I148">
        <v>-0.29614034</v>
      </c>
      <c r="J148">
        <v>0.43551343999999997</v>
      </c>
    </row>
    <row r="149" spans="1:10" x14ac:dyDescent="0.3">
      <c r="A149">
        <v>147</v>
      </c>
      <c r="B149">
        <v>3710</v>
      </c>
      <c r="C149" t="b">
        <v>1</v>
      </c>
      <c r="D149">
        <v>8077</v>
      </c>
      <c r="E149">
        <v>8093</v>
      </c>
      <c r="F149">
        <v>246.26666</v>
      </c>
      <c r="G149">
        <v>190.4</v>
      </c>
      <c r="H149">
        <v>1.2934173</v>
      </c>
      <c r="I149">
        <v>-0.29341739999999999</v>
      </c>
      <c r="J149">
        <v>0.43603054000000002</v>
      </c>
    </row>
    <row r="150" spans="1:10" x14ac:dyDescent="0.3">
      <c r="A150">
        <v>148</v>
      </c>
      <c r="B150">
        <v>3726</v>
      </c>
      <c r="C150" t="b">
        <v>1</v>
      </c>
      <c r="D150">
        <v>8065</v>
      </c>
      <c r="E150">
        <v>8093</v>
      </c>
      <c r="F150">
        <v>245.86667</v>
      </c>
      <c r="G150">
        <v>190</v>
      </c>
      <c r="H150">
        <v>1.2940351000000001</v>
      </c>
      <c r="I150">
        <v>-0.29403509999999999</v>
      </c>
      <c r="J150">
        <v>0.43591311999999999</v>
      </c>
    </row>
    <row r="151" spans="1:10" x14ac:dyDescent="0.3">
      <c r="A151">
        <v>149</v>
      </c>
      <c r="B151">
        <v>3742</v>
      </c>
      <c r="C151" t="b">
        <v>1</v>
      </c>
      <c r="D151">
        <v>8065</v>
      </c>
      <c r="E151">
        <v>8087</v>
      </c>
      <c r="F151">
        <v>245.06666999999999</v>
      </c>
      <c r="G151">
        <v>189.6</v>
      </c>
      <c r="H151">
        <v>1.2925457</v>
      </c>
      <c r="I151">
        <v>-0.29254567999999997</v>
      </c>
      <c r="J151">
        <v>0.43619633000000002</v>
      </c>
    </row>
    <row r="152" spans="1:10" x14ac:dyDescent="0.3">
      <c r="A152">
        <v>150</v>
      </c>
      <c r="B152">
        <v>3758</v>
      </c>
      <c r="C152" t="b">
        <v>1</v>
      </c>
      <c r="D152">
        <v>8071</v>
      </c>
      <c r="E152">
        <v>8099</v>
      </c>
      <c r="F152">
        <v>244.26666</v>
      </c>
      <c r="G152">
        <v>189.2</v>
      </c>
      <c r="H152">
        <v>1.2910501000000001</v>
      </c>
      <c r="I152">
        <v>-0.29105005</v>
      </c>
      <c r="J152">
        <v>0.43648105999999998</v>
      </c>
    </row>
    <row r="153" spans="1:10" x14ac:dyDescent="0.3">
      <c r="A153">
        <v>151</v>
      </c>
      <c r="B153">
        <v>3774</v>
      </c>
      <c r="C153" t="b">
        <v>1</v>
      </c>
      <c r="D153">
        <v>8065</v>
      </c>
      <c r="E153">
        <v>8117</v>
      </c>
      <c r="F153">
        <v>243.06666999999999</v>
      </c>
      <c r="G153">
        <v>188.8</v>
      </c>
      <c r="H153">
        <v>1.2874293000000001</v>
      </c>
      <c r="I153">
        <v>-0.28742936000000002</v>
      </c>
      <c r="J153">
        <v>0.43717197000000002</v>
      </c>
    </row>
    <row r="154" spans="1:10" x14ac:dyDescent="0.3">
      <c r="A154">
        <v>152</v>
      </c>
      <c r="B154">
        <v>3790</v>
      </c>
      <c r="C154" t="b">
        <v>1</v>
      </c>
      <c r="D154">
        <v>8065</v>
      </c>
      <c r="E154">
        <v>8105</v>
      </c>
      <c r="F154">
        <v>241.86667</v>
      </c>
      <c r="G154">
        <v>188.4</v>
      </c>
      <c r="H154">
        <v>1.2837934</v>
      </c>
      <c r="I154">
        <v>-0.28379339999999997</v>
      </c>
      <c r="J154">
        <v>0.43786797</v>
      </c>
    </row>
    <row r="155" spans="1:10" x14ac:dyDescent="0.3">
      <c r="A155">
        <v>153</v>
      </c>
      <c r="B155">
        <v>3806</v>
      </c>
      <c r="C155" t="b">
        <v>1</v>
      </c>
      <c r="D155">
        <v>8083</v>
      </c>
      <c r="E155">
        <v>8111</v>
      </c>
      <c r="F155">
        <v>240.66667000000001</v>
      </c>
      <c r="G155">
        <v>188.8</v>
      </c>
      <c r="H155">
        <v>1.2747176</v>
      </c>
      <c r="I155">
        <v>-0.2747175</v>
      </c>
      <c r="J155">
        <v>0.43961499999999998</v>
      </c>
    </row>
    <row r="156" spans="1:10" x14ac:dyDescent="0.3">
      <c r="A156">
        <v>154</v>
      </c>
      <c r="B156">
        <v>3821</v>
      </c>
      <c r="C156" t="b">
        <v>1</v>
      </c>
      <c r="D156">
        <v>8083</v>
      </c>
      <c r="E156">
        <v>8099</v>
      </c>
      <c r="F156">
        <v>239.53334000000001</v>
      </c>
      <c r="G156">
        <v>188.8</v>
      </c>
      <c r="H156">
        <v>1.2687147000000001</v>
      </c>
      <c r="I156">
        <v>-0.26871469999999997</v>
      </c>
      <c r="J156">
        <v>0.44077820000000001</v>
      </c>
    </row>
    <row r="157" spans="1:10" x14ac:dyDescent="0.3">
      <c r="A157">
        <v>155</v>
      </c>
      <c r="B157">
        <v>3837</v>
      </c>
      <c r="C157" t="b">
        <v>1</v>
      </c>
      <c r="D157">
        <v>8054</v>
      </c>
      <c r="E157">
        <v>8093</v>
      </c>
      <c r="F157">
        <v>238</v>
      </c>
      <c r="G157">
        <v>188.4</v>
      </c>
      <c r="H157">
        <v>1.2632696999999999</v>
      </c>
      <c r="I157">
        <v>-0.2632697</v>
      </c>
      <c r="J157">
        <v>0.44183865</v>
      </c>
    </row>
    <row r="158" spans="1:10" x14ac:dyDescent="0.3">
      <c r="A158">
        <v>156</v>
      </c>
      <c r="B158">
        <v>3853</v>
      </c>
      <c r="C158" t="b">
        <v>1</v>
      </c>
      <c r="D158">
        <v>8094</v>
      </c>
      <c r="E158">
        <v>8111</v>
      </c>
      <c r="F158">
        <v>236.86667</v>
      </c>
      <c r="G158">
        <v>188.4</v>
      </c>
      <c r="H158">
        <v>1.2572540999999999</v>
      </c>
      <c r="I158">
        <v>-0.25725411999999998</v>
      </c>
      <c r="J158">
        <v>0.44301614</v>
      </c>
    </row>
    <row r="159" spans="1:10" x14ac:dyDescent="0.3">
      <c r="A159">
        <v>157</v>
      </c>
      <c r="B159">
        <v>3869</v>
      </c>
      <c r="C159" t="b">
        <v>1</v>
      </c>
      <c r="D159">
        <v>8065</v>
      </c>
      <c r="E159">
        <v>8117</v>
      </c>
      <c r="F159">
        <v>235.73334</v>
      </c>
      <c r="G159">
        <v>188.4</v>
      </c>
      <c r="H159">
        <v>1.2512386</v>
      </c>
      <c r="I159">
        <v>-0.25123855</v>
      </c>
      <c r="J159">
        <v>0.44419992000000003</v>
      </c>
    </row>
    <row r="160" spans="1:10" x14ac:dyDescent="0.3">
      <c r="A160">
        <v>158</v>
      </c>
      <c r="B160">
        <v>3885</v>
      </c>
      <c r="C160" t="b">
        <v>1</v>
      </c>
      <c r="D160">
        <v>8077</v>
      </c>
      <c r="E160">
        <v>8117</v>
      </c>
      <c r="F160">
        <v>235.33332999999999</v>
      </c>
      <c r="G160">
        <v>188.4</v>
      </c>
      <c r="H160">
        <v>1.2491152999999999</v>
      </c>
      <c r="I160">
        <v>-0.24911538</v>
      </c>
      <c r="J160">
        <v>0.44461924000000003</v>
      </c>
    </row>
    <row r="161" spans="1:10" x14ac:dyDescent="0.3">
      <c r="A161">
        <v>159</v>
      </c>
      <c r="B161">
        <v>3901</v>
      </c>
      <c r="C161" t="b">
        <v>1</v>
      </c>
      <c r="D161">
        <v>8077</v>
      </c>
      <c r="E161">
        <v>8117</v>
      </c>
      <c r="F161">
        <v>234.93333000000001</v>
      </c>
      <c r="G161">
        <v>188.8</v>
      </c>
      <c r="H161">
        <v>1.2443503</v>
      </c>
      <c r="I161">
        <v>-0.24435027000000001</v>
      </c>
      <c r="J161">
        <v>0.44556326000000002</v>
      </c>
    </row>
    <row r="162" spans="1:10" x14ac:dyDescent="0.3">
      <c r="A162">
        <v>160</v>
      </c>
      <c r="B162">
        <v>3917</v>
      </c>
      <c r="C162" t="b">
        <v>1</v>
      </c>
      <c r="D162">
        <v>8060</v>
      </c>
      <c r="E162">
        <v>8093</v>
      </c>
      <c r="F162">
        <v>234.2</v>
      </c>
      <c r="G162">
        <v>189.6</v>
      </c>
      <c r="H162">
        <v>1.2352320000000001</v>
      </c>
      <c r="I162">
        <v>-0.23523200999999999</v>
      </c>
      <c r="J162">
        <v>0.44738086999999999</v>
      </c>
    </row>
    <row r="163" spans="1:10" x14ac:dyDescent="0.3">
      <c r="A163">
        <v>161</v>
      </c>
      <c r="B163">
        <v>3948</v>
      </c>
      <c r="C163" t="b">
        <v>1</v>
      </c>
      <c r="D163">
        <v>8088</v>
      </c>
      <c r="E163">
        <v>8111</v>
      </c>
      <c r="F163">
        <v>233.8</v>
      </c>
      <c r="G163">
        <v>189.6</v>
      </c>
      <c r="H163">
        <v>1.2331223</v>
      </c>
      <c r="I163">
        <v>-0.23312232999999999</v>
      </c>
      <c r="J163">
        <v>0.44780350000000002</v>
      </c>
    </row>
    <row r="164" spans="1:10" x14ac:dyDescent="0.3">
      <c r="A164">
        <v>162</v>
      </c>
      <c r="B164">
        <v>3980</v>
      </c>
      <c r="C164" t="b">
        <v>1</v>
      </c>
      <c r="D164">
        <v>8123</v>
      </c>
      <c r="E164">
        <v>8117</v>
      </c>
      <c r="F164">
        <v>233.4</v>
      </c>
      <c r="G164">
        <v>190.4</v>
      </c>
      <c r="H164">
        <v>1.2258403</v>
      </c>
      <c r="I164">
        <v>-0.22584035</v>
      </c>
      <c r="J164">
        <v>0.44926852</v>
      </c>
    </row>
    <row r="165" spans="1:10" x14ac:dyDescent="0.3">
      <c r="A165">
        <v>163</v>
      </c>
      <c r="B165">
        <v>4012</v>
      </c>
      <c r="C165" t="b">
        <v>1</v>
      </c>
      <c r="D165">
        <v>8094</v>
      </c>
      <c r="E165">
        <v>8105</v>
      </c>
      <c r="F165">
        <v>234.13333</v>
      </c>
      <c r="G165">
        <v>191.6</v>
      </c>
      <c r="H165">
        <v>1.2219902</v>
      </c>
      <c r="I165">
        <v>-0.22199020999999999</v>
      </c>
      <c r="J165">
        <v>0.45004699999999997</v>
      </c>
    </row>
    <row r="166" spans="1:10" x14ac:dyDescent="0.3">
      <c r="A166">
        <v>164</v>
      </c>
      <c r="B166">
        <v>4044</v>
      </c>
      <c r="C166" t="b">
        <v>1</v>
      </c>
      <c r="D166">
        <v>8100</v>
      </c>
      <c r="E166">
        <v>8099</v>
      </c>
      <c r="F166">
        <v>235.66667000000001</v>
      </c>
      <c r="G166">
        <v>192.4</v>
      </c>
      <c r="H166">
        <v>1.2248787999999999</v>
      </c>
      <c r="I166">
        <v>-0.22487879</v>
      </c>
      <c r="J166">
        <v>0.44946269999999999</v>
      </c>
    </row>
    <row r="167" spans="1:10" x14ac:dyDescent="0.3">
      <c r="A167">
        <v>165</v>
      </c>
      <c r="B167">
        <v>4076</v>
      </c>
      <c r="C167" t="b">
        <v>1</v>
      </c>
      <c r="D167">
        <v>8088</v>
      </c>
      <c r="E167">
        <v>8123</v>
      </c>
      <c r="F167">
        <v>237.2</v>
      </c>
      <c r="G167">
        <v>193.6</v>
      </c>
      <c r="H167">
        <v>1.2252065999999999</v>
      </c>
      <c r="I167">
        <v>-0.22520655000000001</v>
      </c>
      <c r="J167">
        <v>0.44939649999999998</v>
      </c>
    </row>
    <row r="168" spans="1:10" x14ac:dyDescent="0.3">
      <c r="A168">
        <v>166</v>
      </c>
      <c r="B168">
        <v>4108</v>
      </c>
      <c r="C168" t="b">
        <v>1</v>
      </c>
      <c r="D168">
        <v>8071</v>
      </c>
      <c r="E168">
        <v>8105</v>
      </c>
      <c r="F168">
        <v>239.13333</v>
      </c>
      <c r="G168">
        <v>194.4</v>
      </c>
      <c r="H168">
        <v>1.2301097999999999</v>
      </c>
      <c r="I168">
        <v>-0.23010976999999999</v>
      </c>
      <c r="J168">
        <v>0.44840841999999997</v>
      </c>
    </row>
    <row r="169" spans="1:10" x14ac:dyDescent="0.3">
      <c r="A169">
        <v>167</v>
      </c>
      <c r="B169">
        <v>4140</v>
      </c>
      <c r="C169" t="b">
        <v>1</v>
      </c>
      <c r="D169">
        <v>8054</v>
      </c>
      <c r="E169">
        <v>8117</v>
      </c>
      <c r="F169">
        <v>240.66667000000001</v>
      </c>
      <c r="G169">
        <v>194.8</v>
      </c>
      <c r="H169">
        <v>1.2354552000000001</v>
      </c>
      <c r="I169">
        <v>-0.23545516999999999</v>
      </c>
      <c r="J169">
        <v>0.44733620000000002</v>
      </c>
    </row>
    <row r="170" spans="1:10" x14ac:dyDescent="0.3">
      <c r="A170">
        <v>168</v>
      </c>
      <c r="B170">
        <v>4171</v>
      </c>
      <c r="C170" t="b">
        <v>1</v>
      </c>
      <c r="D170">
        <v>8083</v>
      </c>
      <c r="E170">
        <v>8093</v>
      </c>
      <c r="F170">
        <v>241.86667</v>
      </c>
      <c r="G170">
        <v>194.8</v>
      </c>
      <c r="H170">
        <v>1.2416153000000001</v>
      </c>
      <c r="I170">
        <v>-0.24161532999999999</v>
      </c>
      <c r="J170">
        <v>0.44610685</v>
      </c>
    </row>
    <row r="171" spans="1:10" x14ac:dyDescent="0.3">
      <c r="A171">
        <v>169</v>
      </c>
      <c r="B171">
        <v>4203</v>
      </c>
      <c r="C171" t="b">
        <v>1</v>
      </c>
      <c r="D171">
        <v>8083</v>
      </c>
      <c r="E171">
        <v>8105</v>
      </c>
      <c r="F171">
        <v>242.66667000000001</v>
      </c>
      <c r="G171">
        <v>194.8</v>
      </c>
      <c r="H171">
        <v>1.245722</v>
      </c>
      <c r="I171">
        <v>-0.24572211999999999</v>
      </c>
      <c r="J171">
        <v>0.44529107000000001</v>
      </c>
    </row>
    <row r="172" spans="1:10" x14ac:dyDescent="0.3">
      <c r="A172">
        <v>170</v>
      </c>
      <c r="B172">
        <v>4235</v>
      </c>
      <c r="C172" t="b">
        <v>1</v>
      </c>
      <c r="D172">
        <v>8077</v>
      </c>
      <c r="E172">
        <v>8093</v>
      </c>
      <c r="F172">
        <v>243.46665999999999</v>
      </c>
      <c r="G172">
        <v>194.8</v>
      </c>
      <c r="H172">
        <v>1.2498288</v>
      </c>
      <c r="I172">
        <v>-0.24982883</v>
      </c>
      <c r="J172">
        <v>0.44447827000000001</v>
      </c>
    </row>
    <row r="173" spans="1:10" x14ac:dyDescent="0.3">
      <c r="A173">
        <v>171</v>
      </c>
      <c r="B173">
        <v>4251</v>
      </c>
      <c r="C173" t="b">
        <v>1</v>
      </c>
      <c r="D173">
        <v>8065</v>
      </c>
      <c r="E173">
        <v>8111</v>
      </c>
      <c r="F173">
        <v>243.06666999999999</v>
      </c>
      <c r="G173">
        <v>194.8</v>
      </c>
      <c r="H173">
        <v>1.2477754000000001</v>
      </c>
      <c r="I173">
        <v>-0.24777547</v>
      </c>
      <c r="J173">
        <v>0.44488430000000001</v>
      </c>
    </row>
    <row r="174" spans="1:10" x14ac:dyDescent="0.3">
      <c r="A174">
        <v>172</v>
      </c>
      <c r="B174">
        <v>4283</v>
      </c>
      <c r="C174" t="b">
        <v>1</v>
      </c>
      <c r="D174">
        <v>8065</v>
      </c>
      <c r="E174">
        <v>8111</v>
      </c>
      <c r="F174">
        <v>242.66667000000001</v>
      </c>
      <c r="G174">
        <v>194.4</v>
      </c>
      <c r="H174">
        <v>1.2482854000000001</v>
      </c>
      <c r="I174">
        <v>-0.24828538</v>
      </c>
      <c r="J174">
        <v>0.44478341999999998</v>
      </c>
    </row>
    <row r="175" spans="1:10" x14ac:dyDescent="0.3">
      <c r="A175">
        <v>173</v>
      </c>
      <c r="B175">
        <v>4315</v>
      </c>
      <c r="C175" t="b">
        <v>1</v>
      </c>
      <c r="D175">
        <v>8083</v>
      </c>
      <c r="E175">
        <v>8099</v>
      </c>
      <c r="F175">
        <v>242.66667000000001</v>
      </c>
      <c r="G175">
        <v>194</v>
      </c>
      <c r="H175">
        <v>1.2508591</v>
      </c>
      <c r="I175">
        <v>-0.25085913999999998</v>
      </c>
      <c r="J175">
        <v>0.44427477999999998</v>
      </c>
    </row>
    <row r="176" spans="1:10" x14ac:dyDescent="0.3">
      <c r="A176">
        <v>174</v>
      </c>
      <c r="B176">
        <v>4346</v>
      </c>
      <c r="C176" t="b">
        <v>1</v>
      </c>
      <c r="D176">
        <v>8083</v>
      </c>
      <c r="E176">
        <v>8117</v>
      </c>
      <c r="F176">
        <v>242.66667000000001</v>
      </c>
      <c r="G176">
        <v>193.6</v>
      </c>
      <c r="H176">
        <v>1.2534434999999999</v>
      </c>
      <c r="I176">
        <v>-0.25344349999999999</v>
      </c>
      <c r="J176">
        <v>0.44376529999999997</v>
      </c>
    </row>
    <row r="177" spans="1:10" x14ac:dyDescent="0.3">
      <c r="A177">
        <v>175</v>
      </c>
      <c r="B177">
        <v>4379</v>
      </c>
      <c r="C177" t="b">
        <v>1</v>
      </c>
      <c r="D177">
        <v>8094</v>
      </c>
      <c r="E177">
        <v>8111</v>
      </c>
      <c r="F177">
        <v>243.06666999999999</v>
      </c>
      <c r="G177">
        <v>193.2</v>
      </c>
      <c r="H177">
        <v>1.2581091</v>
      </c>
      <c r="I177">
        <v>-0.25810906</v>
      </c>
      <c r="J177">
        <v>0.44284839999999998</v>
      </c>
    </row>
    <row r="178" spans="1:10" x14ac:dyDescent="0.3">
      <c r="A178">
        <v>176</v>
      </c>
      <c r="B178">
        <v>4410</v>
      </c>
      <c r="C178" t="b">
        <v>1</v>
      </c>
      <c r="D178">
        <v>8042</v>
      </c>
      <c r="E178">
        <v>8129</v>
      </c>
      <c r="F178">
        <v>243.46665999999999</v>
      </c>
      <c r="G178">
        <v>192.8</v>
      </c>
      <c r="H178">
        <v>1.2627938999999999</v>
      </c>
      <c r="I178">
        <v>-0.26279386999999998</v>
      </c>
      <c r="J178">
        <v>0.44193155000000001</v>
      </c>
    </row>
    <row r="179" spans="1:10" x14ac:dyDescent="0.3">
      <c r="A179">
        <v>177</v>
      </c>
      <c r="B179">
        <v>4442</v>
      </c>
      <c r="C179" t="b">
        <v>1</v>
      </c>
      <c r="D179">
        <v>8083</v>
      </c>
      <c r="E179">
        <v>8123</v>
      </c>
      <c r="F179">
        <v>243.86667</v>
      </c>
      <c r="G179">
        <v>192.8</v>
      </c>
      <c r="H179">
        <v>1.2648686</v>
      </c>
      <c r="I179">
        <v>-0.26486860000000001</v>
      </c>
      <c r="J179">
        <v>0.44152669999999999</v>
      </c>
    </row>
    <row r="180" spans="1:10" x14ac:dyDescent="0.3">
      <c r="A180">
        <v>178</v>
      </c>
      <c r="B180">
        <v>4458</v>
      </c>
      <c r="C180" t="b">
        <v>1</v>
      </c>
      <c r="D180">
        <v>8065</v>
      </c>
      <c r="E180">
        <v>8081</v>
      </c>
      <c r="F180">
        <v>243.53334000000001</v>
      </c>
      <c r="G180">
        <v>193.2</v>
      </c>
      <c r="H180">
        <v>1.2605245</v>
      </c>
      <c r="I180">
        <v>-0.26052457000000001</v>
      </c>
      <c r="J180">
        <v>0.44237520000000002</v>
      </c>
    </row>
    <row r="181" spans="1:10" x14ac:dyDescent="0.3">
      <c r="A181">
        <v>179</v>
      </c>
      <c r="B181">
        <v>4489</v>
      </c>
      <c r="C181" t="b">
        <v>1</v>
      </c>
      <c r="D181">
        <v>8071</v>
      </c>
      <c r="E181">
        <v>8105</v>
      </c>
      <c r="F181">
        <v>242</v>
      </c>
      <c r="G181">
        <v>193.6</v>
      </c>
      <c r="H181">
        <v>1.25</v>
      </c>
      <c r="I181">
        <v>-0.24999995999999999</v>
      </c>
      <c r="J181">
        <v>0.44444444999999999</v>
      </c>
    </row>
    <row r="182" spans="1:10" x14ac:dyDescent="0.3">
      <c r="A182">
        <v>180</v>
      </c>
      <c r="B182">
        <v>4521</v>
      </c>
      <c r="C182" t="b">
        <v>1</v>
      </c>
      <c r="D182">
        <v>8077</v>
      </c>
      <c r="E182">
        <v>8111</v>
      </c>
      <c r="F182">
        <v>240.46665999999999</v>
      </c>
      <c r="G182">
        <v>193.6</v>
      </c>
      <c r="H182">
        <v>1.2420799</v>
      </c>
      <c r="I182">
        <v>-0.24207981000000001</v>
      </c>
      <c r="J182">
        <v>0.44601446</v>
      </c>
    </row>
    <row r="183" spans="1:10" x14ac:dyDescent="0.3">
      <c r="A183">
        <v>181</v>
      </c>
      <c r="B183">
        <v>4552</v>
      </c>
      <c r="C183" t="b">
        <v>1</v>
      </c>
      <c r="D183">
        <v>8060</v>
      </c>
      <c r="E183">
        <v>8117</v>
      </c>
      <c r="F183">
        <v>238.93333000000001</v>
      </c>
      <c r="G183">
        <v>194</v>
      </c>
      <c r="H183">
        <v>1.2316151</v>
      </c>
      <c r="I183">
        <v>-0.23161513</v>
      </c>
      <c r="J183">
        <v>0.44810592999999999</v>
      </c>
    </row>
    <row r="184" spans="1:10" x14ac:dyDescent="0.3">
      <c r="A184">
        <v>182</v>
      </c>
      <c r="B184">
        <v>4568</v>
      </c>
      <c r="C184" t="b">
        <v>1</v>
      </c>
      <c r="D184">
        <v>8071</v>
      </c>
      <c r="E184">
        <v>8152</v>
      </c>
      <c r="F184">
        <v>237.8</v>
      </c>
      <c r="G184">
        <v>194.4</v>
      </c>
      <c r="H184">
        <v>1.2232510999999999</v>
      </c>
      <c r="I184">
        <v>-0.22325109000000001</v>
      </c>
      <c r="J184">
        <v>0.44979173</v>
      </c>
    </row>
    <row r="185" spans="1:10" x14ac:dyDescent="0.3">
      <c r="A185">
        <v>183</v>
      </c>
      <c r="B185">
        <v>4584</v>
      </c>
      <c r="C185" t="b">
        <v>1</v>
      </c>
      <c r="D185">
        <v>8077</v>
      </c>
      <c r="E185">
        <v>8111</v>
      </c>
      <c r="F185">
        <v>237</v>
      </c>
      <c r="G185">
        <v>194.8</v>
      </c>
      <c r="H185">
        <v>1.2166323999999999</v>
      </c>
      <c r="I185">
        <v>-0.21663242999999999</v>
      </c>
      <c r="J185">
        <v>0.4511348</v>
      </c>
    </row>
    <row r="186" spans="1:10" x14ac:dyDescent="0.3">
      <c r="A186">
        <v>184</v>
      </c>
      <c r="B186">
        <v>4616</v>
      </c>
      <c r="C186" t="b">
        <v>1</v>
      </c>
      <c r="D186">
        <v>8077</v>
      </c>
      <c r="E186">
        <v>8105</v>
      </c>
      <c r="F186">
        <v>236.6</v>
      </c>
      <c r="G186">
        <v>195.2</v>
      </c>
      <c r="H186">
        <v>1.2120903000000001</v>
      </c>
      <c r="I186">
        <v>-0.21209021</v>
      </c>
      <c r="J186">
        <v>0.45206115000000002</v>
      </c>
    </row>
    <row r="187" spans="1:10" x14ac:dyDescent="0.3">
      <c r="A187">
        <v>185</v>
      </c>
      <c r="B187">
        <v>4648</v>
      </c>
      <c r="C187" t="b">
        <v>1</v>
      </c>
      <c r="D187">
        <v>8060</v>
      </c>
      <c r="E187">
        <v>8111</v>
      </c>
      <c r="F187">
        <v>236.2</v>
      </c>
      <c r="G187">
        <v>195.6</v>
      </c>
      <c r="H187">
        <v>1.2075663999999999</v>
      </c>
      <c r="I187">
        <v>-0.20756641000000001</v>
      </c>
      <c r="J187">
        <v>0.45298751999999998</v>
      </c>
    </row>
    <row r="188" spans="1:10" x14ac:dyDescent="0.3">
      <c r="A188">
        <v>186</v>
      </c>
      <c r="B188">
        <v>4679</v>
      </c>
      <c r="C188" t="b">
        <v>1</v>
      </c>
      <c r="D188">
        <v>8083</v>
      </c>
      <c r="E188">
        <v>8117</v>
      </c>
      <c r="F188">
        <v>236.2</v>
      </c>
      <c r="G188">
        <v>196</v>
      </c>
      <c r="H188">
        <v>1.2051019999999999</v>
      </c>
      <c r="I188">
        <v>-0.20510202999999999</v>
      </c>
      <c r="J188">
        <v>0.45349373999999998</v>
      </c>
    </row>
    <row r="189" spans="1:10" x14ac:dyDescent="0.3">
      <c r="A189">
        <v>187</v>
      </c>
      <c r="B189">
        <v>4711</v>
      </c>
      <c r="C189" t="b">
        <v>1</v>
      </c>
      <c r="D189">
        <v>8083</v>
      </c>
      <c r="E189">
        <v>8111</v>
      </c>
      <c r="F189">
        <v>236.2</v>
      </c>
      <c r="G189">
        <v>196.4</v>
      </c>
      <c r="H189">
        <v>1.2026477</v>
      </c>
      <c r="I189">
        <v>-0.20264768999999999</v>
      </c>
      <c r="J189">
        <v>0.45399907</v>
      </c>
    </row>
    <row r="190" spans="1:10" x14ac:dyDescent="0.3">
      <c r="A190">
        <v>188</v>
      </c>
      <c r="B190">
        <v>4743</v>
      </c>
      <c r="C190" t="b">
        <v>1</v>
      </c>
      <c r="D190">
        <v>8083</v>
      </c>
      <c r="E190">
        <v>8093</v>
      </c>
      <c r="F190">
        <v>236.6</v>
      </c>
      <c r="G190">
        <v>196.8</v>
      </c>
      <c r="H190">
        <v>1.2022358</v>
      </c>
      <c r="I190">
        <v>-0.20223579</v>
      </c>
      <c r="J190">
        <v>0.45408398</v>
      </c>
    </row>
    <row r="191" spans="1:10" x14ac:dyDescent="0.3">
      <c r="A191">
        <v>189</v>
      </c>
      <c r="B191">
        <v>4759</v>
      </c>
      <c r="C191" t="b">
        <v>1</v>
      </c>
      <c r="D191">
        <v>8065</v>
      </c>
      <c r="E191">
        <v>8105</v>
      </c>
      <c r="F191">
        <v>237</v>
      </c>
      <c r="G191">
        <v>196.8</v>
      </c>
      <c r="H191">
        <v>1.2042682</v>
      </c>
      <c r="I191">
        <v>-0.20426828</v>
      </c>
      <c r="J191">
        <v>0.45366531999999998</v>
      </c>
    </row>
    <row r="192" spans="1:10" x14ac:dyDescent="0.3">
      <c r="A192">
        <v>190</v>
      </c>
      <c r="B192">
        <v>4775</v>
      </c>
      <c r="C192" t="b">
        <v>1</v>
      </c>
      <c r="D192">
        <v>8077</v>
      </c>
      <c r="E192">
        <v>8099</v>
      </c>
      <c r="F192">
        <v>237</v>
      </c>
      <c r="G192">
        <v>196.4</v>
      </c>
      <c r="H192">
        <v>1.2067211</v>
      </c>
      <c r="I192">
        <v>-0.20672101000000001</v>
      </c>
      <c r="J192">
        <v>0.45316103000000002</v>
      </c>
    </row>
    <row r="193" spans="1:10" x14ac:dyDescent="0.3">
      <c r="A193">
        <v>191</v>
      </c>
      <c r="B193">
        <v>4807</v>
      </c>
      <c r="C193" t="b">
        <v>1</v>
      </c>
      <c r="D193">
        <v>8083</v>
      </c>
      <c r="E193">
        <v>8105</v>
      </c>
      <c r="F193">
        <v>237</v>
      </c>
      <c r="G193">
        <v>196</v>
      </c>
      <c r="H193">
        <v>1.2091837000000001</v>
      </c>
      <c r="I193">
        <v>-0.20918368000000001</v>
      </c>
      <c r="J193">
        <v>0.45265588000000001</v>
      </c>
    </row>
    <row r="194" spans="1:10" x14ac:dyDescent="0.3">
      <c r="A194">
        <v>192</v>
      </c>
      <c r="B194">
        <v>4838</v>
      </c>
      <c r="C194" t="b">
        <v>1</v>
      </c>
      <c r="D194">
        <v>8077</v>
      </c>
      <c r="E194">
        <v>8087</v>
      </c>
      <c r="F194">
        <v>236.6</v>
      </c>
      <c r="G194">
        <v>194.8</v>
      </c>
      <c r="H194">
        <v>1.2145790999999999</v>
      </c>
      <c r="I194">
        <v>-0.21457905999999999</v>
      </c>
      <c r="J194">
        <v>0.45155308</v>
      </c>
    </row>
    <row r="195" spans="1:10" x14ac:dyDescent="0.3">
      <c r="A195">
        <v>193</v>
      </c>
      <c r="B195">
        <v>4870</v>
      </c>
      <c r="C195" t="b">
        <v>1</v>
      </c>
      <c r="D195">
        <v>8060</v>
      </c>
      <c r="E195">
        <v>8087</v>
      </c>
      <c r="F195">
        <v>236.2</v>
      </c>
      <c r="G195">
        <v>193.6</v>
      </c>
      <c r="H195">
        <v>1.2200413000000001</v>
      </c>
      <c r="I195">
        <v>-0.22004128000000001</v>
      </c>
      <c r="J195">
        <v>0.45044210000000001</v>
      </c>
    </row>
    <row r="196" spans="1:10" x14ac:dyDescent="0.3">
      <c r="A196">
        <v>194</v>
      </c>
      <c r="B196">
        <v>4902</v>
      </c>
      <c r="C196" t="b">
        <v>1</v>
      </c>
      <c r="D196">
        <v>8071</v>
      </c>
      <c r="E196">
        <v>8129</v>
      </c>
      <c r="F196">
        <v>236.6</v>
      </c>
      <c r="G196">
        <v>192.8</v>
      </c>
      <c r="H196">
        <v>1.2271784999999999</v>
      </c>
      <c r="I196">
        <v>-0.22717844000000001</v>
      </c>
      <c r="J196">
        <v>0.44899856999999999</v>
      </c>
    </row>
    <row r="197" spans="1:10" x14ac:dyDescent="0.3">
      <c r="A197">
        <v>195</v>
      </c>
      <c r="B197">
        <v>4934</v>
      </c>
      <c r="C197" t="b">
        <v>1</v>
      </c>
      <c r="D197">
        <v>8071</v>
      </c>
      <c r="E197">
        <v>8075</v>
      </c>
      <c r="F197">
        <v>236.6</v>
      </c>
      <c r="G197">
        <v>191.2</v>
      </c>
      <c r="H197">
        <v>1.2374476999999999</v>
      </c>
      <c r="I197">
        <v>-0.23744775000000001</v>
      </c>
      <c r="J197">
        <v>0.44693782999999998</v>
      </c>
    </row>
    <row r="198" spans="1:10" x14ac:dyDescent="0.3">
      <c r="A198">
        <v>196</v>
      </c>
      <c r="B198">
        <v>4965</v>
      </c>
      <c r="C198" t="b">
        <v>1</v>
      </c>
      <c r="D198">
        <v>8083</v>
      </c>
      <c r="E198">
        <v>8105</v>
      </c>
      <c r="F198">
        <v>236.6</v>
      </c>
      <c r="G198">
        <v>189.6</v>
      </c>
      <c r="H198">
        <v>1.2478902000000001</v>
      </c>
      <c r="I198">
        <v>-0.24789030000000001</v>
      </c>
      <c r="J198">
        <v>0.44486155999999999</v>
      </c>
    </row>
    <row r="199" spans="1:10" x14ac:dyDescent="0.3">
      <c r="A199">
        <v>197</v>
      </c>
      <c r="B199">
        <v>4981</v>
      </c>
      <c r="C199" t="b">
        <v>1</v>
      </c>
      <c r="D199">
        <v>8071</v>
      </c>
      <c r="E199">
        <v>8111</v>
      </c>
      <c r="F199">
        <v>236.6</v>
      </c>
      <c r="G199">
        <v>189.2</v>
      </c>
      <c r="H199">
        <v>1.2505286</v>
      </c>
      <c r="I199">
        <v>-0.25052859999999999</v>
      </c>
      <c r="J199">
        <v>0.44434008000000003</v>
      </c>
    </row>
    <row r="200" spans="1:10" x14ac:dyDescent="0.3">
      <c r="A200">
        <v>198</v>
      </c>
      <c r="B200">
        <v>5013</v>
      </c>
      <c r="C200" t="b">
        <v>1</v>
      </c>
      <c r="D200">
        <v>8088</v>
      </c>
      <c r="E200">
        <v>8117</v>
      </c>
      <c r="F200">
        <v>236.6</v>
      </c>
      <c r="G200">
        <v>189.2</v>
      </c>
      <c r="H200">
        <v>1.2505286</v>
      </c>
      <c r="I200">
        <v>-0.25052859999999999</v>
      </c>
      <c r="J200">
        <v>0.44434008000000003</v>
      </c>
    </row>
    <row r="201" spans="1:10" x14ac:dyDescent="0.3">
      <c r="A201">
        <v>199</v>
      </c>
      <c r="B201">
        <v>5045</v>
      </c>
      <c r="C201" t="b">
        <v>1</v>
      </c>
      <c r="D201">
        <v>8088</v>
      </c>
      <c r="E201">
        <v>8129</v>
      </c>
      <c r="F201">
        <v>237</v>
      </c>
      <c r="G201">
        <v>189.2</v>
      </c>
      <c r="H201">
        <v>1.2526428000000001</v>
      </c>
      <c r="I201">
        <v>-0.25264271999999999</v>
      </c>
      <c r="J201">
        <v>0.44392303</v>
      </c>
    </row>
    <row r="202" spans="1:10" x14ac:dyDescent="0.3">
      <c r="A202">
        <v>200</v>
      </c>
      <c r="B202">
        <v>5077</v>
      </c>
      <c r="C202" t="b">
        <v>1</v>
      </c>
      <c r="D202">
        <v>8065</v>
      </c>
      <c r="E202">
        <v>8117</v>
      </c>
      <c r="F202">
        <v>237.8</v>
      </c>
      <c r="G202">
        <v>189.6</v>
      </c>
      <c r="H202">
        <v>1.2542194</v>
      </c>
      <c r="I202">
        <v>-0.25421937999999999</v>
      </c>
      <c r="J202">
        <v>0.44361252000000001</v>
      </c>
    </row>
    <row r="203" spans="1:10" x14ac:dyDescent="0.3">
      <c r="A203">
        <v>201</v>
      </c>
      <c r="B203">
        <v>5108</v>
      </c>
      <c r="C203" t="b">
        <v>1</v>
      </c>
      <c r="D203">
        <v>8077</v>
      </c>
      <c r="E203">
        <v>8111</v>
      </c>
      <c r="F203">
        <v>237.8</v>
      </c>
      <c r="G203">
        <v>190</v>
      </c>
      <c r="H203">
        <v>1.2515788999999999</v>
      </c>
      <c r="I203">
        <v>-0.25157896000000002</v>
      </c>
      <c r="J203">
        <v>0.44413278</v>
      </c>
    </row>
    <row r="204" spans="1:10" x14ac:dyDescent="0.3">
      <c r="A204">
        <v>202</v>
      </c>
      <c r="B204">
        <v>5124</v>
      </c>
      <c r="C204" t="b">
        <v>1</v>
      </c>
      <c r="D204">
        <v>8065</v>
      </c>
      <c r="E204">
        <v>8105</v>
      </c>
      <c r="F204">
        <v>237.8</v>
      </c>
      <c r="G204">
        <v>190.4</v>
      </c>
      <c r="H204">
        <v>1.2489496</v>
      </c>
      <c r="I204">
        <v>-0.24894963000000001</v>
      </c>
      <c r="J204">
        <v>0.44465199999999999</v>
      </c>
    </row>
    <row r="205" spans="1:10" x14ac:dyDescent="0.3">
      <c r="A205">
        <v>203</v>
      </c>
      <c r="B205">
        <v>5140</v>
      </c>
      <c r="C205" t="b">
        <v>1</v>
      </c>
      <c r="D205">
        <v>8088</v>
      </c>
      <c r="E205">
        <v>8105</v>
      </c>
      <c r="F205">
        <v>237.4</v>
      </c>
      <c r="G205">
        <v>190.4</v>
      </c>
      <c r="H205">
        <v>1.2468486999999999</v>
      </c>
      <c r="I205">
        <v>-0.24684875000000001</v>
      </c>
      <c r="J205">
        <v>0.44506780000000001</v>
      </c>
    </row>
    <row r="206" spans="1:10" x14ac:dyDescent="0.3">
      <c r="A206">
        <v>204</v>
      </c>
      <c r="B206">
        <v>5156</v>
      </c>
      <c r="C206" t="b">
        <v>1</v>
      </c>
      <c r="D206">
        <v>8071</v>
      </c>
      <c r="E206">
        <v>8129</v>
      </c>
      <c r="F206">
        <v>236.6</v>
      </c>
      <c r="G206">
        <v>190.4</v>
      </c>
      <c r="H206">
        <v>1.2426472</v>
      </c>
      <c r="I206">
        <v>-0.24264712999999999</v>
      </c>
      <c r="J206">
        <v>0.44590162999999999</v>
      </c>
    </row>
    <row r="207" spans="1:10" x14ac:dyDescent="0.3">
      <c r="A207">
        <v>205</v>
      </c>
      <c r="B207">
        <v>5172</v>
      </c>
      <c r="C207" t="b">
        <v>1</v>
      </c>
      <c r="D207">
        <v>8088</v>
      </c>
      <c r="E207">
        <v>8093</v>
      </c>
      <c r="F207">
        <v>236.2</v>
      </c>
      <c r="G207">
        <v>190.4</v>
      </c>
      <c r="H207">
        <v>1.2405462</v>
      </c>
      <c r="I207">
        <v>-0.24054623999999999</v>
      </c>
      <c r="J207">
        <v>0.44631976000000001</v>
      </c>
    </row>
    <row r="208" spans="1:10" x14ac:dyDescent="0.3">
      <c r="A208">
        <v>206</v>
      </c>
      <c r="B208">
        <v>5188</v>
      </c>
      <c r="C208" t="b">
        <v>1</v>
      </c>
      <c r="D208">
        <v>8077</v>
      </c>
      <c r="E208">
        <v>8111</v>
      </c>
      <c r="F208">
        <v>235.8</v>
      </c>
      <c r="G208">
        <v>190.4</v>
      </c>
      <c r="H208">
        <v>1.2384454</v>
      </c>
      <c r="I208">
        <v>-0.23844543000000001</v>
      </c>
      <c r="J208">
        <v>0.44673859999999999</v>
      </c>
    </row>
    <row r="209" spans="1:10" x14ac:dyDescent="0.3">
      <c r="A209">
        <v>207</v>
      </c>
      <c r="B209">
        <v>5204</v>
      </c>
      <c r="C209" t="b">
        <v>1</v>
      </c>
      <c r="D209">
        <v>8077</v>
      </c>
      <c r="E209">
        <v>8093</v>
      </c>
      <c r="F209">
        <v>235.8</v>
      </c>
      <c r="G209">
        <v>190.8</v>
      </c>
      <c r="H209">
        <v>1.235849</v>
      </c>
      <c r="I209">
        <v>-0.23584905</v>
      </c>
      <c r="J209">
        <v>0.44725740000000003</v>
      </c>
    </row>
    <row r="210" spans="1:10" x14ac:dyDescent="0.3">
      <c r="A210">
        <v>208</v>
      </c>
      <c r="B210">
        <v>5220</v>
      </c>
      <c r="C210" t="b">
        <v>1</v>
      </c>
      <c r="D210">
        <v>8083</v>
      </c>
      <c r="E210">
        <v>8105</v>
      </c>
      <c r="F210">
        <v>235.8</v>
      </c>
      <c r="G210">
        <v>191.2</v>
      </c>
      <c r="H210">
        <v>1.2332635999999999</v>
      </c>
      <c r="I210">
        <v>-0.23326363</v>
      </c>
      <c r="J210">
        <v>0.44777516000000001</v>
      </c>
    </row>
    <row r="211" spans="1:10" x14ac:dyDescent="0.3">
      <c r="A211">
        <v>209</v>
      </c>
      <c r="B211">
        <v>5236</v>
      </c>
      <c r="C211" t="b">
        <v>1</v>
      </c>
      <c r="D211">
        <v>8071</v>
      </c>
      <c r="E211">
        <v>8117</v>
      </c>
      <c r="F211">
        <v>235.8</v>
      </c>
      <c r="G211">
        <v>191.6</v>
      </c>
      <c r="H211">
        <v>1.2306889000000001</v>
      </c>
      <c r="I211">
        <v>-0.23068891</v>
      </c>
      <c r="J211">
        <v>0.44829200000000002</v>
      </c>
    </row>
    <row r="212" spans="1:10" x14ac:dyDescent="0.3">
      <c r="A212">
        <v>210</v>
      </c>
      <c r="B212">
        <v>5252</v>
      </c>
      <c r="C212" t="b">
        <v>1</v>
      </c>
      <c r="D212">
        <v>8117</v>
      </c>
      <c r="E212">
        <v>8105</v>
      </c>
      <c r="F212">
        <v>236.2</v>
      </c>
      <c r="G212">
        <v>192.8</v>
      </c>
      <c r="H212">
        <v>1.2251037</v>
      </c>
      <c r="I212">
        <v>-0.22510369999999999</v>
      </c>
      <c r="J212">
        <v>0.44941725999999999</v>
      </c>
    </row>
    <row r="213" spans="1:10" x14ac:dyDescent="0.3">
      <c r="A213">
        <v>211</v>
      </c>
      <c r="B213">
        <v>5267</v>
      </c>
      <c r="C213" t="b">
        <v>1</v>
      </c>
      <c r="D213">
        <v>8094</v>
      </c>
      <c r="E213">
        <v>8129</v>
      </c>
      <c r="F213">
        <v>237</v>
      </c>
      <c r="G213">
        <v>194</v>
      </c>
      <c r="H213">
        <v>1.2216495000000001</v>
      </c>
      <c r="I213">
        <v>-0.22164948000000001</v>
      </c>
      <c r="J213">
        <v>0.45011600000000002</v>
      </c>
    </row>
    <row r="214" spans="1:10" x14ac:dyDescent="0.3">
      <c r="A214">
        <v>212</v>
      </c>
      <c r="B214">
        <v>5299</v>
      </c>
      <c r="C214" t="b">
        <v>1</v>
      </c>
      <c r="D214">
        <v>8077</v>
      </c>
      <c r="E214">
        <v>8099</v>
      </c>
      <c r="F214">
        <v>237.8</v>
      </c>
      <c r="G214">
        <v>194</v>
      </c>
      <c r="H214">
        <v>1.2257731999999999</v>
      </c>
      <c r="I214">
        <v>-0.22577322</v>
      </c>
      <c r="J214">
        <v>0.44928207999999997</v>
      </c>
    </row>
    <row r="215" spans="1:10" x14ac:dyDescent="0.3">
      <c r="A215">
        <v>213</v>
      </c>
      <c r="B215">
        <v>5331</v>
      </c>
      <c r="C215" t="b">
        <v>1</v>
      </c>
      <c r="D215">
        <v>8083</v>
      </c>
      <c r="E215">
        <v>8105</v>
      </c>
      <c r="F215">
        <v>238.6</v>
      </c>
      <c r="G215">
        <v>193.6</v>
      </c>
      <c r="H215">
        <v>1.2324379999999999</v>
      </c>
      <c r="I215">
        <v>-0.23243801</v>
      </c>
      <c r="J215">
        <v>0.44794076999999999</v>
      </c>
    </row>
    <row r="216" spans="1:10" x14ac:dyDescent="0.3">
      <c r="A216">
        <v>214</v>
      </c>
      <c r="B216">
        <v>5363</v>
      </c>
      <c r="C216" t="b">
        <v>1</v>
      </c>
      <c r="D216">
        <v>8083</v>
      </c>
      <c r="E216">
        <v>8099</v>
      </c>
      <c r="F216">
        <v>238.6</v>
      </c>
      <c r="G216">
        <v>193.2</v>
      </c>
      <c r="H216">
        <v>1.2349896</v>
      </c>
      <c r="I216">
        <v>-0.2349897</v>
      </c>
      <c r="J216">
        <v>0.44742936</v>
      </c>
    </row>
    <row r="217" spans="1:10" x14ac:dyDescent="0.3">
      <c r="A217">
        <v>215</v>
      </c>
      <c r="B217">
        <v>5394</v>
      </c>
      <c r="C217" t="b">
        <v>1</v>
      </c>
      <c r="D217">
        <v>8088</v>
      </c>
      <c r="E217">
        <v>8123</v>
      </c>
      <c r="F217">
        <v>238.6</v>
      </c>
      <c r="G217">
        <v>192.4</v>
      </c>
      <c r="H217">
        <v>1.2401248</v>
      </c>
      <c r="I217">
        <v>-0.2401248</v>
      </c>
      <c r="J217">
        <v>0.44640370000000001</v>
      </c>
    </row>
    <row r="218" spans="1:10" x14ac:dyDescent="0.3">
      <c r="A218">
        <v>216</v>
      </c>
      <c r="B218">
        <v>5426</v>
      </c>
      <c r="C218" t="b">
        <v>1</v>
      </c>
      <c r="D218">
        <v>8077</v>
      </c>
      <c r="E218">
        <v>8081</v>
      </c>
      <c r="F218">
        <v>239</v>
      </c>
      <c r="G218">
        <v>191.2</v>
      </c>
      <c r="H218">
        <v>1.25</v>
      </c>
      <c r="I218">
        <v>-0.25000002999999998</v>
      </c>
      <c r="J218">
        <v>0.44444442000000001</v>
      </c>
    </row>
    <row r="219" spans="1:10" x14ac:dyDescent="0.3">
      <c r="A219">
        <v>217</v>
      </c>
      <c r="B219">
        <v>5458</v>
      </c>
      <c r="C219" t="b">
        <v>1</v>
      </c>
      <c r="D219">
        <v>8077</v>
      </c>
      <c r="E219">
        <v>8117</v>
      </c>
      <c r="F219">
        <v>239.4</v>
      </c>
      <c r="G219">
        <v>190.4</v>
      </c>
      <c r="H219">
        <v>1.2573529999999999</v>
      </c>
      <c r="I219">
        <v>-0.25735295000000002</v>
      </c>
      <c r="J219">
        <v>0.44299674</v>
      </c>
    </row>
    <row r="220" spans="1:10" x14ac:dyDescent="0.3">
      <c r="A220">
        <v>218</v>
      </c>
      <c r="B220">
        <v>5489</v>
      </c>
      <c r="C220" t="b">
        <v>1</v>
      </c>
      <c r="D220">
        <v>8077</v>
      </c>
      <c r="E220">
        <v>8111</v>
      </c>
      <c r="F220">
        <v>239.4</v>
      </c>
      <c r="G220">
        <v>190.4</v>
      </c>
      <c r="H220">
        <v>1.2573529999999999</v>
      </c>
      <c r="I220">
        <v>-0.25735295000000002</v>
      </c>
      <c r="J220">
        <v>0.44299674</v>
      </c>
    </row>
    <row r="221" spans="1:10" x14ac:dyDescent="0.3">
      <c r="A221">
        <v>219</v>
      </c>
      <c r="B221">
        <v>5520</v>
      </c>
      <c r="C221" t="b">
        <v>1</v>
      </c>
      <c r="D221">
        <v>8060</v>
      </c>
      <c r="E221">
        <v>8105</v>
      </c>
      <c r="F221">
        <v>239.8</v>
      </c>
      <c r="G221">
        <v>190.4</v>
      </c>
      <c r="H221">
        <v>1.2594539</v>
      </c>
      <c r="I221">
        <v>-0.25945383</v>
      </c>
      <c r="J221">
        <v>0.4425848</v>
      </c>
    </row>
    <row r="222" spans="1:10" x14ac:dyDescent="0.3">
      <c r="A222">
        <v>220</v>
      </c>
      <c r="B222">
        <v>5536</v>
      </c>
      <c r="C222" t="b">
        <v>1</v>
      </c>
      <c r="D222">
        <v>8071</v>
      </c>
      <c r="E222">
        <v>8105</v>
      </c>
      <c r="F222">
        <v>239.8</v>
      </c>
      <c r="G222">
        <v>190.4</v>
      </c>
      <c r="H222">
        <v>1.2594539</v>
      </c>
      <c r="I222">
        <v>-0.25945383</v>
      </c>
      <c r="J222">
        <v>0.4425848</v>
      </c>
    </row>
    <row r="223" spans="1:10" x14ac:dyDescent="0.3">
      <c r="A223">
        <v>221</v>
      </c>
      <c r="B223">
        <v>5568</v>
      </c>
      <c r="C223" t="b">
        <v>1</v>
      </c>
      <c r="D223">
        <v>8042</v>
      </c>
      <c r="E223">
        <v>8129</v>
      </c>
      <c r="F223">
        <v>239.4</v>
      </c>
      <c r="G223">
        <v>190.8</v>
      </c>
      <c r="H223">
        <v>1.2547169</v>
      </c>
      <c r="I223">
        <v>-0.25471693000000001</v>
      </c>
      <c r="J223">
        <v>0.44351465000000001</v>
      </c>
    </row>
    <row r="224" spans="1:10" x14ac:dyDescent="0.3">
      <c r="A224">
        <v>222</v>
      </c>
      <c r="B224">
        <v>5584</v>
      </c>
      <c r="C224" t="b">
        <v>1</v>
      </c>
      <c r="D224">
        <v>8094</v>
      </c>
      <c r="E224">
        <v>8087</v>
      </c>
      <c r="F224">
        <v>239</v>
      </c>
      <c r="G224">
        <v>190.8</v>
      </c>
      <c r="H224">
        <v>1.2526206</v>
      </c>
      <c r="I224">
        <v>-0.25262052000000002</v>
      </c>
      <c r="J224">
        <v>0.44392744000000001</v>
      </c>
    </row>
    <row r="225" spans="1:10" x14ac:dyDescent="0.3">
      <c r="A225">
        <v>223</v>
      </c>
      <c r="B225">
        <v>5600</v>
      </c>
      <c r="C225" t="b">
        <v>1</v>
      </c>
      <c r="D225">
        <v>8071</v>
      </c>
      <c r="E225">
        <v>8099</v>
      </c>
      <c r="F225">
        <v>238.6</v>
      </c>
      <c r="G225">
        <v>190.8</v>
      </c>
      <c r="H225">
        <v>1.2505242000000001</v>
      </c>
      <c r="I225">
        <v>-0.25052413000000001</v>
      </c>
      <c r="J225">
        <v>0.44434089999999998</v>
      </c>
    </row>
    <row r="226" spans="1:10" x14ac:dyDescent="0.3">
      <c r="A226">
        <v>224</v>
      </c>
      <c r="B226">
        <v>5632</v>
      </c>
      <c r="C226" t="b">
        <v>1</v>
      </c>
      <c r="D226">
        <v>8054</v>
      </c>
      <c r="E226">
        <v>8093</v>
      </c>
      <c r="F226">
        <v>238.2</v>
      </c>
      <c r="G226">
        <v>190.4</v>
      </c>
      <c r="H226">
        <v>1.2510505000000001</v>
      </c>
      <c r="I226">
        <v>-0.25105043999999999</v>
      </c>
      <c r="J226">
        <v>0.44423705000000002</v>
      </c>
    </row>
    <row r="227" spans="1:10" x14ac:dyDescent="0.3">
      <c r="A227">
        <v>225</v>
      </c>
      <c r="B227">
        <v>5663</v>
      </c>
      <c r="C227" t="b">
        <v>1</v>
      </c>
      <c r="D227">
        <v>8065</v>
      </c>
      <c r="E227">
        <v>8140</v>
      </c>
      <c r="F227">
        <v>237.4</v>
      </c>
      <c r="G227">
        <v>190</v>
      </c>
      <c r="H227">
        <v>1.2494737</v>
      </c>
      <c r="I227">
        <v>-0.24947364999999999</v>
      </c>
      <c r="J227">
        <v>0.44454842999999999</v>
      </c>
    </row>
    <row r="228" spans="1:10" x14ac:dyDescent="0.3">
      <c r="A228">
        <v>226</v>
      </c>
      <c r="B228">
        <v>5695</v>
      </c>
      <c r="C228" t="b">
        <v>1</v>
      </c>
      <c r="D228">
        <v>8054</v>
      </c>
      <c r="E228">
        <v>8099</v>
      </c>
      <c r="F228">
        <v>236.2</v>
      </c>
      <c r="G228">
        <v>189.6</v>
      </c>
      <c r="H228">
        <v>1.2457806</v>
      </c>
      <c r="I228">
        <v>-0.24578053</v>
      </c>
      <c r="J228">
        <v>0.44527949999999999</v>
      </c>
    </row>
    <row r="229" spans="1:10" x14ac:dyDescent="0.3">
      <c r="A229">
        <v>227</v>
      </c>
      <c r="B229">
        <v>5726</v>
      </c>
      <c r="C229" t="b">
        <v>1</v>
      </c>
      <c r="D229">
        <v>8065</v>
      </c>
      <c r="E229">
        <v>8129</v>
      </c>
      <c r="F229">
        <v>235</v>
      </c>
      <c r="G229">
        <v>189.2</v>
      </c>
      <c r="H229">
        <v>1.2420719</v>
      </c>
      <c r="I229">
        <v>-0.24207190000000001</v>
      </c>
      <c r="J229">
        <v>0.44601600000000002</v>
      </c>
    </row>
    <row r="230" spans="1:10" x14ac:dyDescent="0.3">
      <c r="A230">
        <v>228</v>
      </c>
      <c r="B230">
        <v>5758</v>
      </c>
      <c r="C230" t="b">
        <v>1</v>
      </c>
      <c r="D230">
        <v>8071</v>
      </c>
      <c r="E230">
        <v>8105</v>
      </c>
      <c r="F230">
        <v>233.8</v>
      </c>
      <c r="G230">
        <v>189.2</v>
      </c>
      <c r="H230">
        <v>1.2357294999999999</v>
      </c>
      <c r="I230">
        <v>-0.23572942999999999</v>
      </c>
      <c r="J230">
        <v>0.44728132999999998</v>
      </c>
    </row>
    <row r="231" spans="1:10" x14ac:dyDescent="0.3">
      <c r="A231">
        <v>229</v>
      </c>
      <c r="B231">
        <v>5790</v>
      </c>
      <c r="C231" t="b">
        <v>1</v>
      </c>
      <c r="D231">
        <v>8071</v>
      </c>
      <c r="E231">
        <v>8105</v>
      </c>
      <c r="F231">
        <v>232.6</v>
      </c>
      <c r="G231">
        <v>189.2</v>
      </c>
      <c r="H231">
        <v>1.2293868999999999</v>
      </c>
      <c r="I231">
        <v>-0.22938694000000001</v>
      </c>
      <c r="J231">
        <v>0.44855382999999999</v>
      </c>
    </row>
    <row r="232" spans="1:10" x14ac:dyDescent="0.3">
      <c r="A232">
        <v>230</v>
      </c>
      <c r="B232">
        <v>5821</v>
      </c>
      <c r="C232" t="b">
        <v>1</v>
      </c>
      <c r="D232">
        <v>8100</v>
      </c>
      <c r="E232">
        <v>8105</v>
      </c>
      <c r="F232">
        <v>231.8</v>
      </c>
      <c r="G232">
        <v>189.2</v>
      </c>
      <c r="H232">
        <v>1.2251586000000001</v>
      </c>
      <c r="I232">
        <v>-0.22515859999999999</v>
      </c>
      <c r="J232">
        <v>0.44940617999999999</v>
      </c>
    </row>
    <row r="233" spans="1:10" x14ac:dyDescent="0.3">
      <c r="A233">
        <v>231</v>
      </c>
      <c r="B233">
        <v>5852</v>
      </c>
      <c r="C233" t="b">
        <v>1</v>
      </c>
      <c r="D233">
        <v>8060</v>
      </c>
      <c r="E233">
        <v>8117</v>
      </c>
      <c r="F233">
        <v>231</v>
      </c>
      <c r="G233">
        <v>189.6</v>
      </c>
      <c r="H233">
        <v>1.2183542999999999</v>
      </c>
      <c r="I233">
        <v>-0.21835439000000001</v>
      </c>
      <c r="J233">
        <v>0.45078459999999998</v>
      </c>
    </row>
    <row r="234" spans="1:10" x14ac:dyDescent="0.3">
      <c r="A234">
        <v>232</v>
      </c>
      <c r="B234">
        <v>5884</v>
      </c>
      <c r="C234" t="b">
        <v>1</v>
      </c>
      <c r="D234">
        <v>8106</v>
      </c>
      <c r="E234">
        <v>8134</v>
      </c>
      <c r="F234">
        <v>230.2</v>
      </c>
      <c r="G234">
        <v>189.6</v>
      </c>
      <c r="H234">
        <v>1.2141348999999999</v>
      </c>
      <c r="I234">
        <v>-0.21413496000000001</v>
      </c>
      <c r="J234">
        <v>0.45164367999999999</v>
      </c>
    </row>
    <row r="235" spans="1:10" x14ac:dyDescent="0.3">
      <c r="A235">
        <v>233</v>
      </c>
      <c r="B235">
        <v>5900</v>
      </c>
      <c r="C235" t="b">
        <v>1</v>
      </c>
      <c r="D235">
        <v>8042</v>
      </c>
      <c r="E235">
        <v>8123</v>
      </c>
      <c r="F235">
        <v>229.8</v>
      </c>
      <c r="G235">
        <v>190</v>
      </c>
      <c r="H235">
        <v>1.2094737</v>
      </c>
      <c r="I235">
        <v>-0.20947370000000001</v>
      </c>
      <c r="J235">
        <v>0.45259650000000001</v>
      </c>
    </row>
    <row r="236" spans="1:10" x14ac:dyDescent="0.3">
      <c r="A236">
        <v>234</v>
      </c>
      <c r="B236">
        <v>5915</v>
      </c>
      <c r="C236" t="b">
        <v>1</v>
      </c>
      <c r="D236">
        <v>8060</v>
      </c>
      <c r="E236">
        <v>8134</v>
      </c>
      <c r="F236">
        <v>228.66667000000001</v>
      </c>
      <c r="G236">
        <v>190.8</v>
      </c>
      <c r="H236">
        <v>1.1984626</v>
      </c>
      <c r="I236">
        <v>-0.19846262000000001</v>
      </c>
      <c r="J236">
        <v>0.45486330000000003</v>
      </c>
    </row>
    <row r="237" spans="1:10" x14ac:dyDescent="0.3">
      <c r="A237">
        <v>235</v>
      </c>
      <c r="B237">
        <v>5947</v>
      </c>
      <c r="C237" t="b">
        <v>1</v>
      </c>
      <c r="D237">
        <v>8065</v>
      </c>
      <c r="E237">
        <v>8105</v>
      </c>
      <c r="F237">
        <v>227.53334000000001</v>
      </c>
      <c r="G237">
        <v>192</v>
      </c>
      <c r="H237">
        <v>1.1850693999999999</v>
      </c>
      <c r="I237">
        <v>-0.18506949</v>
      </c>
      <c r="J237">
        <v>0.45765138</v>
      </c>
    </row>
    <row r="238" spans="1:10" x14ac:dyDescent="0.3">
      <c r="A238">
        <v>236</v>
      </c>
      <c r="B238">
        <v>5979</v>
      </c>
      <c r="C238" t="b">
        <v>1</v>
      </c>
      <c r="D238">
        <v>8054</v>
      </c>
      <c r="E238">
        <v>8117</v>
      </c>
      <c r="F238">
        <v>226.8</v>
      </c>
      <c r="G238">
        <v>192.8</v>
      </c>
      <c r="H238">
        <v>1.1763486000000001</v>
      </c>
      <c r="I238">
        <v>-0.17634854999999999</v>
      </c>
      <c r="J238">
        <v>0.45948523000000002</v>
      </c>
    </row>
    <row r="239" spans="1:10" x14ac:dyDescent="0.3">
      <c r="A239">
        <v>237</v>
      </c>
      <c r="B239">
        <v>6011</v>
      </c>
      <c r="C239" t="b">
        <v>1</v>
      </c>
      <c r="D239">
        <v>8060</v>
      </c>
      <c r="E239">
        <v>8105</v>
      </c>
      <c r="F239">
        <v>226.06666999999999</v>
      </c>
      <c r="G239">
        <v>193.6</v>
      </c>
      <c r="H239">
        <v>1.1676997</v>
      </c>
      <c r="I239">
        <v>-0.16769967999999999</v>
      </c>
      <c r="J239">
        <v>0.46131850000000002</v>
      </c>
    </row>
    <row r="240" spans="1:10" x14ac:dyDescent="0.3">
      <c r="A240">
        <v>238</v>
      </c>
      <c r="B240">
        <v>6042</v>
      </c>
      <c r="C240" t="b">
        <v>1</v>
      </c>
      <c r="D240">
        <v>8100</v>
      </c>
      <c r="E240">
        <v>8105</v>
      </c>
      <c r="F240">
        <v>225.33332999999999</v>
      </c>
      <c r="G240">
        <v>193.6</v>
      </c>
      <c r="H240">
        <v>1.1639117999999999</v>
      </c>
      <c r="I240">
        <v>-0.16391179</v>
      </c>
      <c r="J240">
        <v>0.46212602000000003</v>
      </c>
    </row>
    <row r="241" spans="1:10" x14ac:dyDescent="0.3">
      <c r="A241">
        <v>239</v>
      </c>
      <c r="B241">
        <v>6058</v>
      </c>
      <c r="C241" t="b">
        <v>1</v>
      </c>
      <c r="D241">
        <v>8065</v>
      </c>
      <c r="E241">
        <v>8111</v>
      </c>
      <c r="F241">
        <v>224.93333000000001</v>
      </c>
      <c r="G241">
        <v>194</v>
      </c>
      <c r="H241">
        <v>1.1594502</v>
      </c>
      <c r="I241">
        <v>-0.15945017</v>
      </c>
      <c r="J241">
        <v>0.46308082</v>
      </c>
    </row>
    <row r="242" spans="1:10" x14ac:dyDescent="0.3">
      <c r="A242">
        <v>240</v>
      </c>
      <c r="B242">
        <v>6074</v>
      </c>
      <c r="C242" t="b">
        <v>1</v>
      </c>
      <c r="D242">
        <v>8054</v>
      </c>
      <c r="E242">
        <v>8134</v>
      </c>
      <c r="F242">
        <v>224.6</v>
      </c>
      <c r="G242">
        <v>194.8</v>
      </c>
      <c r="H242">
        <v>1.1529775</v>
      </c>
      <c r="I242">
        <v>-0.15297742</v>
      </c>
      <c r="J242">
        <v>0.46447304</v>
      </c>
    </row>
    <row r="243" spans="1:10" x14ac:dyDescent="0.3">
      <c r="A243">
        <v>241</v>
      </c>
      <c r="B243">
        <v>6106</v>
      </c>
      <c r="C243" t="b">
        <v>1</v>
      </c>
      <c r="D243">
        <v>8065</v>
      </c>
      <c r="E243">
        <v>8099</v>
      </c>
      <c r="F243">
        <v>224.6</v>
      </c>
      <c r="G243">
        <v>195.2</v>
      </c>
      <c r="H243">
        <v>1.1506149000000001</v>
      </c>
      <c r="I243">
        <v>-0.15061479999999999</v>
      </c>
      <c r="J243">
        <v>0.46498334000000002</v>
      </c>
    </row>
    <row r="244" spans="1:10" x14ac:dyDescent="0.3">
      <c r="A244">
        <v>242</v>
      </c>
      <c r="B244">
        <v>6122</v>
      </c>
      <c r="C244" t="b">
        <v>1</v>
      </c>
      <c r="D244">
        <v>8083</v>
      </c>
      <c r="E244">
        <v>8087</v>
      </c>
      <c r="F244">
        <v>224.6</v>
      </c>
      <c r="G244">
        <v>195.6</v>
      </c>
      <c r="H244">
        <v>1.1482618</v>
      </c>
      <c r="I244">
        <v>-0.14826175999999999</v>
      </c>
      <c r="J244">
        <v>0.46549264000000001</v>
      </c>
    </row>
    <row r="245" spans="1:10" x14ac:dyDescent="0.3">
      <c r="A245">
        <v>243</v>
      </c>
      <c r="B245">
        <v>6138</v>
      </c>
      <c r="C245" t="b">
        <v>1</v>
      </c>
      <c r="D245">
        <v>8088</v>
      </c>
      <c r="E245">
        <v>8099</v>
      </c>
      <c r="F245">
        <v>224.6</v>
      </c>
      <c r="G245">
        <v>195.2</v>
      </c>
      <c r="H245">
        <v>1.1506149000000001</v>
      </c>
      <c r="I245">
        <v>-0.15061479999999999</v>
      </c>
      <c r="J245">
        <v>0.46498334000000002</v>
      </c>
    </row>
    <row r="246" spans="1:10" x14ac:dyDescent="0.3">
      <c r="A246">
        <v>244</v>
      </c>
      <c r="B246">
        <v>6154</v>
      </c>
      <c r="C246" t="b">
        <v>1</v>
      </c>
      <c r="D246">
        <v>8071</v>
      </c>
      <c r="E246">
        <v>8123</v>
      </c>
      <c r="F246">
        <v>225</v>
      </c>
      <c r="G246">
        <v>194.8</v>
      </c>
      <c r="H246">
        <v>1.1550307</v>
      </c>
      <c r="I246">
        <v>-0.15503079</v>
      </c>
      <c r="J246">
        <v>0.46403050000000001</v>
      </c>
    </row>
    <row r="247" spans="1:10" x14ac:dyDescent="0.3">
      <c r="A247">
        <v>245</v>
      </c>
      <c r="B247">
        <v>6170</v>
      </c>
      <c r="C247" t="b">
        <v>1</v>
      </c>
      <c r="D247">
        <v>8100</v>
      </c>
      <c r="E247">
        <v>8129</v>
      </c>
      <c r="F247">
        <v>225.8</v>
      </c>
      <c r="G247">
        <v>194.4</v>
      </c>
      <c r="H247">
        <v>1.1615226000000001</v>
      </c>
      <c r="I247">
        <v>-0.16152269</v>
      </c>
      <c r="J247">
        <v>0.46263680000000001</v>
      </c>
    </row>
    <row r="248" spans="1:10" x14ac:dyDescent="0.3">
      <c r="A248">
        <v>246</v>
      </c>
      <c r="B248">
        <v>6186</v>
      </c>
      <c r="C248" t="b">
        <v>1</v>
      </c>
      <c r="D248">
        <v>8083</v>
      </c>
      <c r="E248">
        <v>8129</v>
      </c>
      <c r="F248">
        <v>226.6</v>
      </c>
      <c r="G248">
        <v>195.6</v>
      </c>
      <c r="H248">
        <v>1.1584867000000001</v>
      </c>
      <c r="I248">
        <v>-0.15848671</v>
      </c>
      <c r="J248">
        <v>0.46328753</v>
      </c>
    </row>
    <row r="249" spans="1:10" x14ac:dyDescent="0.3">
      <c r="A249">
        <v>247</v>
      </c>
      <c r="B249">
        <v>6217</v>
      </c>
      <c r="C249" t="b">
        <v>1</v>
      </c>
      <c r="D249">
        <v>8054</v>
      </c>
      <c r="E249">
        <v>8105</v>
      </c>
      <c r="F249">
        <v>227.4</v>
      </c>
      <c r="G249">
        <v>196.8</v>
      </c>
      <c r="H249">
        <v>1.1554878</v>
      </c>
      <c r="I249">
        <v>-0.15548776</v>
      </c>
      <c r="J249">
        <v>0.46393210000000001</v>
      </c>
    </row>
    <row r="250" spans="1:10" x14ac:dyDescent="0.3">
      <c r="A250">
        <v>248</v>
      </c>
      <c r="B250">
        <v>6233</v>
      </c>
      <c r="C250" t="b">
        <v>1</v>
      </c>
      <c r="D250">
        <v>8083</v>
      </c>
      <c r="E250">
        <v>8093</v>
      </c>
      <c r="F250">
        <v>228.2</v>
      </c>
      <c r="G250">
        <v>197.2</v>
      </c>
      <c r="H250">
        <v>1.1572008</v>
      </c>
      <c r="I250">
        <v>-0.15720081</v>
      </c>
      <c r="J250">
        <v>0.46356370000000002</v>
      </c>
    </row>
    <row r="251" spans="1:10" x14ac:dyDescent="0.3">
      <c r="A251">
        <v>249</v>
      </c>
      <c r="B251">
        <v>6265</v>
      </c>
      <c r="C251" t="b">
        <v>1</v>
      </c>
      <c r="D251">
        <v>8071</v>
      </c>
      <c r="E251">
        <v>8105</v>
      </c>
      <c r="F251">
        <v>229.73334</v>
      </c>
      <c r="G251">
        <v>196</v>
      </c>
      <c r="H251">
        <v>1.1721089</v>
      </c>
      <c r="I251">
        <v>-0.17210886</v>
      </c>
      <c r="J251">
        <v>0.46038206999999998</v>
      </c>
    </row>
    <row r="252" spans="1:10" x14ac:dyDescent="0.3">
      <c r="A252">
        <v>250</v>
      </c>
      <c r="B252">
        <v>6281</v>
      </c>
      <c r="C252" t="b">
        <v>1</v>
      </c>
      <c r="D252">
        <v>8088</v>
      </c>
      <c r="E252">
        <v>8081</v>
      </c>
      <c r="F252">
        <v>231.26666</v>
      </c>
      <c r="G252">
        <v>194.8</v>
      </c>
      <c r="H252">
        <v>1.1872005000000001</v>
      </c>
      <c r="I252">
        <v>-0.18720049999999999</v>
      </c>
      <c r="J252">
        <v>0.45720547</v>
      </c>
    </row>
    <row r="253" spans="1:10" x14ac:dyDescent="0.3">
      <c r="A253">
        <v>251</v>
      </c>
      <c r="B253">
        <v>6312</v>
      </c>
      <c r="C253" t="b">
        <v>1</v>
      </c>
      <c r="D253">
        <v>8083</v>
      </c>
      <c r="E253">
        <v>8117</v>
      </c>
      <c r="F253">
        <v>232.8</v>
      </c>
      <c r="G253">
        <v>193.6</v>
      </c>
      <c r="H253">
        <v>1.2024794000000001</v>
      </c>
      <c r="I253">
        <v>-0.20247931999999999</v>
      </c>
      <c r="J253">
        <v>0.45403376000000001</v>
      </c>
    </row>
    <row r="254" spans="1:10" x14ac:dyDescent="0.3">
      <c r="A254">
        <v>252</v>
      </c>
      <c r="B254">
        <v>6344</v>
      </c>
      <c r="C254" t="b">
        <v>1</v>
      </c>
      <c r="D254">
        <v>8083</v>
      </c>
      <c r="E254">
        <v>8111</v>
      </c>
      <c r="F254">
        <v>234.33332999999999</v>
      </c>
      <c r="G254">
        <v>192.8</v>
      </c>
      <c r="H254">
        <v>1.2154218000000001</v>
      </c>
      <c r="I254">
        <v>-0.21542180999999999</v>
      </c>
      <c r="J254">
        <v>0.45138133000000003</v>
      </c>
    </row>
    <row r="255" spans="1:10" x14ac:dyDescent="0.3">
      <c r="A255">
        <v>253</v>
      </c>
      <c r="B255">
        <v>6376</v>
      </c>
      <c r="C255" t="b">
        <v>1</v>
      </c>
      <c r="D255">
        <v>8077</v>
      </c>
      <c r="E255">
        <v>8099</v>
      </c>
      <c r="F255">
        <v>235.86667</v>
      </c>
      <c r="G255">
        <v>192.8</v>
      </c>
      <c r="H255">
        <v>1.2233748</v>
      </c>
      <c r="I255">
        <v>-0.22337481000000001</v>
      </c>
      <c r="J255">
        <v>0.44976670000000002</v>
      </c>
    </row>
    <row r="256" spans="1:10" x14ac:dyDescent="0.3">
      <c r="A256">
        <v>254</v>
      </c>
      <c r="B256">
        <v>6392</v>
      </c>
      <c r="C256" t="b">
        <v>1</v>
      </c>
      <c r="D256">
        <v>8071</v>
      </c>
      <c r="E256">
        <v>8093</v>
      </c>
      <c r="F256">
        <v>237.06666999999999</v>
      </c>
      <c r="G256">
        <v>192.4</v>
      </c>
      <c r="H256">
        <v>1.2321553000000001</v>
      </c>
      <c r="I256">
        <v>-0.23215526</v>
      </c>
      <c r="J256">
        <v>0.44799748</v>
      </c>
    </row>
    <row r="257" spans="1:10" x14ac:dyDescent="0.3">
      <c r="A257">
        <v>255</v>
      </c>
      <c r="B257">
        <v>6424</v>
      </c>
      <c r="C257" t="b">
        <v>1</v>
      </c>
      <c r="D257">
        <v>8042</v>
      </c>
      <c r="E257">
        <v>8111</v>
      </c>
      <c r="F257">
        <v>238.2</v>
      </c>
      <c r="G257">
        <v>192.4</v>
      </c>
      <c r="H257">
        <v>1.2380458000000001</v>
      </c>
      <c r="I257">
        <v>-0.23804576999999999</v>
      </c>
      <c r="J257">
        <v>0.4468184</v>
      </c>
    </row>
    <row r="258" spans="1:10" x14ac:dyDescent="0.3">
      <c r="A258">
        <v>256</v>
      </c>
      <c r="B258">
        <v>6456</v>
      </c>
      <c r="C258" t="b">
        <v>1</v>
      </c>
      <c r="D258">
        <v>8088</v>
      </c>
      <c r="E258">
        <v>8111</v>
      </c>
      <c r="F258">
        <v>239</v>
      </c>
      <c r="G258">
        <v>192.8</v>
      </c>
      <c r="H258">
        <v>1.2396265</v>
      </c>
      <c r="I258">
        <v>-0.23962654</v>
      </c>
      <c r="J258">
        <v>0.44650304000000002</v>
      </c>
    </row>
    <row r="259" spans="1:10" x14ac:dyDescent="0.3">
      <c r="A259">
        <v>257</v>
      </c>
      <c r="B259">
        <v>6472</v>
      </c>
      <c r="C259" t="b">
        <v>1</v>
      </c>
      <c r="D259">
        <v>8094</v>
      </c>
      <c r="E259">
        <v>8099</v>
      </c>
      <c r="F259">
        <v>239.8</v>
      </c>
      <c r="G259">
        <v>192.4</v>
      </c>
      <c r="H259">
        <v>1.2463618999999999</v>
      </c>
      <c r="I259">
        <v>-0.24636179999999999</v>
      </c>
      <c r="J259">
        <v>0.44516425999999998</v>
      </c>
    </row>
    <row r="260" spans="1:10" x14ac:dyDescent="0.3">
      <c r="A260">
        <v>258</v>
      </c>
      <c r="B260">
        <v>6487</v>
      </c>
      <c r="C260" t="b">
        <v>1</v>
      </c>
      <c r="D260">
        <v>8083</v>
      </c>
      <c r="E260">
        <v>8105</v>
      </c>
      <c r="F260">
        <v>241</v>
      </c>
      <c r="G260">
        <v>192.8</v>
      </c>
      <c r="H260">
        <v>1.25</v>
      </c>
      <c r="I260">
        <v>-0.24999999000000001</v>
      </c>
      <c r="J260">
        <v>0.44444447999999998</v>
      </c>
    </row>
    <row r="261" spans="1:10" x14ac:dyDescent="0.3">
      <c r="A261">
        <v>259</v>
      </c>
      <c r="B261">
        <v>6519</v>
      </c>
      <c r="C261" t="b">
        <v>1</v>
      </c>
      <c r="D261">
        <v>8071</v>
      </c>
      <c r="E261">
        <v>8117</v>
      </c>
      <c r="F261">
        <v>241.8</v>
      </c>
      <c r="G261">
        <v>193.6</v>
      </c>
      <c r="H261">
        <v>1.2489669000000001</v>
      </c>
      <c r="I261">
        <v>-0.24896692000000001</v>
      </c>
      <c r="J261">
        <v>0.4446486</v>
      </c>
    </row>
    <row r="262" spans="1:10" x14ac:dyDescent="0.3">
      <c r="A262">
        <v>260</v>
      </c>
      <c r="B262">
        <v>6551</v>
      </c>
      <c r="C262" t="b">
        <v>1</v>
      </c>
      <c r="D262">
        <v>8094</v>
      </c>
      <c r="E262">
        <v>8081</v>
      </c>
      <c r="F262">
        <v>242.13333</v>
      </c>
      <c r="G262">
        <v>194</v>
      </c>
      <c r="H262">
        <v>1.2481099</v>
      </c>
      <c r="I262">
        <v>-0.24810995</v>
      </c>
      <c r="J262">
        <v>0.44481809999999999</v>
      </c>
    </row>
    <row r="263" spans="1:10" x14ac:dyDescent="0.3">
      <c r="A263">
        <v>261</v>
      </c>
      <c r="B263">
        <v>6583</v>
      </c>
      <c r="C263" t="b">
        <v>1</v>
      </c>
      <c r="D263">
        <v>8065</v>
      </c>
      <c r="E263">
        <v>8123</v>
      </c>
      <c r="F263">
        <v>242.13333</v>
      </c>
      <c r="G263">
        <v>192.8</v>
      </c>
      <c r="H263">
        <v>1.2558781999999999</v>
      </c>
      <c r="I263">
        <v>-0.25587823999999998</v>
      </c>
      <c r="J263">
        <v>0.44328633000000001</v>
      </c>
    </row>
    <row r="264" spans="1:10" x14ac:dyDescent="0.3">
      <c r="A264">
        <v>262</v>
      </c>
      <c r="B264">
        <v>6599</v>
      </c>
      <c r="C264" t="b">
        <v>1</v>
      </c>
      <c r="D264">
        <v>8065</v>
      </c>
      <c r="E264">
        <v>8111</v>
      </c>
      <c r="F264">
        <v>241.33332999999999</v>
      </c>
      <c r="G264">
        <v>192</v>
      </c>
      <c r="H264">
        <v>1.2569444000000001</v>
      </c>
      <c r="I264">
        <v>-0.25694442000000001</v>
      </c>
      <c r="J264">
        <v>0.44307693999999997</v>
      </c>
    </row>
    <row r="265" spans="1:10" x14ac:dyDescent="0.3">
      <c r="A265">
        <v>263</v>
      </c>
      <c r="B265">
        <v>6631</v>
      </c>
      <c r="C265" t="b">
        <v>1</v>
      </c>
      <c r="D265">
        <v>8060</v>
      </c>
      <c r="E265">
        <v>8123</v>
      </c>
      <c r="F265">
        <v>240.13333</v>
      </c>
      <c r="G265">
        <v>191.6</v>
      </c>
      <c r="H265">
        <v>1.2533053999999999</v>
      </c>
      <c r="I265">
        <v>-0.25330543999999999</v>
      </c>
      <c r="J265">
        <v>0.44379246</v>
      </c>
    </row>
    <row r="266" spans="1:10" x14ac:dyDescent="0.3">
      <c r="A266">
        <v>264</v>
      </c>
      <c r="B266">
        <v>6662</v>
      </c>
      <c r="C266" t="b">
        <v>1</v>
      </c>
      <c r="D266">
        <v>8030</v>
      </c>
      <c r="E266">
        <v>8129</v>
      </c>
      <c r="F266">
        <v>238.93333000000001</v>
      </c>
      <c r="G266">
        <v>192.8</v>
      </c>
      <c r="H266">
        <v>1.2392806999999999</v>
      </c>
      <c r="I266">
        <v>-0.23928076000000001</v>
      </c>
      <c r="J266">
        <v>0.44657195</v>
      </c>
    </row>
    <row r="267" spans="1:10" x14ac:dyDescent="0.3">
      <c r="A267">
        <v>265</v>
      </c>
      <c r="B267">
        <v>6694</v>
      </c>
      <c r="C267" t="b">
        <v>1</v>
      </c>
      <c r="D267">
        <v>8083</v>
      </c>
      <c r="E267">
        <v>8099</v>
      </c>
      <c r="F267">
        <v>237.73334</v>
      </c>
      <c r="G267">
        <v>194</v>
      </c>
      <c r="H267">
        <v>1.2254294999999999</v>
      </c>
      <c r="I267">
        <v>-0.22542957999999999</v>
      </c>
      <c r="J267">
        <v>0.44935145999999998</v>
      </c>
    </row>
    <row r="268" spans="1:10" x14ac:dyDescent="0.3">
      <c r="A268">
        <v>266</v>
      </c>
      <c r="B268">
        <v>6725</v>
      </c>
      <c r="C268" t="b">
        <v>1</v>
      </c>
      <c r="D268">
        <v>8088</v>
      </c>
      <c r="E268">
        <v>8117</v>
      </c>
      <c r="F268">
        <v>236.53334000000001</v>
      </c>
      <c r="G268">
        <v>194.8</v>
      </c>
      <c r="H268">
        <v>1.2142369</v>
      </c>
      <c r="I268">
        <v>-0.21423684000000001</v>
      </c>
      <c r="J268">
        <v>0.45162287000000001</v>
      </c>
    </row>
    <row r="269" spans="1:10" x14ac:dyDescent="0.3">
      <c r="A269">
        <v>267</v>
      </c>
      <c r="B269">
        <v>6742</v>
      </c>
      <c r="C269" t="b">
        <v>1</v>
      </c>
      <c r="D269">
        <v>8100</v>
      </c>
      <c r="E269">
        <v>8111</v>
      </c>
      <c r="F269">
        <v>236.53334000000001</v>
      </c>
      <c r="G269">
        <v>195.6</v>
      </c>
      <c r="H269">
        <v>1.2092706</v>
      </c>
      <c r="I269">
        <v>-0.20927063000000001</v>
      </c>
      <c r="J269">
        <v>0.45263806000000001</v>
      </c>
    </row>
    <row r="270" spans="1:10" x14ac:dyDescent="0.3">
      <c r="A270">
        <v>268</v>
      </c>
      <c r="B270">
        <v>6774</v>
      </c>
      <c r="C270" t="b">
        <v>1</v>
      </c>
      <c r="D270">
        <v>8083</v>
      </c>
      <c r="E270">
        <v>8140</v>
      </c>
      <c r="F270">
        <v>236.53334000000001</v>
      </c>
      <c r="G270">
        <v>196.4</v>
      </c>
      <c r="H270">
        <v>1.204345</v>
      </c>
      <c r="I270">
        <v>-0.20434494</v>
      </c>
      <c r="J270">
        <v>0.45364949999999998</v>
      </c>
    </row>
    <row r="271" spans="1:10" x14ac:dyDescent="0.3">
      <c r="A271">
        <v>269</v>
      </c>
      <c r="B271">
        <v>6805</v>
      </c>
      <c r="C271" t="b">
        <v>1</v>
      </c>
      <c r="D271">
        <v>8083</v>
      </c>
      <c r="E271">
        <v>8111</v>
      </c>
      <c r="F271">
        <v>236.53334000000001</v>
      </c>
      <c r="G271">
        <v>197.2</v>
      </c>
      <c r="H271">
        <v>1.1994591999999999</v>
      </c>
      <c r="I271">
        <v>-0.19945915</v>
      </c>
      <c r="J271">
        <v>0.45465723000000002</v>
      </c>
    </row>
    <row r="272" spans="1:10" x14ac:dyDescent="0.3">
      <c r="A272">
        <v>270</v>
      </c>
      <c r="B272">
        <v>6837</v>
      </c>
      <c r="C272" t="b">
        <v>1</v>
      </c>
      <c r="D272">
        <v>8106</v>
      </c>
      <c r="E272">
        <v>8111</v>
      </c>
      <c r="F272">
        <v>237.26666</v>
      </c>
      <c r="G272">
        <v>197.2</v>
      </c>
      <c r="H272">
        <v>1.2031778</v>
      </c>
      <c r="I272">
        <v>-0.20317782000000001</v>
      </c>
      <c r="J272">
        <v>0.45388982</v>
      </c>
    </row>
    <row r="273" spans="1:10" x14ac:dyDescent="0.3">
      <c r="A273">
        <v>271</v>
      </c>
      <c r="B273">
        <v>6869</v>
      </c>
      <c r="C273" t="b">
        <v>1</v>
      </c>
      <c r="D273">
        <v>8083</v>
      </c>
      <c r="E273">
        <v>8111</v>
      </c>
      <c r="F273">
        <v>237.66667000000001</v>
      </c>
      <c r="G273">
        <v>197.2</v>
      </c>
      <c r="H273">
        <v>1.2052063</v>
      </c>
      <c r="I273">
        <v>-0.20520626</v>
      </c>
      <c r="J273">
        <v>0.45347231999999998</v>
      </c>
    </row>
    <row r="274" spans="1:10" x14ac:dyDescent="0.3">
      <c r="A274">
        <v>272</v>
      </c>
      <c r="B274">
        <v>6901</v>
      </c>
      <c r="C274" t="b">
        <v>1</v>
      </c>
      <c r="D274">
        <v>8088</v>
      </c>
      <c r="E274">
        <v>8087</v>
      </c>
      <c r="F274">
        <v>238.06666999999999</v>
      </c>
      <c r="G274">
        <v>198</v>
      </c>
      <c r="H274">
        <v>1.2023569000000001</v>
      </c>
      <c r="I274">
        <v>-0.20235689000000001</v>
      </c>
      <c r="J274">
        <v>0.45405902999999997</v>
      </c>
    </row>
    <row r="275" spans="1:10" x14ac:dyDescent="0.3">
      <c r="A275">
        <v>273</v>
      </c>
      <c r="B275">
        <v>6917</v>
      </c>
      <c r="C275" t="b">
        <v>1</v>
      </c>
      <c r="D275">
        <v>8054</v>
      </c>
      <c r="E275">
        <v>8117</v>
      </c>
      <c r="F275">
        <v>238.06666999999999</v>
      </c>
      <c r="G275">
        <v>198.4</v>
      </c>
      <c r="H275">
        <v>1.1999328</v>
      </c>
      <c r="I275">
        <v>-0.19993283000000001</v>
      </c>
      <c r="J275">
        <v>0.45455932999999998</v>
      </c>
    </row>
    <row r="276" spans="1:10" x14ac:dyDescent="0.3">
      <c r="A276">
        <v>274</v>
      </c>
      <c r="B276">
        <v>6933</v>
      </c>
      <c r="C276" t="b">
        <v>1</v>
      </c>
      <c r="D276">
        <v>8054</v>
      </c>
      <c r="E276">
        <v>8099</v>
      </c>
      <c r="F276">
        <v>238.06666999999999</v>
      </c>
      <c r="G276">
        <v>198.4</v>
      </c>
      <c r="H276">
        <v>1.1999328</v>
      </c>
      <c r="I276">
        <v>-0.19993283000000001</v>
      </c>
      <c r="J276">
        <v>0.45455932999999998</v>
      </c>
    </row>
    <row r="277" spans="1:10" x14ac:dyDescent="0.3">
      <c r="A277">
        <v>275</v>
      </c>
      <c r="B277">
        <v>6949</v>
      </c>
      <c r="C277" t="b">
        <v>1</v>
      </c>
      <c r="D277">
        <v>8088</v>
      </c>
      <c r="E277">
        <v>8105</v>
      </c>
      <c r="F277">
        <v>237.73334</v>
      </c>
      <c r="G277">
        <v>198.4</v>
      </c>
      <c r="H277">
        <v>1.1982527999999999</v>
      </c>
      <c r="I277">
        <v>-0.19825275000000001</v>
      </c>
      <c r="J277">
        <v>0.45490672999999998</v>
      </c>
    </row>
    <row r="278" spans="1:10" x14ac:dyDescent="0.3">
      <c r="A278">
        <v>276</v>
      </c>
      <c r="B278">
        <v>6965</v>
      </c>
      <c r="C278" t="b">
        <v>1</v>
      </c>
      <c r="D278">
        <v>8106</v>
      </c>
      <c r="E278">
        <v>8093</v>
      </c>
      <c r="F278">
        <v>238.06666999999999</v>
      </c>
      <c r="G278">
        <v>198</v>
      </c>
      <c r="H278">
        <v>1.2023569000000001</v>
      </c>
      <c r="I278">
        <v>-0.20235689000000001</v>
      </c>
      <c r="J278">
        <v>0.45405902999999997</v>
      </c>
    </row>
    <row r="279" spans="1:10" x14ac:dyDescent="0.3">
      <c r="A279">
        <v>277</v>
      </c>
      <c r="B279">
        <v>6980</v>
      </c>
      <c r="C279" t="b">
        <v>1</v>
      </c>
      <c r="D279">
        <v>8077</v>
      </c>
      <c r="E279">
        <v>8117</v>
      </c>
      <c r="F279">
        <v>238.46665999999999</v>
      </c>
      <c r="G279">
        <v>197.6</v>
      </c>
      <c r="H279">
        <v>1.206815</v>
      </c>
      <c r="I279">
        <v>-0.20681503000000001</v>
      </c>
      <c r="J279">
        <v>0.45314175000000001</v>
      </c>
    </row>
    <row r="280" spans="1:10" x14ac:dyDescent="0.3">
      <c r="A280">
        <v>278</v>
      </c>
      <c r="B280">
        <v>7012</v>
      </c>
      <c r="C280" t="b">
        <v>1</v>
      </c>
      <c r="D280">
        <v>8083</v>
      </c>
      <c r="E280">
        <v>8093</v>
      </c>
      <c r="F280">
        <v>239.66667000000001</v>
      </c>
      <c r="G280">
        <v>196.4</v>
      </c>
      <c r="H280">
        <v>1.2202987999999999</v>
      </c>
      <c r="I280">
        <v>-0.22029877</v>
      </c>
      <c r="J280">
        <v>0.45038985999999998</v>
      </c>
    </row>
    <row r="281" spans="1:10" x14ac:dyDescent="0.3">
      <c r="A281">
        <v>279</v>
      </c>
      <c r="B281">
        <v>7044</v>
      </c>
      <c r="C281" t="b">
        <v>1</v>
      </c>
      <c r="D281">
        <v>8060</v>
      </c>
      <c r="E281">
        <v>8111</v>
      </c>
      <c r="F281">
        <v>240.86667</v>
      </c>
      <c r="G281">
        <v>195.2</v>
      </c>
      <c r="H281">
        <v>1.2339481000000001</v>
      </c>
      <c r="I281">
        <v>-0.23394810999999999</v>
      </c>
      <c r="J281">
        <v>0.44763797999999999</v>
      </c>
    </row>
    <row r="282" spans="1:10" x14ac:dyDescent="0.3">
      <c r="A282">
        <v>280</v>
      </c>
      <c r="B282">
        <v>7076</v>
      </c>
      <c r="C282" t="b">
        <v>1</v>
      </c>
      <c r="D282">
        <v>8094</v>
      </c>
      <c r="E282">
        <v>8087</v>
      </c>
      <c r="F282">
        <v>242.06666999999999</v>
      </c>
      <c r="G282">
        <v>193.2</v>
      </c>
      <c r="H282">
        <v>1.2529330000000001</v>
      </c>
      <c r="I282">
        <v>-0.25293307999999998</v>
      </c>
      <c r="J282">
        <v>0.44386584000000001</v>
      </c>
    </row>
    <row r="283" spans="1:10" x14ac:dyDescent="0.3">
      <c r="A283">
        <v>281</v>
      </c>
      <c r="B283">
        <v>7108</v>
      </c>
      <c r="C283" t="b">
        <v>1</v>
      </c>
      <c r="D283">
        <v>8083</v>
      </c>
      <c r="E283">
        <v>8129</v>
      </c>
      <c r="F283">
        <v>243.26666</v>
      </c>
      <c r="G283">
        <v>192.8</v>
      </c>
      <c r="H283">
        <v>1.2617564999999999</v>
      </c>
      <c r="I283">
        <v>-0.26175653999999998</v>
      </c>
      <c r="J283">
        <v>0.44213426</v>
      </c>
    </row>
    <row r="284" spans="1:10" x14ac:dyDescent="0.3">
      <c r="A284">
        <v>282</v>
      </c>
      <c r="B284">
        <v>7140</v>
      </c>
      <c r="C284" t="b">
        <v>1</v>
      </c>
      <c r="D284">
        <v>8077</v>
      </c>
      <c r="E284">
        <v>8093</v>
      </c>
      <c r="F284">
        <v>243.26666</v>
      </c>
      <c r="G284">
        <v>191.2</v>
      </c>
      <c r="H284">
        <v>1.2723150999999999</v>
      </c>
      <c r="I284">
        <v>-0.27231519999999998</v>
      </c>
      <c r="J284">
        <v>0.44007977999999998</v>
      </c>
    </row>
    <row r="285" spans="1:10" x14ac:dyDescent="0.3">
      <c r="A285">
        <v>283</v>
      </c>
      <c r="B285">
        <v>7171</v>
      </c>
      <c r="C285" t="b">
        <v>1</v>
      </c>
      <c r="D285">
        <v>8071</v>
      </c>
      <c r="E285">
        <v>8105</v>
      </c>
      <c r="F285">
        <v>242.86667</v>
      </c>
      <c r="G285">
        <v>190.4</v>
      </c>
      <c r="H285">
        <v>1.2755603</v>
      </c>
      <c r="I285">
        <v>-0.27556029999999998</v>
      </c>
      <c r="J285">
        <v>0.43945220000000002</v>
      </c>
    </row>
    <row r="286" spans="1:10" x14ac:dyDescent="0.3">
      <c r="A286">
        <v>284</v>
      </c>
      <c r="B286">
        <v>7187</v>
      </c>
      <c r="C286" t="b">
        <v>1</v>
      </c>
      <c r="D286">
        <v>8071</v>
      </c>
      <c r="E286">
        <v>8105</v>
      </c>
      <c r="F286">
        <v>242.46665999999999</v>
      </c>
      <c r="G286">
        <v>190</v>
      </c>
      <c r="H286">
        <v>1.2761403</v>
      </c>
      <c r="I286">
        <v>-0.27614030000000001</v>
      </c>
      <c r="J286">
        <v>0.43934020000000001</v>
      </c>
    </row>
    <row r="287" spans="1:10" x14ac:dyDescent="0.3">
      <c r="A287">
        <v>285</v>
      </c>
      <c r="B287">
        <v>7218</v>
      </c>
      <c r="C287" t="b">
        <v>1</v>
      </c>
      <c r="D287">
        <v>8106</v>
      </c>
      <c r="E287">
        <v>8140</v>
      </c>
      <c r="F287">
        <v>241.73334</v>
      </c>
      <c r="G287">
        <v>189.6</v>
      </c>
      <c r="H287">
        <v>1.2749648</v>
      </c>
      <c r="I287">
        <v>-0.27496480000000001</v>
      </c>
      <c r="J287">
        <v>0.43956724000000003</v>
      </c>
    </row>
    <row r="288" spans="1:10" x14ac:dyDescent="0.3">
      <c r="A288">
        <v>286</v>
      </c>
      <c r="B288">
        <v>7234</v>
      </c>
      <c r="C288" t="b">
        <v>1</v>
      </c>
      <c r="D288">
        <v>8083</v>
      </c>
      <c r="E288">
        <v>8129</v>
      </c>
      <c r="F288">
        <v>241.33332999999999</v>
      </c>
      <c r="G288">
        <v>189.2</v>
      </c>
      <c r="H288">
        <v>1.2755462</v>
      </c>
      <c r="I288">
        <v>-0.27554615999999998</v>
      </c>
      <c r="J288">
        <v>0.43945494000000002</v>
      </c>
    </row>
    <row r="289" spans="1:10" x14ac:dyDescent="0.3">
      <c r="A289">
        <v>287</v>
      </c>
      <c r="B289">
        <v>7250</v>
      </c>
      <c r="C289" t="b">
        <v>1</v>
      </c>
      <c r="D289">
        <v>8100</v>
      </c>
      <c r="E289">
        <v>8117</v>
      </c>
      <c r="F289">
        <v>241.33332999999999</v>
      </c>
      <c r="G289">
        <v>189.6</v>
      </c>
      <c r="H289">
        <v>1.2728550000000001</v>
      </c>
      <c r="I289">
        <v>-0.27285506999999998</v>
      </c>
      <c r="J289">
        <v>0.43997522999999999</v>
      </c>
    </row>
    <row r="290" spans="1:10" x14ac:dyDescent="0.3">
      <c r="A290">
        <v>288</v>
      </c>
      <c r="B290">
        <v>7282</v>
      </c>
      <c r="C290" t="b">
        <v>1</v>
      </c>
      <c r="D290">
        <v>8083</v>
      </c>
      <c r="E290">
        <v>8117</v>
      </c>
      <c r="F290">
        <v>241.33332999999999</v>
      </c>
      <c r="G290">
        <v>190</v>
      </c>
      <c r="H290">
        <v>1.2701754999999999</v>
      </c>
      <c r="I290">
        <v>-0.27017540000000001</v>
      </c>
      <c r="J290">
        <v>0.44049460000000001</v>
      </c>
    </row>
    <row r="291" spans="1:10" x14ac:dyDescent="0.3">
      <c r="A291">
        <v>289</v>
      </c>
      <c r="B291">
        <v>7313</v>
      </c>
      <c r="C291" t="b">
        <v>1</v>
      </c>
      <c r="D291">
        <v>8060</v>
      </c>
      <c r="E291">
        <v>8105</v>
      </c>
      <c r="F291">
        <v>241.33332999999999</v>
      </c>
      <c r="G291">
        <v>190.4</v>
      </c>
      <c r="H291">
        <v>1.2675071</v>
      </c>
      <c r="I291">
        <v>-0.26750701999999998</v>
      </c>
      <c r="J291">
        <v>0.44101295000000001</v>
      </c>
    </row>
    <row r="292" spans="1:10" x14ac:dyDescent="0.3">
      <c r="A292">
        <v>290</v>
      </c>
      <c r="B292">
        <v>7345</v>
      </c>
      <c r="C292" t="b">
        <v>1</v>
      </c>
      <c r="D292">
        <v>8094</v>
      </c>
      <c r="E292">
        <v>8123</v>
      </c>
      <c r="F292">
        <v>241.33332999999999</v>
      </c>
      <c r="G292">
        <v>191.2</v>
      </c>
      <c r="H292">
        <v>1.2622036000000001</v>
      </c>
      <c r="I292">
        <v>-0.26220363000000002</v>
      </c>
      <c r="J292">
        <v>0.44204684999999999</v>
      </c>
    </row>
    <row r="293" spans="1:10" x14ac:dyDescent="0.3">
      <c r="A293">
        <v>291</v>
      </c>
      <c r="B293">
        <v>7377</v>
      </c>
      <c r="C293" t="b">
        <v>1</v>
      </c>
      <c r="D293">
        <v>8077</v>
      </c>
      <c r="E293">
        <v>8111</v>
      </c>
      <c r="F293">
        <v>241</v>
      </c>
      <c r="G293">
        <v>192.4</v>
      </c>
      <c r="H293">
        <v>1.2525987999999999</v>
      </c>
      <c r="I293">
        <v>-0.25259880000000001</v>
      </c>
      <c r="J293">
        <v>0.44393169999999998</v>
      </c>
    </row>
    <row r="294" spans="1:10" x14ac:dyDescent="0.3">
      <c r="A294">
        <v>292</v>
      </c>
      <c r="B294">
        <v>7408</v>
      </c>
      <c r="C294" t="b">
        <v>1</v>
      </c>
      <c r="D294">
        <v>8065</v>
      </c>
      <c r="E294">
        <v>8111</v>
      </c>
      <c r="F294">
        <v>241</v>
      </c>
      <c r="G294">
        <v>192.8</v>
      </c>
      <c r="H294">
        <v>1.25</v>
      </c>
      <c r="I294">
        <v>-0.24999999000000001</v>
      </c>
      <c r="J294">
        <v>0.44444447999999998</v>
      </c>
    </row>
    <row r="295" spans="1:10" x14ac:dyDescent="0.3">
      <c r="A295">
        <v>293</v>
      </c>
      <c r="B295">
        <v>7424</v>
      </c>
      <c r="C295" t="b">
        <v>1</v>
      </c>
      <c r="D295">
        <v>8083</v>
      </c>
      <c r="E295">
        <v>8099</v>
      </c>
      <c r="F295">
        <v>240.6</v>
      </c>
      <c r="G295">
        <v>193.6</v>
      </c>
      <c r="H295">
        <v>1.2427686</v>
      </c>
      <c r="I295">
        <v>-0.24276859000000001</v>
      </c>
      <c r="J295">
        <v>0.44587746</v>
      </c>
    </row>
    <row r="296" spans="1:10" x14ac:dyDescent="0.3">
      <c r="A296">
        <v>294</v>
      </c>
      <c r="B296">
        <v>7440</v>
      </c>
      <c r="C296" t="b">
        <v>1</v>
      </c>
      <c r="D296">
        <v>8100</v>
      </c>
      <c r="E296">
        <v>8123</v>
      </c>
      <c r="F296">
        <v>240.6</v>
      </c>
      <c r="G296">
        <v>194</v>
      </c>
      <c r="H296">
        <v>1.2402062</v>
      </c>
      <c r="I296">
        <v>-0.24020621</v>
      </c>
      <c r="J296">
        <v>0.44638747000000001</v>
      </c>
    </row>
    <row r="297" spans="1:10" x14ac:dyDescent="0.3">
      <c r="A297">
        <v>295</v>
      </c>
      <c r="B297">
        <v>7473</v>
      </c>
      <c r="C297" t="b">
        <v>1</v>
      </c>
      <c r="D297">
        <v>8088</v>
      </c>
      <c r="E297">
        <v>8081</v>
      </c>
      <c r="F297">
        <v>240.6</v>
      </c>
      <c r="G297">
        <v>195.2</v>
      </c>
      <c r="H297">
        <v>1.2325820000000001</v>
      </c>
      <c r="I297">
        <v>-0.23258202</v>
      </c>
      <c r="J297">
        <v>0.44791189999999997</v>
      </c>
    </row>
    <row r="298" spans="1:10" x14ac:dyDescent="0.3">
      <c r="A298">
        <v>296</v>
      </c>
      <c r="B298">
        <v>7504</v>
      </c>
      <c r="C298" t="b">
        <v>1</v>
      </c>
      <c r="D298">
        <v>8106</v>
      </c>
      <c r="E298">
        <v>8105</v>
      </c>
      <c r="F298">
        <v>240.93333000000001</v>
      </c>
      <c r="G298">
        <v>194.8</v>
      </c>
      <c r="H298">
        <v>1.2368239999999999</v>
      </c>
      <c r="I298">
        <v>-0.23682407999999999</v>
      </c>
      <c r="J298">
        <v>0.44706243000000001</v>
      </c>
    </row>
    <row r="299" spans="1:10" x14ac:dyDescent="0.3">
      <c r="A299">
        <v>297</v>
      </c>
      <c r="B299">
        <v>7536</v>
      </c>
      <c r="C299" t="b">
        <v>1</v>
      </c>
      <c r="D299">
        <v>8054</v>
      </c>
      <c r="E299">
        <v>8152</v>
      </c>
      <c r="F299">
        <v>241.26666</v>
      </c>
      <c r="G299">
        <v>195.6</v>
      </c>
      <c r="H299">
        <v>1.2334696000000001</v>
      </c>
      <c r="I299">
        <v>-0.2334696</v>
      </c>
      <c r="J299">
        <v>0.44773387999999997</v>
      </c>
    </row>
    <row r="300" spans="1:10" x14ac:dyDescent="0.3">
      <c r="A300">
        <v>298</v>
      </c>
      <c r="B300">
        <v>7568</v>
      </c>
      <c r="C300" t="b">
        <v>1</v>
      </c>
      <c r="D300">
        <v>8088</v>
      </c>
      <c r="E300">
        <v>8111</v>
      </c>
      <c r="F300">
        <v>242</v>
      </c>
      <c r="G300">
        <v>196</v>
      </c>
      <c r="H300">
        <v>1.2346938999999999</v>
      </c>
      <c r="I300">
        <v>-0.23469387999999999</v>
      </c>
      <c r="J300">
        <v>0.44748858000000002</v>
      </c>
    </row>
    <row r="301" spans="1:10" x14ac:dyDescent="0.3">
      <c r="A301">
        <v>299</v>
      </c>
      <c r="B301">
        <v>7584</v>
      </c>
      <c r="C301" t="b">
        <v>1</v>
      </c>
      <c r="D301">
        <v>8054</v>
      </c>
      <c r="E301">
        <v>8093</v>
      </c>
      <c r="F301">
        <v>242.73334</v>
      </c>
      <c r="G301">
        <v>196</v>
      </c>
      <c r="H301">
        <v>1.2384354</v>
      </c>
      <c r="I301">
        <v>-0.23843539</v>
      </c>
      <c r="J301">
        <v>0.44674063000000003</v>
      </c>
    </row>
    <row r="302" spans="1:10" x14ac:dyDescent="0.3">
      <c r="A302">
        <v>300</v>
      </c>
      <c r="B302">
        <v>7615</v>
      </c>
      <c r="C302" t="b">
        <v>1</v>
      </c>
      <c r="D302">
        <v>8094</v>
      </c>
      <c r="E302">
        <v>8093</v>
      </c>
      <c r="F302">
        <v>243.46665999999999</v>
      </c>
      <c r="G302">
        <v>196</v>
      </c>
      <c r="H302">
        <v>1.2421769</v>
      </c>
      <c r="I302">
        <v>-0.24217683000000001</v>
      </c>
      <c r="J302">
        <v>0.44599515000000001</v>
      </c>
    </row>
    <row r="303" spans="1:10" x14ac:dyDescent="0.3">
      <c r="A303">
        <v>301</v>
      </c>
      <c r="B303">
        <v>7647</v>
      </c>
      <c r="C303" t="b">
        <v>1</v>
      </c>
      <c r="D303">
        <v>8094</v>
      </c>
      <c r="E303">
        <v>8075</v>
      </c>
      <c r="F303">
        <v>244.2</v>
      </c>
      <c r="G303">
        <v>195.2</v>
      </c>
      <c r="H303">
        <v>1.2510246</v>
      </c>
      <c r="I303">
        <v>-0.25102459999999999</v>
      </c>
      <c r="J303">
        <v>0.44424215</v>
      </c>
    </row>
    <row r="304" spans="1:10" x14ac:dyDescent="0.3">
      <c r="A304">
        <v>302</v>
      </c>
      <c r="B304">
        <v>7678</v>
      </c>
      <c r="C304" t="b">
        <v>1</v>
      </c>
      <c r="D304">
        <v>8065</v>
      </c>
      <c r="E304">
        <v>8123</v>
      </c>
      <c r="F304">
        <v>244.53334000000001</v>
      </c>
      <c r="G304">
        <v>193.6</v>
      </c>
      <c r="H304">
        <v>1.2630854</v>
      </c>
      <c r="I304">
        <v>-0.26308540000000002</v>
      </c>
      <c r="J304">
        <v>0.44187460000000001</v>
      </c>
    </row>
    <row r="305" spans="1:10" x14ac:dyDescent="0.3">
      <c r="A305">
        <v>303</v>
      </c>
      <c r="B305">
        <v>7710</v>
      </c>
      <c r="C305" t="b">
        <v>1</v>
      </c>
      <c r="D305">
        <v>8077</v>
      </c>
      <c r="E305">
        <v>8099</v>
      </c>
      <c r="F305">
        <v>244.13333</v>
      </c>
      <c r="G305">
        <v>192</v>
      </c>
      <c r="H305">
        <v>1.2715278000000001</v>
      </c>
      <c r="I305">
        <v>-0.27152777</v>
      </c>
      <c r="J305">
        <v>0.44023234</v>
      </c>
    </row>
    <row r="306" spans="1:10" x14ac:dyDescent="0.3">
      <c r="A306">
        <v>304</v>
      </c>
      <c r="B306">
        <v>7742</v>
      </c>
      <c r="C306" t="b">
        <v>1</v>
      </c>
      <c r="D306">
        <v>8088</v>
      </c>
      <c r="E306">
        <v>8099</v>
      </c>
      <c r="F306">
        <v>244.46665999999999</v>
      </c>
      <c r="G306">
        <v>190.8</v>
      </c>
      <c r="H306">
        <v>1.2812718000000001</v>
      </c>
      <c r="I306">
        <v>-0.28127180000000002</v>
      </c>
      <c r="J306">
        <v>0.43835200000000002</v>
      </c>
    </row>
    <row r="307" spans="1:10" x14ac:dyDescent="0.3">
      <c r="A307">
        <v>305</v>
      </c>
      <c r="B307">
        <v>7773</v>
      </c>
      <c r="C307" t="b">
        <v>1</v>
      </c>
      <c r="D307">
        <v>8083</v>
      </c>
      <c r="E307">
        <v>8093</v>
      </c>
      <c r="F307">
        <v>244.46665999999999</v>
      </c>
      <c r="G307">
        <v>189.6</v>
      </c>
      <c r="H307">
        <v>1.2893810000000001</v>
      </c>
      <c r="I307">
        <v>-0.2893811</v>
      </c>
      <c r="J307">
        <v>0.4367993</v>
      </c>
    </row>
    <row r="308" spans="1:10" x14ac:dyDescent="0.3">
      <c r="A308">
        <v>306</v>
      </c>
      <c r="B308">
        <v>7805</v>
      </c>
      <c r="C308" t="b">
        <v>1</v>
      </c>
      <c r="D308">
        <v>8077</v>
      </c>
      <c r="E308">
        <v>8117</v>
      </c>
      <c r="F308">
        <v>244.06666999999999</v>
      </c>
      <c r="G308">
        <v>188.4</v>
      </c>
      <c r="H308">
        <v>1.2954707000000001</v>
      </c>
      <c r="I308">
        <v>-0.29547065</v>
      </c>
      <c r="J308">
        <v>0.43564048</v>
      </c>
    </row>
    <row r="309" spans="1:10" x14ac:dyDescent="0.3">
      <c r="A309">
        <v>307</v>
      </c>
      <c r="B309">
        <v>7837</v>
      </c>
      <c r="C309" t="b">
        <v>1</v>
      </c>
      <c r="D309">
        <v>8100</v>
      </c>
      <c r="E309">
        <v>8111</v>
      </c>
      <c r="F309">
        <v>244.46665999999999</v>
      </c>
      <c r="G309">
        <v>187.6</v>
      </c>
      <c r="H309">
        <v>1.3031272</v>
      </c>
      <c r="I309">
        <v>-0.30312714000000002</v>
      </c>
      <c r="J309">
        <v>0.43419226999999999</v>
      </c>
    </row>
    <row r="310" spans="1:10" x14ac:dyDescent="0.3">
      <c r="A310">
        <v>308</v>
      </c>
      <c r="B310">
        <v>7868</v>
      </c>
      <c r="C310" t="b">
        <v>1</v>
      </c>
      <c r="D310">
        <v>8060</v>
      </c>
      <c r="E310">
        <v>8117</v>
      </c>
      <c r="F310">
        <v>244.86667</v>
      </c>
      <c r="G310">
        <v>187.6</v>
      </c>
      <c r="H310">
        <v>1.3052592999999999</v>
      </c>
      <c r="I310">
        <v>-0.30525938000000002</v>
      </c>
      <c r="J310">
        <v>0.43379065</v>
      </c>
    </row>
    <row r="311" spans="1:10" x14ac:dyDescent="0.3">
      <c r="A311">
        <v>309</v>
      </c>
      <c r="B311">
        <v>7900</v>
      </c>
      <c r="C311" t="b">
        <v>1</v>
      </c>
      <c r="D311">
        <v>8060</v>
      </c>
      <c r="E311">
        <v>8146</v>
      </c>
      <c r="F311">
        <v>244.46665999999999</v>
      </c>
      <c r="G311">
        <v>188</v>
      </c>
      <c r="H311">
        <v>1.3003545999999999</v>
      </c>
      <c r="I311">
        <v>-0.30035456999999999</v>
      </c>
      <c r="J311">
        <v>0.43471557</v>
      </c>
    </row>
    <row r="312" spans="1:10" x14ac:dyDescent="0.3">
      <c r="A312">
        <v>310</v>
      </c>
      <c r="B312">
        <v>7916</v>
      </c>
      <c r="C312" t="b">
        <v>1</v>
      </c>
      <c r="D312">
        <v>8100</v>
      </c>
      <c r="E312">
        <v>8105</v>
      </c>
      <c r="F312">
        <v>244.06666999999999</v>
      </c>
      <c r="G312">
        <v>188.4</v>
      </c>
      <c r="H312">
        <v>1.2954707000000001</v>
      </c>
      <c r="I312">
        <v>-0.29547065</v>
      </c>
      <c r="J312">
        <v>0.43564048</v>
      </c>
    </row>
    <row r="313" spans="1:10" x14ac:dyDescent="0.3">
      <c r="A313">
        <v>311</v>
      </c>
      <c r="B313">
        <v>7947</v>
      </c>
      <c r="C313" t="b">
        <v>1</v>
      </c>
      <c r="D313">
        <v>8048</v>
      </c>
      <c r="E313">
        <v>8117</v>
      </c>
      <c r="F313">
        <v>242.2</v>
      </c>
      <c r="G313">
        <v>189.2</v>
      </c>
      <c r="H313">
        <v>1.2801267999999999</v>
      </c>
      <c r="I313">
        <v>-0.28012683999999999</v>
      </c>
      <c r="J313">
        <v>0.43857207999999998</v>
      </c>
    </row>
    <row r="314" spans="1:10" x14ac:dyDescent="0.3">
      <c r="A314">
        <v>312</v>
      </c>
      <c r="B314">
        <v>7979</v>
      </c>
      <c r="C314" t="b">
        <v>1</v>
      </c>
      <c r="D314">
        <v>8088</v>
      </c>
      <c r="E314">
        <v>8099</v>
      </c>
      <c r="F314">
        <v>240.33332999999999</v>
      </c>
      <c r="G314">
        <v>190</v>
      </c>
      <c r="H314">
        <v>1.2649121999999999</v>
      </c>
      <c r="I314">
        <v>-0.26491225000000002</v>
      </c>
      <c r="J314">
        <v>0.44151822000000002</v>
      </c>
    </row>
    <row r="315" spans="1:10" x14ac:dyDescent="0.3">
      <c r="A315">
        <v>313</v>
      </c>
      <c r="B315">
        <v>8011</v>
      </c>
      <c r="C315" t="b">
        <v>1</v>
      </c>
      <c r="D315">
        <v>8071</v>
      </c>
      <c r="E315">
        <v>8099</v>
      </c>
      <c r="F315">
        <v>239.2</v>
      </c>
      <c r="G315">
        <v>189.6</v>
      </c>
      <c r="H315">
        <v>1.2616034</v>
      </c>
      <c r="I315">
        <v>-0.26160333000000002</v>
      </c>
      <c r="J315">
        <v>0.44216420000000001</v>
      </c>
    </row>
    <row r="316" spans="1:10" x14ac:dyDescent="0.3">
      <c r="A316">
        <v>314</v>
      </c>
      <c r="B316">
        <v>8042</v>
      </c>
      <c r="C316" t="b">
        <v>1</v>
      </c>
      <c r="D316">
        <v>8088</v>
      </c>
      <c r="E316">
        <v>8111</v>
      </c>
      <c r="F316">
        <v>239.2</v>
      </c>
      <c r="G316">
        <v>189.6</v>
      </c>
      <c r="H316">
        <v>1.2616034</v>
      </c>
      <c r="I316">
        <v>-0.26160333000000002</v>
      </c>
      <c r="J316">
        <v>0.44216420000000001</v>
      </c>
    </row>
    <row r="317" spans="1:10" x14ac:dyDescent="0.3">
      <c r="A317">
        <v>315</v>
      </c>
      <c r="B317">
        <v>8058</v>
      </c>
      <c r="C317" t="b">
        <v>1</v>
      </c>
      <c r="D317">
        <v>8077</v>
      </c>
      <c r="E317">
        <v>8105</v>
      </c>
      <c r="F317">
        <v>238.46665999999999</v>
      </c>
      <c r="G317">
        <v>189.6</v>
      </c>
      <c r="H317">
        <v>1.2577354999999999</v>
      </c>
      <c r="I317">
        <v>-0.25773550000000001</v>
      </c>
      <c r="J317">
        <v>0.44292169999999997</v>
      </c>
    </row>
    <row r="318" spans="1:10" x14ac:dyDescent="0.3">
      <c r="A318">
        <v>316</v>
      </c>
      <c r="B318">
        <v>8090</v>
      </c>
      <c r="C318" t="b">
        <v>1</v>
      </c>
      <c r="D318">
        <v>8083</v>
      </c>
      <c r="E318">
        <v>8093</v>
      </c>
      <c r="F318">
        <v>238.13333</v>
      </c>
      <c r="G318">
        <v>190</v>
      </c>
      <c r="H318">
        <v>1.2533333</v>
      </c>
      <c r="I318">
        <v>-0.25333333000000002</v>
      </c>
      <c r="J318">
        <v>0.44378698</v>
      </c>
    </row>
    <row r="319" spans="1:10" x14ac:dyDescent="0.3">
      <c r="A319">
        <v>317</v>
      </c>
      <c r="B319">
        <v>8120</v>
      </c>
      <c r="C319" t="b">
        <v>1</v>
      </c>
      <c r="D319">
        <v>8077</v>
      </c>
      <c r="E319">
        <v>8105</v>
      </c>
      <c r="F319">
        <v>237.4</v>
      </c>
      <c r="G319">
        <v>190.8</v>
      </c>
      <c r="H319">
        <v>1.2442348000000001</v>
      </c>
      <c r="I319">
        <v>-0.24423476</v>
      </c>
      <c r="J319">
        <v>0.44558617</v>
      </c>
    </row>
    <row r="320" spans="1:10" x14ac:dyDescent="0.3">
      <c r="A320">
        <v>318</v>
      </c>
      <c r="B320">
        <v>8152</v>
      </c>
      <c r="C320" t="b">
        <v>1</v>
      </c>
      <c r="D320">
        <v>8083</v>
      </c>
      <c r="E320">
        <v>8093</v>
      </c>
      <c r="F320">
        <v>237.8</v>
      </c>
      <c r="G320">
        <v>191.6</v>
      </c>
      <c r="H320">
        <v>1.2411274000000001</v>
      </c>
      <c r="I320">
        <v>-0.24112733</v>
      </c>
      <c r="J320">
        <v>0.44620399999999999</v>
      </c>
    </row>
    <row r="321" spans="1:10" x14ac:dyDescent="0.3">
      <c r="A321">
        <v>319</v>
      </c>
      <c r="B321">
        <v>8168</v>
      </c>
      <c r="C321" t="b">
        <v>1</v>
      </c>
      <c r="D321">
        <v>8048</v>
      </c>
      <c r="E321">
        <v>8087</v>
      </c>
      <c r="F321">
        <v>237.06666999999999</v>
      </c>
      <c r="G321">
        <v>191.2</v>
      </c>
      <c r="H321">
        <v>1.2398883999999999</v>
      </c>
      <c r="I321">
        <v>-0.23988844000000001</v>
      </c>
      <c r="J321">
        <v>0.44645079999999998</v>
      </c>
    </row>
    <row r="322" spans="1:10" x14ac:dyDescent="0.3">
      <c r="A322">
        <v>320</v>
      </c>
      <c r="B322">
        <v>8183</v>
      </c>
      <c r="C322" t="b">
        <v>1</v>
      </c>
      <c r="D322">
        <v>8037</v>
      </c>
      <c r="E322">
        <v>8117</v>
      </c>
      <c r="F322">
        <v>236.66667000000001</v>
      </c>
      <c r="G322">
        <v>190.8</v>
      </c>
      <c r="H322">
        <v>1.2403914</v>
      </c>
      <c r="I322">
        <v>-0.24039134000000001</v>
      </c>
      <c r="J322">
        <v>0.44635059999999999</v>
      </c>
    </row>
    <row r="323" spans="1:10" x14ac:dyDescent="0.3">
      <c r="A323">
        <v>321</v>
      </c>
      <c r="B323">
        <v>8199</v>
      </c>
      <c r="C323" t="b">
        <v>1</v>
      </c>
      <c r="D323">
        <v>8100</v>
      </c>
      <c r="E323">
        <v>8105</v>
      </c>
      <c r="F323">
        <v>236.66667000000001</v>
      </c>
      <c r="G323">
        <v>191.2</v>
      </c>
      <c r="H323">
        <v>1.2377963999999999</v>
      </c>
      <c r="I323">
        <v>-0.23779643</v>
      </c>
      <c r="J323">
        <v>0.44686818</v>
      </c>
    </row>
    <row r="324" spans="1:10" x14ac:dyDescent="0.3">
      <c r="A324">
        <v>322</v>
      </c>
      <c r="B324">
        <v>8215</v>
      </c>
      <c r="C324" t="b">
        <v>1</v>
      </c>
      <c r="D324">
        <v>8077</v>
      </c>
      <c r="E324">
        <v>8093</v>
      </c>
      <c r="F324">
        <v>236.26666</v>
      </c>
      <c r="G324">
        <v>190.8</v>
      </c>
      <c r="H324">
        <v>1.2382948</v>
      </c>
      <c r="I324">
        <v>-0.23829485</v>
      </c>
      <c r="J324">
        <v>0.44676866999999998</v>
      </c>
    </row>
    <row r="325" spans="1:10" x14ac:dyDescent="0.3">
      <c r="A325">
        <v>323</v>
      </c>
      <c r="B325">
        <v>8231</v>
      </c>
      <c r="C325" t="b">
        <v>1</v>
      </c>
      <c r="D325">
        <v>8083</v>
      </c>
      <c r="E325">
        <v>8111</v>
      </c>
      <c r="F325">
        <v>235.86667</v>
      </c>
      <c r="G325">
        <v>190.4</v>
      </c>
      <c r="H325">
        <v>1.2387954999999999</v>
      </c>
      <c r="I325">
        <v>-0.23879555999999999</v>
      </c>
      <c r="J325">
        <v>0.44666874000000001</v>
      </c>
    </row>
    <row r="326" spans="1:10" x14ac:dyDescent="0.3">
      <c r="A326">
        <v>324</v>
      </c>
      <c r="B326">
        <v>8247</v>
      </c>
      <c r="C326" t="b">
        <v>1</v>
      </c>
      <c r="D326">
        <v>8094</v>
      </c>
      <c r="E326">
        <v>8087</v>
      </c>
      <c r="F326">
        <v>236.26666</v>
      </c>
      <c r="G326">
        <v>189.6</v>
      </c>
      <c r="H326">
        <v>1.2461321000000001</v>
      </c>
      <c r="I326">
        <v>-0.24613214999999999</v>
      </c>
      <c r="J326">
        <v>0.44520977</v>
      </c>
    </row>
    <row r="327" spans="1:10" x14ac:dyDescent="0.3">
      <c r="A327">
        <v>325</v>
      </c>
      <c r="B327">
        <v>8263</v>
      </c>
      <c r="C327" t="b">
        <v>1</v>
      </c>
      <c r="D327">
        <v>8088</v>
      </c>
      <c r="E327">
        <v>8111</v>
      </c>
      <c r="F327">
        <v>237</v>
      </c>
      <c r="G327">
        <v>188.8</v>
      </c>
      <c r="H327">
        <v>1.2552966000000001</v>
      </c>
      <c r="I327">
        <v>-0.25529659999999998</v>
      </c>
      <c r="J327">
        <v>0.44340067999999999</v>
      </c>
    </row>
    <row r="328" spans="1:10" x14ac:dyDescent="0.3">
      <c r="A328">
        <v>326</v>
      </c>
      <c r="B328">
        <v>8278</v>
      </c>
      <c r="C328" t="b">
        <v>1</v>
      </c>
      <c r="D328">
        <v>8065</v>
      </c>
      <c r="E328">
        <v>8099</v>
      </c>
      <c r="F328">
        <v>238.53334000000001</v>
      </c>
      <c r="G328">
        <v>187.6</v>
      </c>
      <c r="H328">
        <v>1.2714996000000001</v>
      </c>
      <c r="I328">
        <v>-0.27149962999999999</v>
      </c>
      <c r="J328">
        <v>0.44023780000000001</v>
      </c>
    </row>
    <row r="329" spans="1:10" x14ac:dyDescent="0.3">
      <c r="A329">
        <v>327</v>
      </c>
      <c r="B329">
        <v>8309</v>
      </c>
      <c r="C329" t="b">
        <v>1</v>
      </c>
      <c r="D329">
        <v>8094</v>
      </c>
      <c r="E329">
        <v>8099</v>
      </c>
      <c r="F329">
        <v>240.4</v>
      </c>
      <c r="G329">
        <v>186.4</v>
      </c>
      <c r="H329">
        <v>1.2896996000000001</v>
      </c>
      <c r="I329">
        <v>-0.28969958000000001</v>
      </c>
      <c r="J329">
        <v>0.43673852000000002</v>
      </c>
    </row>
    <row r="330" spans="1:10" x14ac:dyDescent="0.3">
      <c r="A330">
        <v>328</v>
      </c>
      <c r="B330">
        <v>8324</v>
      </c>
      <c r="C330" t="b">
        <v>1</v>
      </c>
      <c r="D330">
        <v>8094</v>
      </c>
      <c r="E330">
        <v>8111</v>
      </c>
      <c r="F330">
        <v>241.93333000000001</v>
      </c>
      <c r="G330">
        <v>186</v>
      </c>
      <c r="H330">
        <v>1.3007169000000001</v>
      </c>
      <c r="I330">
        <v>-0.30071684999999998</v>
      </c>
      <c r="J330">
        <v>0.43464710000000001</v>
      </c>
    </row>
    <row r="331" spans="1:10" x14ac:dyDescent="0.3">
      <c r="A331">
        <v>329</v>
      </c>
      <c r="B331">
        <v>8340</v>
      </c>
      <c r="C331" t="b">
        <v>1</v>
      </c>
      <c r="D331">
        <v>8106</v>
      </c>
      <c r="E331">
        <v>8105</v>
      </c>
      <c r="F331">
        <v>242.33332999999999</v>
      </c>
      <c r="G331">
        <v>186</v>
      </c>
      <c r="H331">
        <v>1.3028674</v>
      </c>
      <c r="I331">
        <v>-0.30286734999999998</v>
      </c>
      <c r="J331">
        <v>0.43424127000000001</v>
      </c>
    </row>
    <row r="332" spans="1:10" x14ac:dyDescent="0.3">
      <c r="A332">
        <v>330</v>
      </c>
      <c r="B332">
        <v>8356</v>
      </c>
      <c r="C332" t="b">
        <v>1</v>
      </c>
      <c r="D332">
        <v>8100</v>
      </c>
      <c r="E332">
        <v>8093</v>
      </c>
      <c r="F332">
        <v>243.46665999999999</v>
      </c>
      <c r="G332">
        <v>185.6</v>
      </c>
      <c r="H332">
        <v>1.3117814999999999</v>
      </c>
      <c r="I332">
        <v>-0.31178152999999997</v>
      </c>
      <c r="J332">
        <v>0.43256685</v>
      </c>
    </row>
    <row r="333" spans="1:10" x14ac:dyDescent="0.3">
      <c r="A333">
        <v>331</v>
      </c>
      <c r="B333">
        <v>8372</v>
      </c>
      <c r="C333" t="b">
        <v>1</v>
      </c>
      <c r="D333">
        <v>8106</v>
      </c>
      <c r="E333">
        <v>8093</v>
      </c>
      <c r="F333">
        <v>244.6</v>
      </c>
      <c r="G333">
        <v>185.6</v>
      </c>
      <c r="H333">
        <v>1.3178878999999999</v>
      </c>
      <c r="I333">
        <v>-0.31788792999999999</v>
      </c>
      <c r="J333">
        <v>0.43142723999999999</v>
      </c>
    </row>
    <row r="334" spans="1:10" x14ac:dyDescent="0.3">
      <c r="A334">
        <v>332</v>
      </c>
      <c r="B334">
        <v>8388</v>
      </c>
      <c r="C334" t="b">
        <v>1</v>
      </c>
      <c r="D334">
        <v>8088</v>
      </c>
      <c r="E334">
        <v>8087</v>
      </c>
      <c r="F334">
        <v>246.13333</v>
      </c>
      <c r="G334">
        <v>184.8</v>
      </c>
      <c r="H334">
        <v>1.3318903</v>
      </c>
      <c r="I334">
        <v>-0.33189028999999998</v>
      </c>
      <c r="J334">
        <v>0.42883660000000001</v>
      </c>
    </row>
    <row r="335" spans="1:10" x14ac:dyDescent="0.3">
      <c r="A335">
        <v>333</v>
      </c>
      <c r="B335">
        <v>8404</v>
      </c>
      <c r="C335" t="b">
        <v>1</v>
      </c>
      <c r="D335">
        <v>8088</v>
      </c>
      <c r="E335">
        <v>8105</v>
      </c>
      <c r="F335">
        <v>247.26666</v>
      </c>
      <c r="G335">
        <v>184</v>
      </c>
      <c r="H335">
        <v>1.3438406000000001</v>
      </c>
      <c r="I335">
        <v>-0.34384057000000001</v>
      </c>
      <c r="J335">
        <v>0.42665019999999998</v>
      </c>
    </row>
    <row r="336" spans="1:10" x14ac:dyDescent="0.3">
      <c r="A336">
        <v>334</v>
      </c>
      <c r="B336">
        <v>8420</v>
      </c>
      <c r="C336" t="b">
        <v>1</v>
      </c>
      <c r="D336">
        <v>8060</v>
      </c>
      <c r="E336">
        <v>8111</v>
      </c>
      <c r="F336">
        <v>248</v>
      </c>
      <c r="G336">
        <v>184</v>
      </c>
      <c r="H336">
        <v>1.3478261</v>
      </c>
      <c r="I336">
        <v>-0.34782610000000003</v>
      </c>
      <c r="J336">
        <v>0.42592594</v>
      </c>
    </row>
    <row r="337" spans="1:10" x14ac:dyDescent="0.3">
      <c r="A337">
        <v>335</v>
      </c>
      <c r="B337">
        <v>8436</v>
      </c>
      <c r="C337" t="b">
        <v>1</v>
      </c>
      <c r="D337">
        <v>8054</v>
      </c>
      <c r="E337">
        <v>8105</v>
      </c>
      <c r="F337">
        <v>248.73334</v>
      </c>
      <c r="G337">
        <v>184.8</v>
      </c>
      <c r="H337">
        <v>1.3459595</v>
      </c>
      <c r="I337">
        <v>-0.34595959999999998</v>
      </c>
      <c r="J337">
        <v>0.42626481999999999</v>
      </c>
    </row>
    <row r="338" spans="1:10" x14ac:dyDescent="0.3">
      <c r="A338">
        <v>336</v>
      </c>
      <c r="B338">
        <v>8451</v>
      </c>
      <c r="C338" t="b">
        <v>1</v>
      </c>
      <c r="D338">
        <v>8065</v>
      </c>
      <c r="E338">
        <v>8134</v>
      </c>
      <c r="F338">
        <v>247.93333000000001</v>
      </c>
      <c r="G338">
        <v>184.8</v>
      </c>
      <c r="H338">
        <v>1.3416306</v>
      </c>
      <c r="I338">
        <v>-0.34163058000000002</v>
      </c>
      <c r="J338">
        <v>0.42705285999999998</v>
      </c>
    </row>
    <row r="339" spans="1:10" x14ac:dyDescent="0.3">
      <c r="A339">
        <v>337</v>
      </c>
      <c r="B339">
        <v>8466</v>
      </c>
      <c r="C339" t="b">
        <v>1</v>
      </c>
      <c r="D339">
        <v>8083</v>
      </c>
      <c r="E339">
        <v>8105</v>
      </c>
      <c r="F339">
        <v>247.13333</v>
      </c>
      <c r="G339">
        <v>185.6</v>
      </c>
      <c r="H339">
        <v>1.3315372000000001</v>
      </c>
      <c r="I339">
        <v>-0.33153729999999998</v>
      </c>
      <c r="J339">
        <v>0.42890155000000002</v>
      </c>
    </row>
    <row r="340" spans="1:10" x14ac:dyDescent="0.3">
      <c r="A340">
        <v>338</v>
      </c>
      <c r="B340">
        <v>8498</v>
      </c>
      <c r="C340" t="b">
        <v>1</v>
      </c>
      <c r="D340">
        <v>8071</v>
      </c>
      <c r="E340">
        <v>8123</v>
      </c>
      <c r="F340">
        <v>246.33332999999999</v>
      </c>
      <c r="G340">
        <v>186</v>
      </c>
      <c r="H340">
        <v>1.3243727999999999</v>
      </c>
      <c r="I340">
        <v>-0.32437273999999999</v>
      </c>
      <c r="J340">
        <v>0.43022359999999998</v>
      </c>
    </row>
    <row r="341" spans="1:10" x14ac:dyDescent="0.3">
      <c r="A341">
        <v>339</v>
      </c>
      <c r="B341">
        <v>8529</v>
      </c>
      <c r="C341" t="b">
        <v>1</v>
      </c>
      <c r="D341">
        <v>8065</v>
      </c>
      <c r="E341">
        <v>8117</v>
      </c>
      <c r="F341">
        <v>245.13333</v>
      </c>
      <c r="G341">
        <v>186.8</v>
      </c>
      <c r="H341">
        <v>1.3122769999999999</v>
      </c>
      <c r="I341">
        <v>-0.31227690000000002</v>
      </c>
      <c r="J341">
        <v>0.43247414000000001</v>
      </c>
    </row>
    <row r="342" spans="1:10" x14ac:dyDescent="0.3">
      <c r="A342">
        <v>340</v>
      </c>
      <c r="B342">
        <v>8545</v>
      </c>
      <c r="C342" t="b">
        <v>1</v>
      </c>
      <c r="D342">
        <v>8088</v>
      </c>
      <c r="E342">
        <v>8105</v>
      </c>
      <c r="F342">
        <v>244</v>
      </c>
      <c r="G342">
        <v>187.6</v>
      </c>
      <c r="H342">
        <v>1.3006396</v>
      </c>
      <c r="I342">
        <v>-0.30063962999999999</v>
      </c>
      <c r="J342">
        <v>0.43466175000000001</v>
      </c>
    </row>
    <row r="343" spans="1:10" x14ac:dyDescent="0.3">
      <c r="A343">
        <v>341</v>
      </c>
      <c r="B343">
        <v>8561</v>
      </c>
      <c r="C343" t="b">
        <v>1</v>
      </c>
      <c r="D343">
        <v>8065</v>
      </c>
      <c r="E343">
        <v>8117</v>
      </c>
      <c r="F343">
        <v>243.2</v>
      </c>
      <c r="G343">
        <v>188.8</v>
      </c>
      <c r="H343">
        <v>1.2881355000000001</v>
      </c>
      <c r="I343">
        <v>-0.28813556000000001</v>
      </c>
      <c r="J343">
        <v>0.43703704999999998</v>
      </c>
    </row>
    <row r="344" spans="1:10" x14ac:dyDescent="0.3">
      <c r="A344">
        <v>342</v>
      </c>
      <c r="B344">
        <v>8577</v>
      </c>
      <c r="C344" t="b">
        <v>1</v>
      </c>
      <c r="D344">
        <v>8077</v>
      </c>
      <c r="E344">
        <v>8093</v>
      </c>
      <c r="F344">
        <v>242.06666999999999</v>
      </c>
      <c r="G344">
        <v>190</v>
      </c>
      <c r="H344">
        <v>1.2740351000000001</v>
      </c>
      <c r="I344">
        <v>-0.27403509999999998</v>
      </c>
      <c r="J344">
        <v>0.43974698000000001</v>
      </c>
    </row>
    <row r="345" spans="1:10" x14ac:dyDescent="0.3">
      <c r="A345">
        <v>343</v>
      </c>
      <c r="B345">
        <v>8593</v>
      </c>
      <c r="C345" t="b">
        <v>1</v>
      </c>
      <c r="D345">
        <v>8071</v>
      </c>
      <c r="E345">
        <v>8099</v>
      </c>
      <c r="F345">
        <v>240.53334000000001</v>
      </c>
      <c r="G345">
        <v>190.4</v>
      </c>
      <c r="H345">
        <v>1.2633053999999999</v>
      </c>
      <c r="I345">
        <v>-0.26330540000000002</v>
      </c>
      <c r="J345">
        <v>0.44183165000000002</v>
      </c>
    </row>
    <row r="346" spans="1:10" x14ac:dyDescent="0.3">
      <c r="A346">
        <v>344</v>
      </c>
      <c r="B346">
        <v>8608</v>
      </c>
      <c r="C346" t="b">
        <v>1</v>
      </c>
      <c r="D346">
        <v>8094</v>
      </c>
      <c r="E346">
        <v>8123</v>
      </c>
      <c r="F346">
        <v>239.4</v>
      </c>
      <c r="G346">
        <v>190.4</v>
      </c>
      <c r="H346">
        <v>1.2573529999999999</v>
      </c>
      <c r="I346">
        <v>-0.25735295000000002</v>
      </c>
      <c r="J346">
        <v>0.44299674</v>
      </c>
    </row>
    <row r="347" spans="1:10" x14ac:dyDescent="0.3">
      <c r="A347">
        <v>345</v>
      </c>
      <c r="B347">
        <v>8623</v>
      </c>
      <c r="C347" t="b">
        <v>1</v>
      </c>
      <c r="D347">
        <v>8060</v>
      </c>
      <c r="E347">
        <v>8123</v>
      </c>
      <c r="F347">
        <v>237.86667</v>
      </c>
      <c r="G347">
        <v>191.6</v>
      </c>
      <c r="H347">
        <v>1.2414752</v>
      </c>
      <c r="I347">
        <v>-0.24147526999999999</v>
      </c>
      <c r="J347">
        <v>0.44613475000000002</v>
      </c>
    </row>
    <row r="348" spans="1:10" x14ac:dyDescent="0.3">
      <c r="A348">
        <v>346</v>
      </c>
      <c r="B348">
        <v>8655</v>
      </c>
      <c r="C348" t="b">
        <v>1</v>
      </c>
      <c r="D348">
        <v>8083</v>
      </c>
      <c r="E348">
        <v>8123</v>
      </c>
      <c r="F348">
        <v>236.33332999999999</v>
      </c>
      <c r="G348">
        <v>193.2</v>
      </c>
      <c r="H348">
        <v>1.2232574000000001</v>
      </c>
      <c r="I348">
        <v>-0.22325740999999999</v>
      </c>
      <c r="J348">
        <v>0.44979047999999999</v>
      </c>
    </row>
    <row r="349" spans="1:10" x14ac:dyDescent="0.3">
      <c r="A349">
        <v>347</v>
      </c>
      <c r="B349">
        <v>8671</v>
      </c>
      <c r="C349" t="b">
        <v>1</v>
      </c>
      <c r="D349">
        <v>8083</v>
      </c>
      <c r="E349">
        <v>8093</v>
      </c>
      <c r="F349">
        <v>235.2</v>
      </c>
      <c r="G349">
        <v>195.2</v>
      </c>
      <c r="H349">
        <v>1.2049179999999999</v>
      </c>
      <c r="I349">
        <v>-0.20491804</v>
      </c>
      <c r="J349">
        <v>0.45353159999999998</v>
      </c>
    </row>
    <row r="350" spans="1:10" x14ac:dyDescent="0.3">
      <c r="A350">
        <v>348</v>
      </c>
      <c r="B350">
        <v>8687</v>
      </c>
      <c r="C350" t="b">
        <v>1</v>
      </c>
      <c r="D350">
        <v>8077</v>
      </c>
      <c r="E350">
        <v>8105</v>
      </c>
      <c r="F350">
        <v>234.06666999999999</v>
      </c>
      <c r="G350">
        <v>197.2</v>
      </c>
      <c r="H350">
        <v>1.1869506999999999</v>
      </c>
      <c r="I350">
        <v>-0.18695065</v>
      </c>
      <c r="J350">
        <v>0.45725769999999999</v>
      </c>
    </row>
    <row r="351" spans="1:10" x14ac:dyDescent="0.3">
      <c r="A351">
        <v>349</v>
      </c>
      <c r="B351">
        <v>8703</v>
      </c>
      <c r="C351" t="b">
        <v>1</v>
      </c>
      <c r="D351">
        <v>8111</v>
      </c>
      <c r="E351">
        <v>8105</v>
      </c>
      <c r="F351">
        <v>233.73334</v>
      </c>
      <c r="G351">
        <v>198</v>
      </c>
      <c r="H351">
        <v>1.1804714000000001</v>
      </c>
      <c r="I351">
        <v>-0.1804714</v>
      </c>
      <c r="J351">
        <v>0.45861644000000001</v>
      </c>
    </row>
    <row r="352" spans="1:10" x14ac:dyDescent="0.3">
      <c r="A352">
        <v>350</v>
      </c>
      <c r="B352">
        <v>8719</v>
      </c>
      <c r="C352" t="b">
        <v>1</v>
      </c>
      <c r="D352">
        <v>8054</v>
      </c>
      <c r="E352">
        <v>8123</v>
      </c>
      <c r="F352">
        <v>233.4</v>
      </c>
      <c r="G352">
        <v>198</v>
      </c>
      <c r="H352">
        <v>1.1787878000000001</v>
      </c>
      <c r="I352">
        <v>-0.17878784</v>
      </c>
      <c r="J352">
        <v>0.45897080000000001</v>
      </c>
    </row>
    <row r="353" spans="1:10" x14ac:dyDescent="0.3">
      <c r="A353">
        <v>351</v>
      </c>
      <c r="B353">
        <v>8735</v>
      </c>
      <c r="C353" t="b">
        <v>1</v>
      </c>
      <c r="D353">
        <v>8048</v>
      </c>
      <c r="E353">
        <v>8111</v>
      </c>
      <c r="F353">
        <v>234.2</v>
      </c>
      <c r="G353">
        <v>198</v>
      </c>
      <c r="H353">
        <v>1.1828282999999999</v>
      </c>
      <c r="I353">
        <v>-0.18282825999999999</v>
      </c>
      <c r="J353">
        <v>0.45812123999999999</v>
      </c>
    </row>
    <row r="354" spans="1:10" x14ac:dyDescent="0.3">
      <c r="A354">
        <v>352</v>
      </c>
      <c r="B354">
        <v>8766</v>
      </c>
      <c r="C354" t="b">
        <v>1</v>
      </c>
      <c r="D354">
        <v>8088</v>
      </c>
      <c r="E354">
        <v>8093</v>
      </c>
      <c r="F354">
        <v>235</v>
      </c>
      <c r="G354">
        <v>198</v>
      </c>
      <c r="H354">
        <v>1.1868687</v>
      </c>
      <c r="I354">
        <v>-0.18686868000000001</v>
      </c>
      <c r="J354">
        <v>0.45727482000000003</v>
      </c>
    </row>
    <row r="355" spans="1:10" x14ac:dyDescent="0.3">
      <c r="A355">
        <v>353</v>
      </c>
      <c r="B355">
        <v>8782</v>
      </c>
      <c r="C355" t="b">
        <v>1</v>
      </c>
      <c r="D355">
        <v>8077</v>
      </c>
      <c r="E355">
        <v>8105</v>
      </c>
      <c r="F355">
        <v>235.8</v>
      </c>
      <c r="G355">
        <v>197.6</v>
      </c>
      <c r="H355">
        <v>1.1933198</v>
      </c>
      <c r="I355">
        <v>-0.19331981000000001</v>
      </c>
      <c r="J355">
        <v>0.45592985000000003</v>
      </c>
    </row>
    <row r="356" spans="1:10" x14ac:dyDescent="0.3">
      <c r="A356">
        <v>354</v>
      </c>
      <c r="B356">
        <v>8798</v>
      </c>
      <c r="C356" t="b">
        <v>1</v>
      </c>
      <c r="D356">
        <v>8065</v>
      </c>
      <c r="E356">
        <v>8117</v>
      </c>
      <c r="F356">
        <v>235.8</v>
      </c>
      <c r="G356">
        <v>197.2</v>
      </c>
      <c r="H356">
        <v>1.1957403</v>
      </c>
      <c r="I356">
        <v>-0.19574040000000001</v>
      </c>
      <c r="J356">
        <v>0.45542726</v>
      </c>
    </row>
    <row r="357" spans="1:10" x14ac:dyDescent="0.3">
      <c r="A357">
        <v>355</v>
      </c>
      <c r="B357">
        <v>8814</v>
      </c>
      <c r="C357" t="b">
        <v>1</v>
      </c>
      <c r="D357">
        <v>8060</v>
      </c>
      <c r="E357">
        <v>8099</v>
      </c>
      <c r="F357">
        <v>235.4</v>
      </c>
      <c r="G357">
        <v>196.4</v>
      </c>
      <c r="H357">
        <v>1.1985743</v>
      </c>
      <c r="I357">
        <v>-0.19857435000000001</v>
      </c>
      <c r="J357">
        <v>0.45484019999999997</v>
      </c>
    </row>
    <row r="358" spans="1:10" x14ac:dyDescent="0.3">
      <c r="A358">
        <v>356</v>
      </c>
      <c r="B358">
        <v>8830</v>
      </c>
      <c r="C358" t="b">
        <v>1</v>
      </c>
      <c r="D358">
        <v>8071</v>
      </c>
      <c r="E358">
        <v>8099</v>
      </c>
      <c r="F358">
        <v>235.4</v>
      </c>
      <c r="G358">
        <v>195.2</v>
      </c>
      <c r="H358">
        <v>1.2059426</v>
      </c>
      <c r="I358">
        <v>-0.20594261999999999</v>
      </c>
      <c r="J358">
        <v>0.45332097999999998</v>
      </c>
    </row>
    <row r="359" spans="1:10" x14ac:dyDescent="0.3">
      <c r="A359">
        <v>357</v>
      </c>
      <c r="B359">
        <v>8861</v>
      </c>
      <c r="C359" t="b">
        <v>1</v>
      </c>
      <c r="D359">
        <v>8071</v>
      </c>
      <c r="E359">
        <v>8105</v>
      </c>
      <c r="F359">
        <v>235.4</v>
      </c>
      <c r="G359">
        <v>194.4</v>
      </c>
      <c r="H359">
        <v>1.2109053000000001</v>
      </c>
      <c r="I359">
        <v>-0.21090535999999999</v>
      </c>
      <c r="J359">
        <v>0.45230340000000002</v>
      </c>
    </row>
    <row r="360" spans="1:10" x14ac:dyDescent="0.3">
      <c r="A360">
        <v>358</v>
      </c>
      <c r="B360">
        <v>8893</v>
      </c>
      <c r="C360" t="b">
        <v>1</v>
      </c>
      <c r="D360">
        <v>8065</v>
      </c>
      <c r="E360">
        <v>8117</v>
      </c>
      <c r="F360">
        <v>235</v>
      </c>
      <c r="G360">
        <v>194.4</v>
      </c>
      <c r="H360">
        <v>1.2088478</v>
      </c>
      <c r="I360">
        <v>-0.20884778000000001</v>
      </c>
      <c r="J360">
        <v>0.45272473000000002</v>
      </c>
    </row>
    <row r="361" spans="1:10" x14ac:dyDescent="0.3">
      <c r="A361">
        <v>359</v>
      </c>
      <c r="B361">
        <v>8909</v>
      </c>
      <c r="C361" t="b">
        <v>1</v>
      </c>
      <c r="D361">
        <v>8077</v>
      </c>
      <c r="E361">
        <v>8075</v>
      </c>
      <c r="F361">
        <v>234.6</v>
      </c>
      <c r="G361">
        <v>194</v>
      </c>
      <c r="H361">
        <v>1.2092783</v>
      </c>
      <c r="I361">
        <v>-0.20927836999999999</v>
      </c>
      <c r="J361">
        <v>0.45263648000000001</v>
      </c>
    </row>
    <row r="362" spans="1:10" x14ac:dyDescent="0.3">
      <c r="A362">
        <v>360</v>
      </c>
      <c r="B362">
        <v>8925</v>
      </c>
      <c r="C362" t="b">
        <v>1</v>
      </c>
      <c r="D362">
        <v>8083</v>
      </c>
      <c r="E362">
        <v>8111</v>
      </c>
      <c r="F362">
        <v>234.6</v>
      </c>
      <c r="G362">
        <v>193.2</v>
      </c>
      <c r="H362">
        <v>1.2142857</v>
      </c>
      <c r="I362">
        <v>-0.21428575999999999</v>
      </c>
      <c r="J362">
        <v>0.45161291999999997</v>
      </c>
    </row>
    <row r="363" spans="1:10" x14ac:dyDescent="0.3">
      <c r="A363">
        <v>361</v>
      </c>
      <c r="B363">
        <v>8941</v>
      </c>
      <c r="C363" t="b">
        <v>1</v>
      </c>
      <c r="D363">
        <v>8100</v>
      </c>
      <c r="E363">
        <v>8117</v>
      </c>
      <c r="F363">
        <v>234.6</v>
      </c>
      <c r="G363">
        <v>192.4</v>
      </c>
      <c r="H363">
        <v>1.2193347999999999</v>
      </c>
      <c r="I363">
        <v>-0.2193348</v>
      </c>
      <c r="J363">
        <v>0.45058545</v>
      </c>
    </row>
    <row r="364" spans="1:10" x14ac:dyDescent="0.3">
      <c r="A364">
        <v>362</v>
      </c>
      <c r="B364">
        <v>8973</v>
      </c>
      <c r="C364" t="b">
        <v>1</v>
      </c>
      <c r="D364">
        <v>8060</v>
      </c>
      <c r="E364">
        <v>8099</v>
      </c>
      <c r="F364">
        <v>234.2</v>
      </c>
      <c r="G364">
        <v>191.6</v>
      </c>
      <c r="H364">
        <v>1.2223382</v>
      </c>
      <c r="I364">
        <v>-0.22233815000000001</v>
      </c>
      <c r="J364">
        <v>0.44997652999999999</v>
      </c>
    </row>
    <row r="365" spans="1:10" x14ac:dyDescent="0.3">
      <c r="A365">
        <v>363</v>
      </c>
      <c r="B365">
        <v>8988</v>
      </c>
      <c r="C365" t="b">
        <v>1</v>
      </c>
      <c r="D365">
        <v>8071</v>
      </c>
      <c r="E365">
        <v>8093</v>
      </c>
      <c r="F365">
        <v>233.8</v>
      </c>
      <c r="G365">
        <v>190</v>
      </c>
      <c r="H365">
        <v>1.2305263</v>
      </c>
      <c r="I365">
        <v>-0.23052633</v>
      </c>
      <c r="J365">
        <v>0.44832467999999998</v>
      </c>
    </row>
    <row r="366" spans="1:10" x14ac:dyDescent="0.3">
      <c r="A366">
        <v>364</v>
      </c>
      <c r="B366">
        <v>9004</v>
      </c>
      <c r="C366" t="b">
        <v>1</v>
      </c>
      <c r="D366">
        <v>8100</v>
      </c>
      <c r="E366">
        <v>8087</v>
      </c>
      <c r="F366">
        <v>233.8</v>
      </c>
      <c r="G366">
        <v>189.6</v>
      </c>
      <c r="H366">
        <v>1.2331223</v>
      </c>
      <c r="I366">
        <v>-0.23312232999999999</v>
      </c>
      <c r="J366">
        <v>0.44780350000000002</v>
      </c>
    </row>
    <row r="367" spans="1:10" x14ac:dyDescent="0.3">
      <c r="A367">
        <v>365</v>
      </c>
      <c r="B367">
        <v>9020</v>
      </c>
      <c r="C367" t="b">
        <v>1</v>
      </c>
      <c r="D367">
        <v>8077</v>
      </c>
      <c r="E367">
        <v>8129</v>
      </c>
      <c r="F367">
        <v>233.4</v>
      </c>
      <c r="G367">
        <v>189.2</v>
      </c>
      <c r="H367">
        <v>1.2336152</v>
      </c>
      <c r="I367">
        <v>-0.2336152</v>
      </c>
      <c r="J367">
        <v>0.44770470000000001</v>
      </c>
    </row>
    <row r="368" spans="1:10" x14ac:dyDescent="0.3">
      <c r="A368">
        <v>366</v>
      </c>
      <c r="B368">
        <v>9036</v>
      </c>
      <c r="C368" t="b">
        <v>1</v>
      </c>
      <c r="D368">
        <v>8048</v>
      </c>
      <c r="E368">
        <v>8111</v>
      </c>
      <c r="F368">
        <v>233</v>
      </c>
      <c r="G368">
        <v>188.8</v>
      </c>
      <c r="H368">
        <v>1.2341101000000001</v>
      </c>
      <c r="I368">
        <v>-0.23411014999999999</v>
      </c>
      <c r="J368">
        <v>0.44760551999999998</v>
      </c>
    </row>
    <row r="369" spans="1:10" x14ac:dyDescent="0.3">
      <c r="A369">
        <v>367</v>
      </c>
      <c r="B369">
        <v>9051</v>
      </c>
      <c r="C369" t="b">
        <v>1</v>
      </c>
      <c r="D369">
        <v>8077</v>
      </c>
      <c r="E369">
        <v>8117</v>
      </c>
      <c r="F369">
        <v>233</v>
      </c>
      <c r="G369">
        <v>189.2</v>
      </c>
      <c r="H369">
        <v>1.2315011</v>
      </c>
      <c r="I369">
        <v>-0.23150107</v>
      </c>
      <c r="J369">
        <v>0.44812881999999998</v>
      </c>
    </row>
    <row r="370" spans="1:10" x14ac:dyDescent="0.3">
      <c r="A370">
        <v>368</v>
      </c>
      <c r="B370">
        <v>9067</v>
      </c>
      <c r="C370" t="b">
        <v>1</v>
      </c>
      <c r="D370">
        <v>8071</v>
      </c>
      <c r="E370">
        <v>8105</v>
      </c>
      <c r="F370">
        <v>233</v>
      </c>
      <c r="G370">
        <v>189.6</v>
      </c>
      <c r="H370">
        <v>1.2289029</v>
      </c>
      <c r="I370">
        <v>-0.22890292000000001</v>
      </c>
      <c r="J370">
        <v>0.44865122000000002</v>
      </c>
    </row>
    <row r="371" spans="1:10" x14ac:dyDescent="0.3">
      <c r="A371">
        <v>369</v>
      </c>
      <c r="B371">
        <v>9083</v>
      </c>
      <c r="C371" t="b">
        <v>1</v>
      </c>
      <c r="D371">
        <v>8088</v>
      </c>
      <c r="E371">
        <v>8105</v>
      </c>
      <c r="F371">
        <v>233.8</v>
      </c>
      <c r="G371">
        <v>189.6</v>
      </c>
      <c r="H371">
        <v>1.2331223</v>
      </c>
      <c r="I371">
        <v>-0.23312232999999999</v>
      </c>
      <c r="J371">
        <v>0.44780350000000002</v>
      </c>
    </row>
    <row r="372" spans="1:10" x14ac:dyDescent="0.3">
      <c r="A372">
        <v>370</v>
      </c>
      <c r="B372">
        <v>9115</v>
      </c>
      <c r="C372" t="b">
        <v>1</v>
      </c>
      <c r="D372">
        <v>8060</v>
      </c>
      <c r="E372">
        <v>8111</v>
      </c>
      <c r="F372">
        <v>234.2</v>
      </c>
      <c r="G372">
        <v>190</v>
      </c>
      <c r="H372">
        <v>1.2326315999999999</v>
      </c>
      <c r="I372">
        <v>-0.23263155999999999</v>
      </c>
      <c r="J372">
        <v>0.44790193</v>
      </c>
    </row>
    <row r="373" spans="1:10" x14ac:dyDescent="0.3">
      <c r="A373">
        <v>371</v>
      </c>
      <c r="B373">
        <v>9147</v>
      </c>
      <c r="C373" t="b">
        <v>1</v>
      </c>
      <c r="D373">
        <v>8083</v>
      </c>
      <c r="E373">
        <v>8093</v>
      </c>
      <c r="F373">
        <v>234.6</v>
      </c>
      <c r="G373">
        <v>190.4</v>
      </c>
      <c r="H373">
        <v>1.2321428999999999</v>
      </c>
      <c r="I373">
        <v>-0.23214293</v>
      </c>
      <c r="J373">
        <v>0.44799998000000002</v>
      </c>
    </row>
    <row r="374" spans="1:10" x14ac:dyDescent="0.3">
      <c r="A374">
        <v>372</v>
      </c>
      <c r="B374">
        <v>9178</v>
      </c>
      <c r="C374" t="b">
        <v>1</v>
      </c>
      <c r="D374">
        <v>8094</v>
      </c>
      <c r="E374">
        <v>8140</v>
      </c>
      <c r="F374">
        <v>235.4</v>
      </c>
      <c r="G374">
        <v>190.4</v>
      </c>
      <c r="H374">
        <v>1.2363446</v>
      </c>
      <c r="I374">
        <v>-0.23634454999999999</v>
      </c>
      <c r="J374">
        <v>0.44715828000000002</v>
      </c>
    </row>
    <row r="375" spans="1:10" x14ac:dyDescent="0.3">
      <c r="A375">
        <v>373</v>
      </c>
      <c r="B375">
        <v>9211</v>
      </c>
      <c r="C375" t="b">
        <v>1</v>
      </c>
      <c r="D375">
        <v>8088</v>
      </c>
      <c r="E375">
        <v>8105</v>
      </c>
      <c r="F375">
        <v>236.93333000000001</v>
      </c>
      <c r="G375">
        <v>190.4</v>
      </c>
      <c r="H375">
        <v>1.2443978</v>
      </c>
      <c r="I375">
        <v>-0.2443978</v>
      </c>
      <c r="J375">
        <v>0.44555383999999998</v>
      </c>
    </row>
    <row r="376" spans="1:10" x14ac:dyDescent="0.3">
      <c r="A376">
        <v>374</v>
      </c>
      <c r="B376">
        <v>9243</v>
      </c>
      <c r="C376" t="b">
        <v>1</v>
      </c>
      <c r="D376">
        <v>8065</v>
      </c>
      <c r="E376">
        <v>8099</v>
      </c>
      <c r="F376">
        <v>237.73334</v>
      </c>
      <c r="G376">
        <v>190.8</v>
      </c>
      <c r="H376">
        <v>1.2459818</v>
      </c>
      <c r="I376">
        <v>-0.24598183000000001</v>
      </c>
      <c r="J376">
        <v>0.44523960000000001</v>
      </c>
    </row>
    <row r="377" spans="1:10" x14ac:dyDescent="0.3">
      <c r="A377">
        <v>375</v>
      </c>
      <c r="B377">
        <v>9274</v>
      </c>
      <c r="C377" t="b">
        <v>1</v>
      </c>
      <c r="D377">
        <v>8077</v>
      </c>
      <c r="E377">
        <v>8123</v>
      </c>
      <c r="F377">
        <v>238.53334000000001</v>
      </c>
      <c r="G377">
        <v>190.8</v>
      </c>
      <c r="H377">
        <v>1.2501747999999999</v>
      </c>
      <c r="I377">
        <v>-0.25017473000000001</v>
      </c>
      <c r="J377">
        <v>0.44440994</v>
      </c>
    </row>
    <row r="378" spans="1:10" x14ac:dyDescent="0.3">
      <c r="A378">
        <v>376</v>
      </c>
      <c r="B378">
        <v>9306</v>
      </c>
      <c r="C378" t="b">
        <v>1</v>
      </c>
      <c r="D378">
        <v>8083</v>
      </c>
      <c r="E378">
        <v>8140</v>
      </c>
      <c r="F378">
        <v>238.93333000000001</v>
      </c>
      <c r="G378">
        <v>191.6</v>
      </c>
      <c r="H378">
        <v>1.2470424</v>
      </c>
      <c r="I378">
        <v>-0.24704242000000001</v>
      </c>
      <c r="J378">
        <v>0.44502944</v>
      </c>
    </row>
    <row r="379" spans="1:10" x14ac:dyDescent="0.3">
      <c r="A379">
        <v>377</v>
      </c>
      <c r="B379">
        <v>9338</v>
      </c>
      <c r="C379" t="b">
        <v>1</v>
      </c>
      <c r="D379">
        <v>8077</v>
      </c>
      <c r="E379">
        <v>8087</v>
      </c>
      <c r="F379">
        <v>238.93333000000001</v>
      </c>
      <c r="G379">
        <v>191.2</v>
      </c>
      <c r="H379">
        <v>1.2496513</v>
      </c>
      <c r="I379">
        <v>-0.24965135999999999</v>
      </c>
      <c r="J379">
        <v>0.44451331999999999</v>
      </c>
    </row>
    <row r="380" spans="1:10" x14ac:dyDescent="0.3">
      <c r="A380">
        <v>378</v>
      </c>
      <c r="B380">
        <v>9369</v>
      </c>
      <c r="C380" t="b">
        <v>1</v>
      </c>
      <c r="D380">
        <v>8065</v>
      </c>
      <c r="E380">
        <v>8123</v>
      </c>
      <c r="F380">
        <v>238.93333000000001</v>
      </c>
      <c r="G380">
        <v>192.8</v>
      </c>
      <c r="H380">
        <v>1.2392806999999999</v>
      </c>
      <c r="I380">
        <v>-0.23928076000000001</v>
      </c>
      <c r="J380">
        <v>0.44657195</v>
      </c>
    </row>
    <row r="381" spans="1:10" x14ac:dyDescent="0.3">
      <c r="A381">
        <v>379</v>
      </c>
      <c r="B381">
        <v>9385</v>
      </c>
      <c r="C381" t="b">
        <v>1</v>
      </c>
      <c r="D381">
        <v>8071</v>
      </c>
      <c r="E381">
        <v>8123</v>
      </c>
      <c r="F381">
        <v>238.53334000000001</v>
      </c>
      <c r="G381">
        <v>194.4</v>
      </c>
      <c r="H381">
        <v>1.2270234</v>
      </c>
      <c r="I381">
        <v>-0.22702339999999999</v>
      </c>
      <c r="J381">
        <v>0.44902983000000002</v>
      </c>
    </row>
    <row r="382" spans="1:10" x14ac:dyDescent="0.3">
      <c r="A382">
        <v>380</v>
      </c>
      <c r="B382">
        <v>9417</v>
      </c>
      <c r="C382" t="b">
        <v>1</v>
      </c>
      <c r="D382">
        <v>8083</v>
      </c>
      <c r="E382">
        <v>8111</v>
      </c>
      <c r="F382">
        <v>238.53334000000001</v>
      </c>
      <c r="G382">
        <v>196</v>
      </c>
      <c r="H382">
        <v>1.2170068000000001</v>
      </c>
      <c r="I382">
        <v>-0.21700683000000001</v>
      </c>
      <c r="J382">
        <v>0.45105863000000002</v>
      </c>
    </row>
    <row r="383" spans="1:10" x14ac:dyDescent="0.3">
      <c r="A383">
        <v>381</v>
      </c>
      <c r="B383">
        <v>9433</v>
      </c>
      <c r="C383" t="b">
        <v>1</v>
      </c>
      <c r="D383">
        <v>8100</v>
      </c>
      <c r="E383">
        <v>8117</v>
      </c>
      <c r="F383">
        <v>238.93333000000001</v>
      </c>
      <c r="G383">
        <v>197.2</v>
      </c>
      <c r="H383">
        <v>1.2116294999999999</v>
      </c>
      <c r="I383">
        <v>-0.21162950999999999</v>
      </c>
      <c r="J383">
        <v>0.45215529999999998</v>
      </c>
    </row>
    <row r="384" spans="1:10" x14ac:dyDescent="0.3">
      <c r="A384">
        <v>382</v>
      </c>
      <c r="B384">
        <v>9465</v>
      </c>
      <c r="C384" t="b">
        <v>1</v>
      </c>
      <c r="D384">
        <v>8071</v>
      </c>
      <c r="E384">
        <v>8123</v>
      </c>
      <c r="F384">
        <v>238.53334000000001</v>
      </c>
      <c r="G384">
        <v>198</v>
      </c>
      <c r="H384">
        <v>1.2047137999999999</v>
      </c>
      <c r="I384">
        <v>-0.20471384000000001</v>
      </c>
      <c r="J384">
        <v>0.45357360000000002</v>
      </c>
    </row>
    <row r="385" spans="1:10" x14ac:dyDescent="0.3">
      <c r="A385">
        <v>383</v>
      </c>
      <c r="B385">
        <v>9497</v>
      </c>
      <c r="C385" t="b">
        <v>1</v>
      </c>
      <c r="D385">
        <v>8042</v>
      </c>
      <c r="E385">
        <v>8105</v>
      </c>
      <c r="F385">
        <v>238.13333</v>
      </c>
      <c r="G385">
        <v>198.4</v>
      </c>
      <c r="H385">
        <v>1.2002689</v>
      </c>
      <c r="I385">
        <v>-0.20026885</v>
      </c>
      <c r="J385">
        <v>0.45448991999999999</v>
      </c>
    </row>
    <row r="386" spans="1:10" x14ac:dyDescent="0.3">
      <c r="A386">
        <v>384</v>
      </c>
      <c r="B386">
        <v>9528</v>
      </c>
      <c r="C386" t="b">
        <v>1</v>
      </c>
      <c r="D386">
        <v>8054</v>
      </c>
      <c r="E386">
        <v>8111</v>
      </c>
      <c r="F386">
        <v>237.73334</v>
      </c>
      <c r="G386">
        <v>198.4</v>
      </c>
      <c r="H386">
        <v>1.1982527999999999</v>
      </c>
      <c r="I386">
        <v>-0.19825275000000001</v>
      </c>
      <c r="J386">
        <v>0.45490672999999998</v>
      </c>
    </row>
    <row r="387" spans="1:10" x14ac:dyDescent="0.3">
      <c r="A387">
        <v>385</v>
      </c>
      <c r="B387">
        <v>9560</v>
      </c>
      <c r="C387" t="b">
        <v>1</v>
      </c>
      <c r="D387">
        <v>8060</v>
      </c>
      <c r="E387">
        <v>8140</v>
      </c>
      <c r="F387">
        <v>237</v>
      </c>
      <c r="G387">
        <v>198.8</v>
      </c>
      <c r="H387">
        <v>1.1921529</v>
      </c>
      <c r="I387">
        <v>-0.19215289999999999</v>
      </c>
      <c r="J387">
        <v>0.45617259999999998</v>
      </c>
    </row>
    <row r="388" spans="1:10" x14ac:dyDescent="0.3">
      <c r="A388">
        <v>386</v>
      </c>
      <c r="B388">
        <v>9592</v>
      </c>
      <c r="C388" t="b">
        <v>1</v>
      </c>
      <c r="D388">
        <v>8083</v>
      </c>
      <c r="E388">
        <v>8111</v>
      </c>
      <c r="F388">
        <v>235.86667</v>
      </c>
      <c r="G388">
        <v>199.2</v>
      </c>
      <c r="H388">
        <v>1.1840695999999999</v>
      </c>
      <c r="I388">
        <v>-0.18406963000000001</v>
      </c>
      <c r="J388">
        <v>0.45786090000000002</v>
      </c>
    </row>
    <row r="389" spans="1:10" x14ac:dyDescent="0.3">
      <c r="A389">
        <v>387</v>
      </c>
      <c r="B389">
        <v>9623</v>
      </c>
      <c r="C389" t="b">
        <v>1</v>
      </c>
      <c r="D389">
        <v>8083</v>
      </c>
      <c r="E389">
        <v>8087</v>
      </c>
      <c r="F389">
        <v>234.33332999999999</v>
      </c>
      <c r="G389">
        <v>199.6</v>
      </c>
      <c r="H389">
        <v>1.1740147000000001</v>
      </c>
      <c r="I389">
        <v>-0.17401463</v>
      </c>
      <c r="J389">
        <v>0.45997850000000001</v>
      </c>
    </row>
    <row r="390" spans="1:10" x14ac:dyDescent="0.3">
      <c r="A390">
        <v>388</v>
      </c>
      <c r="B390">
        <v>9655</v>
      </c>
      <c r="C390" t="b">
        <v>1</v>
      </c>
      <c r="D390">
        <v>8083</v>
      </c>
      <c r="E390">
        <v>8093</v>
      </c>
      <c r="F390">
        <v>234</v>
      </c>
      <c r="G390">
        <v>200</v>
      </c>
      <c r="H390">
        <v>1.17</v>
      </c>
      <c r="I390">
        <v>-0.17</v>
      </c>
      <c r="J390">
        <v>0.4608295</v>
      </c>
    </row>
    <row r="391" spans="1:10" x14ac:dyDescent="0.3">
      <c r="A391">
        <v>389</v>
      </c>
      <c r="B391">
        <v>9687</v>
      </c>
      <c r="C391" t="b">
        <v>1</v>
      </c>
      <c r="D391">
        <v>8071</v>
      </c>
      <c r="E391">
        <v>8111</v>
      </c>
      <c r="F391">
        <v>234</v>
      </c>
      <c r="G391">
        <v>200.4</v>
      </c>
      <c r="H391">
        <v>1.1676645999999999</v>
      </c>
      <c r="I391">
        <v>-0.1676647</v>
      </c>
      <c r="J391">
        <v>0.46132596999999997</v>
      </c>
    </row>
    <row r="392" spans="1:10" x14ac:dyDescent="0.3">
      <c r="A392">
        <v>390</v>
      </c>
      <c r="B392">
        <v>9719</v>
      </c>
      <c r="C392" t="b">
        <v>1</v>
      </c>
      <c r="D392">
        <v>8083</v>
      </c>
      <c r="E392">
        <v>8111</v>
      </c>
      <c r="F392">
        <v>234</v>
      </c>
      <c r="G392">
        <v>200.8</v>
      </c>
      <c r="H392">
        <v>1.1653385999999999</v>
      </c>
      <c r="I392">
        <v>-0.16533861999999999</v>
      </c>
      <c r="J392">
        <v>0.46182156000000002</v>
      </c>
    </row>
    <row r="393" spans="1:10" x14ac:dyDescent="0.3">
      <c r="A393">
        <v>391</v>
      </c>
      <c r="B393">
        <v>9750</v>
      </c>
      <c r="C393" t="b">
        <v>1</v>
      </c>
      <c r="D393">
        <v>8077</v>
      </c>
      <c r="E393">
        <v>8093</v>
      </c>
      <c r="F393">
        <v>234</v>
      </c>
      <c r="G393">
        <v>198.8</v>
      </c>
      <c r="H393">
        <v>1.1770624000000001</v>
      </c>
      <c r="I393">
        <v>-0.17706236</v>
      </c>
      <c r="J393">
        <v>0.45933457999999999</v>
      </c>
    </row>
    <row r="394" spans="1:10" x14ac:dyDescent="0.3">
      <c r="A394">
        <v>392</v>
      </c>
      <c r="B394">
        <v>9766</v>
      </c>
      <c r="C394" t="b">
        <v>1</v>
      </c>
      <c r="D394">
        <v>8060</v>
      </c>
      <c r="E394">
        <v>8111</v>
      </c>
      <c r="F394">
        <v>234</v>
      </c>
      <c r="G394">
        <v>199.2</v>
      </c>
      <c r="H394">
        <v>1.1746988</v>
      </c>
      <c r="I394">
        <v>-0.17469881000000001</v>
      </c>
      <c r="J394">
        <v>0.45983376999999998</v>
      </c>
    </row>
    <row r="395" spans="1:10" x14ac:dyDescent="0.3">
      <c r="A395">
        <v>393</v>
      </c>
      <c r="B395">
        <v>9781</v>
      </c>
      <c r="C395" t="b">
        <v>1</v>
      </c>
      <c r="D395">
        <v>8094</v>
      </c>
      <c r="E395">
        <v>8134</v>
      </c>
      <c r="F395">
        <v>234</v>
      </c>
      <c r="G395">
        <v>198.4</v>
      </c>
      <c r="H395">
        <v>1.1794355000000001</v>
      </c>
      <c r="I395">
        <v>-0.17943551999999999</v>
      </c>
      <c r="J395">
        <v>0.45883439999999998</v>
      </c>
    </row>
    <row r="396" spans="1:10" x14ac:dyDescent="0.3">
      <c r="A396">
        <v>394</v>
      </c>
      <c r="B396">
        <v>9813</v>
      </c>
      <c r="C396" t="b">
        <v>1</v>
      </c>
      <c r="D396">
        <v>8065</v>
      </c>
      <c r="E396">
        <v>8117</v>
      </c>
      <c r="F396">
        <v>234</v>
      </c>
      <c r="G396">
        <v>197.6</v>
      </c>
      <c r="H396">
        <v>1.1842105000000001</v>
      </c>
      <c r="I396">
        <v>-0.1842105</v>
      </c>
      <c r="J396">
        <v>0.45783131999999999</v>
      </c>
    </row>
    <row r="397" spans="1:10" x14ac:dyDescent="0.3">
      <c r="A397">
        <v>395</v>
      </c>
      <c r="B397">
        <v>9845</v>
      </c>
      <c r="C397" t="b">
        <v>1</v>
      </c>
      <c r="D397">
        <v>8088</v>
      </c>
      <c r="E397">
        <v>8129</v>
      </c>
      <c r="F397">
        <v>234</v>
      </c>
      <c r="G397">
        <v>197.2</v>
      </c>
      <c r="H397">
        <v>1.1866125999999999</v>
      </c>
      <c r="I397">
        <v>-0.18661258999999999</v>
      </c>
      <c r="J397">
        <v>0.45732837999999998</v>
      </c>
    </row>
    <row r="398" spans="1:10" x14ac:dyDescent="0.3">
      <c r="A398">
        <v>396</v>
      </c>
      <c r="B398">
        <v>9877</v>
      </c>
      <c r="C398" t="b">
        <v>1</v>
      </c>
      <c r="D398">
        <v>8094</v>
      </c>
      <c r="E398">
        <v>8099</v>
      </c>
      <c r="F398">
        <v>234.73334</v>
      </c>
      <c r="G398">
        <v>197.2</v>
      </c>
      <c r="H398">
        <v>1.1903313</v>
      </c>
      <c r="I398">
        <v>-0.19033133999999999</v>
      </c>
      <c r="J398">
        <v>0.45655190000000001</v>
      </c>
    </row>
    <row r="399" spans="1:10" x14ac:dyDescent="0.3">
      <c r="A399">
        <v>397</v>
      </c>
      <c r="B399">
        <v>9909</v>
      </c>
      <c r="C399" t="b">
        <v>1</v>
      </c>
      <c r="D399">
        <v>8094</v>
      </c>
      <c r="E399">
        <v>8099</v>
      </c>
      <c r="F399">
        <v>236.26666</v>
      </c>
      <c r="G399">
        <v>196.8</v>
      </c>
      <c r="H399">
        <v>1.200542</v>
      </c>
      <c r="I399">
        <v>-0.20054197000000001</v>
      </c>
      <c r="J399">
        <v>0.45443352999999997</v>
      </c>
    </row>
    <row r="400" spans="1:10" x14ac:dyDescent="0.3">
      <c r="A400">
        <v>398</v>
      </c>
      <c r="B400">
        <v>9940</v>
      </c>
      <c r="C400" t="b">
        <v>1</v>
      </c>
      <c r="D400">
        <v>8077</v>
      </c>
      <c r="E400">
        <v>8105</v>
      </c>
      <c r="F400">
        <v>237.4</v>
      </c>
      <c r="G400">
        <v>196</v>
      </c>
      <c r="H400">
        <v>1.2112244000000001</v>
      </c>
      <c r="I400">
        <v>-0.21122445000000001</v>
      </c>
      <c r="J400">
        <v>0.45223809999999998</v>
      </c>
    </row>
    <row r="401" spans="1:10" x14ac:dyDescent="0.3">
      <c r="A401">
        <v>399</v>
      </c>
      <c r="B401">
        <v>9972</v>
      </c>
      <c r="C401" t="b">
        <v>1</v>
      </c>
      <c r="D401">
        <v>8088</v>
      </c>
      <c r="E401">
        <v>8123</v>
      </c>
      <c r="F401">
        <v>238.53334000000001</v>
      </c>
      <c r="G401">
        <v>195.6</v>
      </c>
      <c r="H401">
        <v>1.2194955000000001</v>
      </c>
      <c r="I401">
        <v>-0.21949556000000001</v>
      </c>
      <c r="J401">
        <v>0.45055282000000002</v>
      </c>
    </row>
    <row r="402" spans="1:10" x14ac:dyDescent="0.3">
      <c r="A402">
        <v>400</v>
      </c>
      <c r="B402">
        <v>10003</v>
      </c>
      <c r="C402" t="b">
        <v>1</v>
      </c>
      <c r="D402">
        <v>8083</v>
      </c>
      <c r="E402">
        <v>8075</v>
      </c>
      <c r="F402">
        <v>240.4</v>
      </c>
      <c r="G402">
        <v>194.4</v>
      </c>
      <c r="H402">
        <v>1.2366256</v>
      </c>
      <c r="I402">
        <v>-0.23662552000000001</v>
      </c>
      <c r="J402">
        <v>0.4471021</v>
      </c>
    </row>
    <row r="403" spans="1:10" x14ac:dyDescent="0.3">
      <c r="A403">
        <v>401</v>
      </c>
      <c r="B403">
        <v>10019</v>
      </c>
      <c r="C403" t="b">
        <v>1</v>
      </c>
      <c r="D403">
        <v>8083</v>
      </c>
      <c r="E403">
        <v>8111</v>
      </c>
      <c r="F403">
        <v>241.93333000000001</v>
      </c>
      <c r="G403">
        <v>194</v>
      </c>
      <c r="H403">
        <v>1.247079</v>
      </c>
      <c r="I403">
        <v>-0.24707904</v>
      </c>
      <c r="J403">
        <v>0.44502216999999999</v>
      </c>
    </row>
    <row r="404" spans="1:10" x14ac:dyDescent="0.3">
      <c r="A404">
        <v>402</v>
      </c>
      <c r="B404">
        <v>10035</v>
      </c>
      <c r="C404" t="b">
        <v>1</v>
      </c>
      <c r="D404">
        <v>8100</v>
      </c>
      <c r="E404">
        <v>8129</v>
      </c>
      <c r="F404">
        <v>243.46665999999999</v>
      </c>
      <c r="G404">
        <v>194</v>
      </c>
      <c r="H404">
        <v>1.2549828000000001</v>
      </c>
      <c r="I404">
        <v>-0.25498277000000003</v>
      </c>
      <c r="J404">
        <v>0.44346234000000001</v>
      </c>
    </row>
    <row r="405" spans="1:10" x14ac:dyDescent="0.3">
      <c r="A405">
        <v>403</v>
      </c>
      <c r="B405">
        <v>10051</v>
      </c>
      <c r="C405" t="b">
        <v>1</v>
      </c>
      <c r="D405">
        <v>8077</v>
      </c>
      <c r="E405">
        <v>8081</v>
      </c>
      <c r="F405">
        <v>243.46665999999999</v>
      </c>
      <c r="G405">
        <v>194</v>
      </c>
      <c r="H405">
        <v>1.2549828000000001</v>
      </c>
      <c r="I405">
        <v>-0.25498277000000003</v>
      </c>
      <c r="J405">
        <v>0.44346234000000001</v>
      </c>
    </row>
    <row r="406" spans="1:10" x14ac:dyDescent="0.3">
      <c r="A406">
        <v>404</v>
      </c>
      <c r="B406">
        <v>10083</v>
      </c>
      <c r="C406" t="b">
        <v>1</v>
      </c>
      <c r="D406">
        <v>8088</v>
      </c>
      <c r="E406">
        <v>8087</v>
      </c>
      <c r="F406">
        <v>243.46665999999999</v>
      </c>
      <c r="G406">
        <v>192.4</v>
      </c>
      <c r="H406">
        <v>1.2654192</v>
      </c>
      <c r="I406">
        <v>-0.26541926999999998</v>
      </c>
      <c r="J406">
        <v>0.44141942000000001</v>
      </c>
    </row>
    <row r="407" spans="1:10" x14ac:dyDescent="0.3">
      <c r="A407">
        <v>405</v>
      </c>
      <c r="B407">
        <v>10098</v>
      </c>
      <c r="C407" t="b">
        <v>1</v>
      </c>
      <c r="D407">
        <v>8071</v>
      </c>
      <c r="E407">
        <v>8105</v>
      </c>
      <c r="F407">
        <v>243.46665999999999</v>
      </c>
      <c r="G407">
        <v>192</v>
      </c>
      <c r="H407">
        <v>1.2680556000000001</v>
      </c>
      <c r="I407">
        <v>-0.26805552999999999</v>
      </c>
      <c r="J407">
        <v>0.44090629999999997</v>
      </c>
    </row>
    <row r="408" spans="1:10" x14ac:dyDescent="0.3">
      <c r="A408">
        <v>406</v>
      </c>
      <c r="B408">
        <v>10115</v>
      </c>
      <c r="C408" t="b">
        <v>1</v>
      </c>
      <c r="D408">
        <v>8060</v>
      </c>
      <c r="E408">
        <v>8099</v>
      </c>
      <c r="F408">
        <v>243.06666999999999</v>
      </c>
      <c r="G408">
        <v>192.4</v>
      </c>
      <c r="H408">
        <v>1.2633403999999999</v>
      </c>
      <c r="I408">
        <v>-0.26334030000000003</v>
      </c>
      <c r="J408">
        <v>0.44182484999999999</v>
      </c>
    </row>
    <row r="409" spans="1:10" x14ac:dyDescent="0.3">
      <c r="A409">
        <v>407</v>
      </c>
      <c r="B409">
        <v>10146</v>
      </c>
      <c r="C409" t="b">
        <v>1</v>
      </c>
      <c r="D409">
        <v>8077</v>
      </c>
      <c r="E409">
        <v>8105</v>
      </c>
      <c r="F409">
        <v>243.06666999999999</v>
      </c>
      <c r="G409">
        <v>191.6</v>
      </c>
      <c r="H409">
        <v>1.2686151000000001</v>
      </c>
      <c r="I409">
        <v>-0.26861512999999998</v>
      </c>
      <c r="J409">
        <v>0.44079753999999999</v>
      </c>
    </row>
    <row r="410" spans="1:10" x14ac:dyDescent="0.3">
      <c r="A410">
        <v>408</v>
      </c>
      <c r="B410">
        <v>10178</v>
      </c>
      <c r="C410" t="b">
        <v>1</v>
      </c>
      <c r="D410">
        <v>8071</v>
      </c>
      <c r="E410">
        <v>8087</v>
      </c>
      <c r="F410">
        <v>242.66667000000001</v>
      </c>
      <c r="G410">
        <v>190.8</v>
      </c>
      <c r="H410">
        <v>1.2718377999999999</v>
      </c>
      <c r="I410">
        <v>-0.27183790000000002</v>
      </c>
      <c r="J410">
        <v>0.44017225999999998</v>
      </c>
    </row>
    <row r="411" spans="1:10" x14ac:dyDescent="0.3">
      <c r="A411">
        <v>409</v>
      </c>
      <c r="B411">
        <v>10210</v>
      </c>
      <c r="C411" t="b">
        <v>1</v>
      </c>
      <c r="D411">
        <v>8083</v>
      </c>
      <c r="E411">
        <v>8105</v>
      </c>
      <c r="F411">
        <v>242.26666</v>
      </c>
      <c r="G411">
        <v>190.4</v>
      </c>
      <c r="H411">
        <v>1.2724089999999999</v>
      </c>
      <c r="I411">
        <v>-0.27240900000000001</v>
      </c>
      <c r="J411">
        <v>0.44006162999999998</v>
      </c>
    </row>
    <row r="412" spans="1:10" x14ac:dyDescent="0.3">
      <c r="A412">
        <v>410</v>
      </c>
      <c r="B412">
        <v>10242</v>
      </c>
      <c r="C412" t="b">
        <v>1</v>
      </c>
      <c r="D412">
        <v>8071</v>
      </c>
      <c r="E412">
        <v>8117</v>
      </c>
      <c r="F412">
        <v>241.86667</v>
      </c>
      <c r="G412">
        <v>189.6</v>
      </c>
      <c r="H412">
        <v>1.275668</v>
      </c>
      <c r="I412">
        <v>-0.27566805</v>
      </c>
      <c r="J412">
        <v>0.43943140000000003</v>
      </c>
    </row>
    <row r="413" spans="1:10" x14ac:dyDescent="0.3">
      <c r="A413">
        <v>411</v>
      </c>
      <c r="B413">
        <v>10258</v>
      </c>
      <c r="C413" t="b">
        <v>1</v>
      </c>
      <c r="D413">
        <v>8054</v>
      </c>
      <c r="E413">
        <v>8099</v>
      </c>
      <c r="F413">
        <v>240.73334</v>
      </c>
      <c r="G413">
        <v>188.8</v>
      </c>
      <c r="H413">
        <v>1.2750706999999999</v>
      </c>
      <c r="I413">
        <v>-0.2750706</v>
      </c>
      <c r="J413">
        <v>0.43954682</v>
      </c>
    </row>
    <row r="414" spans="1:10" x14ac:dyDescent="0.3">
      <c r="A414">
        <v>412</v>
      </c>
      <c r="B414">
        <v>10274</v>
      </c>
      <c r="C414" t="b">
        <v>1</v>
      </c>
      <c r="D414">
        <v>8077</v>
      </c>
      <c r="E414">
        <v>8093</v>
      </c>
      <c r="F414">
        <v>239.2</v>
      </c>
      <c r="G414">
        <v>187.6</v>
      </c>
      <c r="H414">
        <v>1.2750532999999999</v>
      </c>
      <c r="I414">
        <v>-0.27505322999999998</v>
      </c>
      <c r="J414">
        <v>0.43955016000000002</v>
      </c>
    </row>
    <row r="415" spans="1:10" x14ac:dyDescent="0.3">
      <c r="A415">
        <v>413</v>
      </c>
      <c r="B415">
        <v>10290</v>
      </c>
      <c r="C415" t="b">
        <v>1</v>
      </c>
      <c r="D415">
        <v>8094</v>
      </c>
      <c r="E415">
        <v>8099</v>
      </c>
      <c r="F415">
        <v>238.46665999999999</v>
      </c>
      <c r="G415">
        <v>187.2</v>
      </c>
      <c r="H415">
        <v>1.2738602999999999</v>
      </c>
      <c r="I415">
        <v>-0.2738604</v>
      </c>
      <c r="J415">
        <v>0.43978074</v>
      </c>
    </row>
    <row r="416" spans="1:10" x14ac:dyDescent="0.3">
      <c r="A416">
        <v>414</v>
      </c>
      <c r="B416">
        <v>10306</v>
      </c>
      <c r="C416" t="b">
        <v>1</v>
      </c>
      <c r="D416">
        <v>8100</v>
      </c>
      <c r="E416">
        <v>8117</v>
      </c>
      <c r="F416">
        <v>237.73334</v>
      </c>
      <c r="G416">
        <v>186.8</v>
      </c>
      <c r="H416">
        <v>1.2726624</v>
      </c>
      <c r="I416">
        <v>-0.27266236999999999</v>
      </c>
      <c r="J416">
        <v>0.44001256999999999</v>
      </c>
    </row>
    <row r="417" spans="1:10" x14ac:dyDescent="0.3">
      <c r="A417">
        <v>415</v>
      </c>
      <c r="B417">
        <v>10322</v>
      </c>
      <c r="C417" t="b">
        <v>1</v>
      </c>
      <c r="D417">
        <v>8071</v>
      </c>
      <c r="E417">
        <v>8129</v>
      </c>
      <c r="F417">
        <v>237</v>
      </c>
      <c r="G417">
        <v>186.8</v>
      </c>
      <c r="H417">
        <v>1.2687366</v>
      </c>
      <c r="I417">
        <v>-0.26873659999999999</v>
      </c>
      <c r="J417">
        <v>0.44077396000000002</v>
      </c>
    </row>
    <row r="418" spans="1:10" x14ac:dyDescent="0.3">
      <c r="A418">
        <v>416</v>
      </c>
      <c r="B418">
        <v>10338</v>
      </c>
      <c r="C418" t="b">
        <v>1</v>
      </c>
      <c r="D418">
        <v>8100</v>
      </c>
      <c r="E418">
        <v>8117</v>
      </c>
      <c r="F418">
        <v>237.73334</v>
      </c>
      <c r="G418">
        <v>187.6</v>
      </c>
      <c r="H418">
        <v>1.2672353000000001</v>
      </c>
      <c r="I418">
        <v>-0.26723522</v>
      </c>
      <c r="J418">
        <v>0.44106584999999998</v>
      </c>
    </row>
    <row r="419" spans="1:10" x14ac:dyDescent="0.3">
      <c r="A419">
        <v>417</v>
      </c>
      <c r="B419">
        <v>10354</v>
      </c>
      <c r="C419" t="b">
        <v>1</v>
      </c>
      <c r="D419">
        <v>8088</v>
      </c>
      <c r="E419">
        <v>8117</v>
      </c>
      <c r="F419">
        <v>238.46665999999999</v>
      </c>
      <c r="G419">
        <v>188</v>
      </c>
      <c r="H419">
        <v>1.2684397000000001</v>
      </c>
      <c r="I419">
        <v>-0.26843968000000001</v>
      </c>
      <c r="J419">
        <v>0.44083162999999997</v>
      </c>
    </row>
    <row r="420" spans="1:10" x14ac:dyDescent="0.3">
      <c r="A420">
        <v>418</v>
      </c>
      <c r="B420">
        <v>10370</v>
      </c>
      <c r="C420" t="b">
        <v>1</v>
      </c>
      <c r="D420">
        <v>8060</v>
      </c>
      <c r="E420">
        <v>8129</v>
      </c>
      <c r="F420">
        <v>238.8</v>
      </c>
      <c r="G420">
        <v>188.4</v>
      </c>
      <c r="H420">
        <v>1.2675160000000001</v>
      </c>
      <c r="I420">
        <v>-0.26751599999999998</v>
      </c>
      <c r="J420">
        <v>0.44101121999999998</v>
      </c>
    </row>
    <row r="421" spans="1:10" x14ac:dyDescent="0.3">
      <c r="A421">
        <v>419</v>
      </c>
      <c r="B421">
        <v>10402</v>
      </c>
      <c r="C421" t="b">
        <v>1</v>
      </c>
      <c r="D421">
        <v>8106</v>
      </c>
      <c r="E421">
        <v>8105</v>
      </c>
      <c r="F421">
        <v>239.13333</v>
      </c>
      <c r="G421">
        <v>190.4</v>
      </c>
      <c r="H421">
        <v>1.2559524</v>
      </c>
      <c r="I421">
        <v>-0.25595242000000001</v>
      </c>
      <c r="J421">
        <v>0.44327176000000001</v>
      </c>
    </row>
    <row r="422" spans="1:10" x14ac:dyDescent="0.3">
      <c r="A422">
        <v>420</v>
      </c>
      <c r="B422">
        <v>10433</v>
      </c>
      <c r="C422" t="b">
        <v>1</v>
      </c>
      <c r="D422">
        <v>8077</v>
      </c>
      <c r="E422">
        <v>8105</v>
      </c>
      <c r="F422">
        <v>239.46665999999999</v>
      </c>
      <c r="G422">
        <v>191.2</v>
      </c>
      <c r="H422">
        <v>1.2524407</v>
      </c>
      <c r="I422">
        <v>-0.25244072000000001</v>
      </c>
      <c r="J422">
        <v>0.44396284000000003</v>
      </c>
    </row>
    <row r="423" spans="1:10" x14ac:dyDescent="0.3">
      <c r="A423">
        <v>421</v>
      </c>
      <c r="B423">
        <v>10465</v>
      </c>
      <c r="C423" t="b">
        <v>1</v>
      </c>
      <c r="D423">
        <v>8077</v>
      </c>
      <c r="E423">
        <v>8117</v>
      </c>
      <c r="F423">
        <v>239.46665999999999</v>
      </c>
      <c r="G423">
        <v>192.4</v>
      </c>
      <c r="H423">
        <v>1.2446292999999999</v>
      </c>
      <c r="I423">
        <v>-0.24462924999999999</v>
      </c>
      <c r="J423">
        <v>0.44550788000000002</v>
      </c>
    </row>
    <row r="424" spans="1:10" x14ac:dyDescent="0.3">
      <c r="A424">
        <v>422</v>
      </c>
      <c r="B424">
        <v>10498</v>
      </c>
      <c r="C424" t="b">
        <v>1</v>
      </c>
      <c r="D424">
        <v>8083</v>
      </c>
      <c r="E424">
        <v>8117</v>
      </c>
      <c r="F424">
        <v>239.46665999999999</v>
      </c>
      <c r="G424">
        <v>193.6</v>
      </c>
      <c r="H424">
        <v>1.2369144999999999</v>
      </c>
      <c r="I424">
        <v>-0.23691453000000001</v>
      </c>
      <c r="J424">
        <v>0.44704437000000002</v>
      </c>
    </row>
    <row r="425" spans="1:10" x14ac:dyDescent="0.3">
      <c r="A425">
        <v>423</v>
      </c>
      <c r="B425">
        <v>10528</v>
      </c>
      <c r="C425" t="b">
        <v>1</v>
      </c>
      <c r="D425">
        <v>8065</v>
      </c>
      <c r="E425">
        <v>8093</v>
      </c>
      <c r="F425">
        <v>239.86667</v>
      </c>
      <c r="G425">
        <v>194</v>
      </c>
      <c r="H425">
        <v>1.2364261000000001</v>
      </c>
      <c r="I425">
        <v>-0.23642613000000001</v>
      </c>
      <c r="J425">
        <v>0.44714197999999999</v>
      </c>
    </row>
    <row r="426" spans="1:10" x14ac:dyDescent="0.3">
      <c r="A426">
        <v>424</v>
      </c>
      <c r="B426">
        <v>10560</v>
      </c>
      <c r="C426" t="b">
        <v>1</v>
      </c>
      <c r="D426">
        <v>8083</v>
      </c>
      <c r="E426">
        <v>8129</v>
      </c>
      <c r="F426">
        <v>240.26666</v>
      </c>
      <c r="G426">
        <v>194.8</v>
      </c>
      <c r="H426">
        <v>1.2334018</v>
      </c>
      <c r="I426">
        <v>-0.23340174999999999</v>
      </c>
      <c r="J426">
        <v>0.44774750000000002</v>
      </c>
    </row>
    <row r="427" spans="1:10" x14ac:dyDescent="0.3">
      <c r="A427">
        <v>425</v>
      </c>
      <c r="B427">
        <v>10591</v>
      </c>
      <c r="C427" t="b">
        <v>1</v>
      </c>
      <c r="D427">
        <v>8088</v>
      </c>
      <c r="E427">
        <v>8140</v>
      </c>
      <c r="F427">
        <v>241.06666999999999</v>
      </c>
      <c r="G427">
        <v>195.6</v>
      </c>
      <c r="H427">
        <v>1.2324470999999999</v>
      </c>
      <c r="I427">
        <v>-0.23244713</v>
      </c>
      <c r="J427">
        <v>0.44793892000000002</v>
      </c>
    </row>
    <row r="428" spans="1:10" x14ac:dyDescent="0.3">
      <c r="A428">
        <v>426</v>
      </c>
      <c r="B428">
        <v>10623</v>
      </c>
      <c r="C428" t="b">
        <v>1</v>
      </c>
      <c r="D428">
        <v>8083</v>
      </c>
      <c r="E428">
        <v>8117</v>
      </c>
      <c r="F428">
        <v>241.86667</v>
      </c>
      <c r="G428">
        <v>196.4</v>
      </c>
      <c r="H428">
        <v>1.2315004000000001</v>
      </c>
      <c r="I428">
        <v>-0.23150039</v>
      </c>
      <c r="J428">
        <v>0.44812897000000002</v>
      </c>
    </row>
    <row r="429" spans="1:10" x14ac:dyDescent="0.3">
      <c r="A429">
        <v>427</v>
      </c>
      <c r="B429">
        <v>10639</v>
      </c>
      <c r="C429" t="b">
        <v>1</v>
      </c>
      <c r="D429">
        <v>8077</v>
      </c>
      <c r="E429">
        <v>8117</v>
      </c>
      <c r="F429">
        <v>242.66667000000001</v>
      </c>
      <c r="G429">
        <v>197.6</v>
      </c>
      <c r="H429">
        <v>1.2280701000000001</v>
      </c>
      <c r="I429">
        <v>-0.22807016999999999</v>
      </c>
      <c r="J429">
        <v>0.44881892000000001</v>
      </c>
    </row>
    <row r="430" spans="1:10" x14ac:dyDescent="0.3">
      <c r="A430">
        <v>428</v>
      </c>
      <c r="B430">
        <v>10670</v>
      </c>
      <c r="C430" t="b">
        <v>1</v>
      </c>
      <c r="D430">
        <v>8060</v>
      </c>
      <c r="E430">
        <v>8099</v>
      </c>
      <c r="F430">
        <v>243.06666999999999</v>
      </c>
      <c r="G430">
        <v>198.8</v>
      </c>
      <c r="H430">
        <v>1.2226694</v>
      </c>
      <c r="I430">
        <v>-0.22266932</v>
      </c>
      <c r="J430">
        <v>0.44990947999999997</v>
      </c>
    </row>
    <row r="431" spans="1:10" x14ac:dyDescent="0.3">
      <c r="A431">
        <v>429</v>
      </c>
      <c r="B431">
        <v>10702</v>
      </c>
      <c r="C431" t="b">
        <v>1</v>
      </c>
      <c r="D431">
        <v>8065</v>
      </c>
      <c r="E431">
        <v>8111</v>
      </c>
      <c r="F431">
        <v>243.06666999999999</v>
      </c>
      <c r="G431">
        <v>200</v>
      </c>
      <c r="H431">
        <v>1.2153332999999999</v>
      </c>
      <c r="I431">
        <v>-0.21533332999999999</v>
      </c>
      <c r="J431">
        <v>0.45139936000000003</v>
      </c>
    </row>
    <row r="432" spans="1:10" x14ac:dyDescent="0.3">
      <c r="A432">
        <v>430</v>
      </c>
      <c r="B432">
        <v>10734</v>
      </c>
      <c r="C432" t="b">
        <v>1</v>
      </c>
      <c r="D432">
        <v>8071</v>
      </c>
      <c r="E432">
        <v>8111</v>
      </c>
      <c r="F432">
        <v>242.66667000000001</v>
      </c>
      <c r="G432">
        <v>200.8</v>
      </c>
      <c r="H432">
        <v>1.2084992999999999</v>
      </c>
      <c r="I432">
        <v>-0.20849934000000001</v>
      </c>
      <c r="J432">
        <v>0.45279616</v>
      </c>
    </row>
    <row r="433" spans="1:10" x14ac:dyDescent="0.3">
      <c r="A433">
        <v>431</v>
      </c>
      <c r="B433">
        <v>10750</v>
      </c>
      <c r="C433" t="b">
        <v>1</v>
      </c>
      <c r="D433">
        <v>8083</v>
      </c>
      <c r="E433">
        <v>8105</v>
      </c>
      <c r="F433">
        <v>241.13333</v>
      </c>
      <c r="G433">
        <v>200.4</v>
      </c>
      <c r="H433">
        <v>1.2032601999999999</v>
      </c>
      <c r="I433">
        <v>-0.20326016999999999</v>
      </c>
      <c r="J433">
        <v>0.45387285999999999</v>
      </c>
    </row>
    <row r="434" spans="1:10" x14ac:dyDescent="0.3">
      <c r="A434">
        <v>432</v>
      </c>
      <c r="B434">
        <v>10766</v>
      </c>
      <c r="C434" t="b">
        <v>1</v>
      </c>
      <c r="D434">
        <v>8083</v>
      </c>
      <c r="E434">
        <v>8123</v>
      </c>
      <c r="F434">
        <v>239.6</v>
      </c>
      <c r="G434">
        <v>200</v>
      </c>
      <c r="H434">
        <v>1.1980001</v>
      </c>
      <c r="I434">
        <v>-0.19800002999999999</v>
      </c>
      <c r="J434">
        <v>0.45495902999999999</v>
      </c>
    </row>
    <row r="435" spans="1:10" x14ac:dyDescent="0.3">
      <c r="A435">
        <v>433</v>
      </c>
      <c r="B435">
        <v>10781</v>
      </c>
      <c r="C435" t="b">
        <v>1</v>
      </c>
      <c r="D435">
        <v>8077</v>
      </c>
      <c r="E435">
        <v>8111</v>
      </c>
      <c r="F435">
        <v>238.86667</v>
      </c>
      <c r="G435">
        <v>199.6</v>
      </c>
      <c r="H435">
        <v>1.1967268</v>
      </c>
      <c r="I435">
        <v>-0.19672675000000001</v>
      </c>
      <c r="J435">
        <v>0.45522276</v>
      </c>
    </row>
    <row r="436" spans="1:10" x14ac:dyDescent="0.3">
      <c r="A436">
        <v>434</v>
      </c>
      <c r="B436">
        <v>10814</v>
      </c>
      <c r="C436" t="b">
        <v>1</v>
      </c>
      <c r="D436">
        <v>8088</v>
      </c>
      <c r="E436">
        <v>8093</v>
      </c>
      <c r="F436">
        <v>238.53334000000001</v>
      </c>
      <c r="G436">
        <v>199.2</v>
      </c>
      <c r="H436">
        <v>1.1974566</v>
      </c>
      <c r="I436">
        <v>-0.19745655000000001</v>
      </c>
      <c r="J436">
        <v>0.45507156999999998</v>
      </c>
    </row>
    <row r="437" spans="1:10" x14ac:dyDescent="0.3">
      <c r="A437">
        <v>435</v>
      </c>
      <c r="B437">
        <v>10845</v>
      </c>
      <c r="C437" t="b">
        <v>1</v>
      </c>
      <c r="D437">
        <v>8071</v>
      </c>
      <c r="E437">
        <v>8129</v>
      </c>
      <c r="F437">
        <v>238.2</v>
      </c>
      <c r="G437">
        <v>198.8</v>
      </c>
      <c r="H437">
        <v>1.1981891</v>
      </c>
      <c r="I437">
        <v>-0.19818910000000001</v>
      </c>
      <c r="J437">
        <v>0.45491989999999999</v>
      </c>
    </row>
    <row r="438" spans="1:10" x14ac:dyDescent="0.3">
      <c r="A438">
        <v>436</v>
      </c>
      <c r="B438">
        <v>10876</v>
      </c>
      <c r="C438" t="b">
        <v>1</v>
      </c>
      <c r="D438">
        <v>8100</v>
      </c>
      <c r="E438">
        <v>8117</v>
      </c>
      <c r="F438">
        <v>238.6</v>
      </c>
      <c r="G438">
        <v>198.8</v>
      </c>
      <c r="H438">
        <v>1.2002013</v>
      </c>
      <c r="I438">
        <v>-0.20020120999999999</v>
      </c>
      <c r="J438">
        <v>0.45450385999999998</v>
      </c>
    </row>
    <row r="439" spans="1:10" x14ac:dyDescent="0.3">
      <c r="A439">
        <v>437</v>
      </c>
      <c r="B439">
        <v>10892</v>
      </c>
      <c r="C439" t="b">
        <v>1</v>
      </c>
      <c r="D439">
        <v>8071</v>
      </c>
      <c r="E439">
        <v>8146</v>
      </c>
      <c r="F439">
        <v>238.6</v>
      </c>
      <c r="G439">
        <v>198.8</v>
      </c>
      <c r="H439">
        <v>1.2002013</v>
      </c>
      <c r="I439">
        <v>-0.20020120999999999</v>
      </c>
      <c r="J439">
        <v>0.45450385999999998</v>
      </c>
    </row>
    <row r="440" spans="1:10" x14ac:dyDescent="0.3">
      <c r="A440">
        <v>438</v>
      </c>
      <c r="B440">
        <v>10924</v>
      </c>
      <c r="C440" t="b">
        <v>1</v>
      </c>
      <c r="D440">
        <v>8088</v>
      </c>
      <c r="E440">
        <v>8117</v>
      </c>
      <c r="F440">
        <v>239.33332999999999</v>
      </c>
      <c r="G440">
        <v>199.6</v>
      </c>
      <c r="H440">
        <v>1.1990647000000001</v>
      </c>
      <c r="I440">
        <v>-0.19906473</v>
      </c>
      <c r="J440">
        <v>0.45473877000000001</v>
      </c>
    </row>
    <row r="441" spans="1:10" x14ac:dyDescent="0.3">
      <c r="A441">
        <v>439</v>
      </c>
      <c r="B441">
        <v>10955</v>
      </c>
      <c r="C441" t="b">
        <v>1</v>
      </c>
      <c r="D441">
        <v>8094</v>
      </c>
      <c r="E441">
        <v>8111</v>
      </c>
      <c r="F441">
        <v>240.06666999999999</v>
      </c>
      <c r="G441">
        <v>199.6</v>
      </c>
      <c r="H441">
        <v>1.2027388000000001</v>
      </c>
      <c r="I441">
        <v>-0.20273875999999999</v>
      </c>
      <c r="J441">
        <v>0.45398027000000002</v>
      </c>
    </row>
    <row r="442" spans="1:10" x14ac:dyDescent="0.3">
      <c r="A442">
        <v>440</v>
      </c>
      <c r="B442">
        <v>10988</v>
      </c>
      <c r="C442" t="b">
        <v>1</v>
      </c>
      <c r="D442">
        <v>8083</v>
      </c>
      <c r="E442">
        <v>8117</v>
      </c>
      <c r="F442">
        <v>240.4</v>
      </c>
      <c r="G442">
        <v>199.6</v>
      </c>
      <c r="H442">
        <v>1.2044087999999999</v>
      </c>
      <c r="I442">
        <v>-0.20440875</v>
      </c>
      <c r="J442">
        <v>0.45363638000000001</v>
      </c>
    </row>
    <row r="443" spans="1:10" x14ac:dyDescent="0.3">
      <c r="A443">
        <v>441</v>
      </c>
      <c r="B443">
        <v>11019</v>
      </c>
      <c r="C443" t="b">
        <v>1</v>
      </c>
      <c r="D443">
        <v>8088</v>
      </c>
      <c r="E443">
        <v>8111</v>
      </c>
      <c r="F443">
        <v>240.73334</v>
      </c>
      <c r="G443">
        <v>199.6</v>
      </c>
      <c r="H443">
        <v>1.2060788</v>
      </c>
      <c r="I443">
        <v>-0.20607881</v>
      </c>
      <c r="J443">
        <v>0.45329297000000002</v>
      </c>
    </row>
    <row r="444" spans="1:10" x14ac:dyDescent="0.3">
      <c r="A444">
        <v>442</v>
      </c>
      <c r="B444">
        <v>11035</v>
      </c>
      <c r="C444" t="b">
        <v>1</v>
      </c>
      <c r="D444">
        <v>8088</v>
      </c>
      <c r="E444">
        <v>8111</v>
      </c>
      <c r="F444">
        <v>241.06666999999999</v>
      </c>
      <c r="G444">
        <v>199.2</v>
      </c>
      <c r="H444">
        <v>1.2101740999999999</v>
      </c>
      <c r="I444">
        <v>-0.21017404000000001</v>
      </c>
      <c r="J444">
        <v>0.45245305000000002</v>
      </c>
    </row>
    <row r="445" spans="1:10" x14ac:dyDescent="0.3">
      <c r="A445">
        <v>443</v>
      </c>
      <c r="B445">
        <v>11051</v>
      </c>
      <c r="C445" t="b">
        <v>1</v>
      </c>
      <c r="D445">
        <v>8054</v>
      </c>
      <c r="E445">
        <v>8105</v>
      </c>
      <c r="F445">
        <v>241.4</v>
      </c>
      <c r="G445">
        <v>198.8</v>
      </c>
      <c r="H445">
        <v>1.2142856</v>
      </c>
      <c r="I445">
        <v>-0.21428567000000001</v>
      </c>
      <c r="J445">
        <v>0.45161289999999998</v>
      </c>
    </row>
    <row r="446" spans="1:10" x14ac:dyDescent="0.3">
      <c r="A446">
        <v>444</v>
      </c>
      <c r="B446">
        <v>11067</v>
      </c>
      <c r="C446" t="b">
        <v>1</v>
      </c>
      <c r="D446">
        <v>8100</v>
      </c>
      <c r="E446">
        <v>8105</v>
      </c>
      <c r="F446">
        <v>242.13333</v>
      </c>
      <c r="G446">
        <v>198.4</v>
      </c>
      <c r="H446">
        <v>1.2204301</v>
      </c>
      <c r="I446">
        <v>-0.22043014</v>
      </c>
      <c r="J446">
        <v>0.45036320000000002</v>
      </c>
    </row>
    <row r="447" spans="1:10" x14ac:dyDescent="0.3">
      <c r="A447">
        <v>445</v>
      </c>
      <c r="B447">
        <v>11083</v>
      </c>
      <c r="C447" t="b">
        <v>1</v>
      </c>
      <c r="D447">
        <v>8094</v>
      </c>
      <c r="E447">
        <v>8081</v>
      </c>
      <c r="F447">
        <v>243.26666</v>
      </c>
      <c r="G447">
        <v>198</v>
      </c>
      <c r="H447">
        <v>1.2286195</v>
      </c>
      <c r="I447">
        <v>-0.2286195</v>
      </c>
      <c r="J447">
        <v>0.44870827000000002</v>
      </c>
    </row>
    <row r="448" spans="1:10" x14ac:dyDescent="0.3">
      <c r="A448">
        <v>446</v>
      </c>
      <c r="B448">
        <v>11099</v>
      </c>
      <c r="C448" t="b">
        <v>1</v>
      </c>
      <c r="D448">
        <v>8088</v>
      </c>
      <c r="E448">
        <v>8099</v>
      </c>
      <c r="F448">
        <v>244.4</v>
      </c>
      <c r="G448">
        <v>197.6</v>
      </c>
      <c r="H448">
        <v>1.236842</v>
      </c>
      <c r="I448">
        <v>-0.23684204</v>
      </c>
      <c r="J448">
        <v>0.44705883000000002</v>
      </c>
    </row>
    <row r="449" spans="1:10" x14ac:dyDescent="0.3">
      <c r="A449">
        <v>447</v>
      </c>
      <c r="B449">
        <v>11115</v>
      </c>
      <c r="C449" t="b">
        <v>1</v>
      </c>
      <c r="D449">
        <v>8065</v>
      </c>
      <c r="E449">
        <v>8111</v>
      </c>
      <c r="F449">
        <v>245.53334000000001</v>
      </c>
      <c r="G449">
        <v>197.2</v>
      </c>
      <c r="H449">
        <v>1.2450981000000001</v>
      </c>
      <c r="I449">
        <v>-0.24509810000000001</v>
      </c>
      <c r="J449">
        <v>0.44541483999999998</v>
      </c>
    </row>
    <row r="450" spans="1:10" x14ac:dyDescent="0.3">
      <c r="A450">
        <v>448</v>
      </c>
      <c r="B450">
        <v>11146</v>
      </c>
      <c r="C450" t="b">
        <v>1</v>
      </c>
      <c r="D450">
        <v>8077</v>
      </c>
      <c r="E450">
        <v>8129</v>
      </c>
      <c r="F450">
        <v>246.26666</v>
      </c>
      <c r="G450">
        <v>196.8</v>
      </c>
      <c r="H450">
        <v>1.2513548999999999</v>
      </c>
      <c r="I450">
        <v>-0.25135496000000002</v>
      </c>
      <c r="J450">
        <v>0.44417697</v>
      </c>
    </row>
    <row r="451" spans="1:10" x14ac:dyDescent="0.3">
      <c r="A451">
        <v>449</v>
      </c>
      <c r="B451">
        <v>11162</v>
      </c>
      <c r="C451" t="b">
        <v>1</v>
      </c>
      <c r="D451">
        <v>8077</v>
      </c>
      <c r="E451">
        <v>8123</v>
      </c>
      <c r="F451">
        <v>245.86667</v>
      </c>
      <c r="G451">
        <v>196.8</v>
      </c>
      <c r="H451">
        <v>1.2493224999999999</v>
      </c>
      <c r="I451">
        <v>-0.24932249000000001</v>
      </c>
      <c r="J451">
        <v>0.44457829999999998</v>
      </c>
    </row>
    <row r="452" spans="1:10" x14ac:dyDescent="0.3">
      <c r="A452">
        <v>450</v>
      </c>
      <c r="B452">
        <v>11194</v>
      </c>
      <c r="C452" t="b">
        <v>1</v>
      </c>
      <c r="D452">
        <v>8077</v>
      </c>
      <c r="E452">
        <v>8117</v>
      </c>
      <c r="F452">
        <v>245.46665999999999</v>
      </c>
      <c r="G452">
        <v>197.2</v>
      </c>
      <c r="H452">
        <v>1.2447599</v>
      </c>
      <c r="I452">
        <v>-0.24475996</v>
      </c>
      <c r="J452">
        <v>0.44548193000000003</v>
      </c>
    </row>
    <row r="453" spans="1:10" x14ac:dyDescent="0.3">
      <c r="A453">
        <v>451</v>
      </c>
      <c r="B453">
        <v>11226</v>
      </c>
      <c r="C453" t="b">
        <v>1</v>
      </c>
      <c r="D453">
        <v>8054</v>
      </c>
      <c r="E453">
        <v>8123</v>
      </c>
      <c r="F453">
        <v>245.06666999999999</v>
      </c>
      <c r="G453">
        <v>197.6</v>
      </c>
      <c r="H453">
        <v>1.2402158999999999</v>
      </c>
      <c r="I453">
        <v>-0.24021587999999999</v>
      </c>
      <c r="J453">
        <v>0.44638552999999997</v>
      </c>
    </row>
    <row r="454" spans="1:10" x14ac:dyDescent="0.3">
      <c r="A454">
        <v>452</v>
      </c>
      <c r="B454">
        <v>11257</v>
      </c>
      <c r="C454" t="b">
        <v>1</v>
      </c>
      <c r="D454">
        <v>8088</v>
      </c>
      <c r="E454">
        <v>8117</v>
      </c>
      <c r="F454">
        <v>245.06666999999999</v>
      </c>
      <c r="G454">
        <v>198</v>
      </c>
      <c r="H454">
        <v>1.2377104999999999</v>
      </c>
      <c r="I454">
        <v>-0.23771043</v>
      </c>
      <c r="J454">
        <v>0.44688535000000001</v>
      </c>
    </row>
    <row r="455" spans="1:10" x14ac:dyDescent="0.3">
      <c r="A455">
        <v>453</v>
      </c>
      <c r="B455">
        <v>11273</v>
      </c>
      <c r="C455" t="b">
        <v>1</v>
      </c>
      <c r="D455">
        <v>8077</v>
      </c>
      <c r="E455">
        <v>8081</v>
      </c>
      <c r="F455">
        <v>244.33332999999999</v>
      </c>
      <c r="G455">
        <v>198</v>
      </c>
      <c r="H455">
        <v>1.2340068</v>
      </c>
      <c r="I455">
        <v>-0.23400670000000001</v>
      </c>
      <c r="J455">
        <v>0.44762623000000001</v>
      </c>
    </row>
    <row r="456" spans="1:10" x14ac:dyDescent="0.3">
      <c r="A456">
        <v>454</v>
      </c>
      <c r="B456">
        <v>11304</v>
      </c>
      <c r="C456" t="b">
        <v>1</v>
      </c>
      <c r="D456">
        <v>8071</v>
      </c>
      <c r="E456">
        <v>8111</v>
      </c>
      <c r="F456">
        <v>243.6</v>
      </c>
      <c r="G456">
        <v>198</v>
      </c>
      <c r="H456">
        <v>1.2303029999999999</v>
      </c>
      <c r="I456">
        <v>-0.23030306</v>
      </c>
      <c r="J456">
        <v>0.44836956</v>
      </c>
    </row>
    <row r="457" spans="1:10" x14ac:dyDescent="0.3">
      <c r="A457">
        <v>455</v>
      </c>
      <c r="B457">
        <v>11320</v>
      </c>
      <c r="C457" t="b">
        <v>1</v>
      </c>
      <c r="D457">
        <v>8088</v>
      </c>
      <c r="E457">
        <v>8117</v>
      </c>
      <c r="F457">
        <v>242.86667</v>
      </c>
      <c r="G457">
        <v>198</v>
      </c>
      <c r="H457">
        <v>1.2265992999999999</v>
      </c>
      <c r="I457">
        <v>-0.22659934000000001</v>
      </c>
      <c r="J457">
        <v>0.44911537000000001</v>
      </c>
    </row>
    <row r="458" spans="1:10" x14ac:dyDescent="0.3">
      <c r="A458">
        <v>456</v>
      </c>
      <c r="B458">
        <v>11336</v>
      </c>
      <c r="C458" t="b">
        <v>1</v>
      </c>
      <c r="D458">
        <v>8083</v>
      </c>
      <c r="E458">
        <v>8105</v>
      </c>
      <c r="F458">
        <v>242.53334000000001</v>
      </c>
      <c r="G458">
        <v>197.6</v>
      </c>
      <c r="H458">
        <v>1.2273954</v>
      </c>
      <c r="I458">
        <v>-0.22739541999999999</v>
      </c>
      <c r="J458">
        <v>0.44895485000000002</v>
      </c>
    </row>
    <row r="459" spans="1:10" x14ac:dyDescent="0.3">
      <c r="A459">
        <v>457</v>
      </c>
      <c r="B459">
        <v>11352</v>
      </c>
      <c r="C459" t="b">
        <v>1</v>
      </c>
      <c r="D459">
        <v>8083</v>
      </c>
      <c r="E459">
        <v>8111</v>
      </c>
      <c r="F459">
        <v>242.2</v>
      </c>
      <c r="G459">
        <v>197.6</v>
      </c>
      <c r="H459">
        <v>1.2257085000000001</v>
      </c>
      <c r="I459">
        <v>-0.22570845</v>
      </c>
      <c r="J459">
        <v>0.44929516000000003</v>
      </c>
    </row>
    <row r="460" spans="1:10" x14ac:dyDescent="0.3">
      <c r="A460">
        <v>458</v>
      </c>
      <c r="B460">
        <v>11368</v>
      </c>
      <c r="C460" t="b">
        <v>1</v>
      </c>
      <c r="D460">
        <v>8088</v>
      </c>
      <c r="E460">
        <v>8129</v>
      </c>
      <c r="F460">
        <v>241.86667</v>
      </c>
      <c r="G460">
        <v>197.6</v>
      </c>
      <c r="H460">
        <v>1.2240215999999999</v>
      </c>
      <c r="I460">
        <v>-0.22402157</v>
      </c>
      <c r="J460">
        <v>0.44963592000000002</v>
      </c>
    </row>
    <row r="461" spans="1:10" x14ac:dyDescent="0.3">
      <c r="A461">
        <v>459</v>
      </c>
      <c r="B461">
        <v>11384</v>
      </c>
      <c r="C461" t="b">
        <v>1</v>
      </c>
      <c r="D461">
        <v>8077</v>
      </c>
      <c r="E461">
        <v>8129</v>
      </c>
      <c r="F461">
        <v>241.53334000000001</v>
      </c>
      <c r="G461">
        <v>198</v>
      </c>
      <c r="H461">
        <v>1.2198652999999999</v>
      </c>
      <c r="I461">
        <v>-0.21986534999999999</v>
      </c>
      <c r="J461">
        <v>0.45047777999999999</v>
      </c>
    </row>
    <row r="462" spans="1:10" x14ac:dyDescent="0.3">
      <c r="A462">
        <v>460</v>
      </c>
      <c r="B462">
        <v>11399</v>
      </c>
      <c r="C462" t="b">
        <v>1</v>
      </c>
      <c r="D462">
        <v>8065</v>
      </c>
      <c r="E462">
        <v>8129</v>
      </c>
      <c r="F462">
        <v>241.2</v>
      </c>
      <c r="G462">
        <v>199.6</v>
      </c>
      <c r="H462">
        <v>1.2084168</v>
      </c>
      <c r="I462">
        <v>-0.20841677</v>
      </c>
      <c r="J462">
        <v>0.45281310000000002</v>
      </c>
    </row>
    <row r="463" spans="1:10" x14ac:dyDescent="0.3">
      <c r="A463">
        <v>461</v>
      </c>
      <c r="B463">
        <v>11415</v>
      </c>
      <c r="C463" t="b">
        <v>1</v>
      </c>
      <c r="D463">
        <v>8083</v>
      </c>
      <c r="E463">
        <v>8111</v>
      </c>
      <c r="F463">
        <v>240.86667</v>
      </c>
      <c r="G463">
        <v>201.2</v>
      </c>
      <c r="H463">
        <v>1.1971505</v>
      </c>
      <c r="I463">
        <v>-0.19715045</v>
      </c>
      <c r="J463">
        <v>0.45513500000000001</v>
      </c>
    </row>
    <row r="464" spans="1:10" x14ac:dyDescent="0.3">
      <c r="A464">
        <v>462</v>
      </c>
      <c r="B464">
        <v>11431</v>
      </c>
      <c r="C464" t="b">
        <v>1</v>
      </c>
      <c r="D464">
        <v>8100</v>
      </c>
      <c r="E464">
        <v>8105</v>
      </c>
      <c r="F464">
        <v>240.53334000000001</v>
      </c>
      <c r="G464">
        <v>202.8</v>
      </c>
      <c r="H464">
        <v>1.1860618999999999</v>
      </c>
      <c r="I464">
        <v>-0.18606180999999999</v>
      </c>
      <c r="J464">
        <v>0.45744360000000001</v>
      </c>
    </row>
    <row r="465" spans="1:10" x14ac:dyDescent="0.3">
      <c r="A465">
        <v>463</v>
      </c>
      <c r="B465">
        <v>11447</v>
      </c>
      <c r="C465" t="b">
        <v>1</v>
      </c>
      <c r="D465">
        <v>8088</v>
      </c>
      <c r="E465">
        <v>8129</v>
      </c>
      <c r="F465">
        <v>240.2</v>
      </c>
      <c r="G465">
        <v>204.4</v>
      </c>
      <c r="H465">
        <v>1.1751468</v>
      </c>
      <c r="I465">
        <v>-0.17514679</v>
      </c>
      <c r="J465">
        <v>0.45973910000000001</v>
      </c>
    </row>
    <row r="466" spans="1:10" x14ac:dyDescent="0.3">
      <c r="A466">
        <v>464</v>
      </c>
      <c r="B466">
        <v>11463</v>
      </c>
      <c r="C466" t="b">
        <v>1</v>
      </c>
      <c r="D466">
        <v>8065</v>
      </c>
      <c r="E466">
        <v>8134</v>
      </c>
      <c r="F466">
        <v>240.6</v>
      </c>
      <c r="G466">
        <v>205.6</v>
      </c>
      <c r="H466">
        <v>1.1702334999999999</v>
      </c>
      <c r="I466">
        <v>-0.17023346</v>
      </c>
      <c r="J466">
        <v>0.46077994</v>
      </c>
    </row>
    <row r="467" spans="1:10" x14ac:dyDescent="0.3">
      <c r="A467">
        <v>465</v>
      </c>
      <c r="B467">
        <v>11495</v>
      </c>
      <c r="C467" t="b">
        <v>1</v>
      </c>
      <c r="D467">
        <v>8077</v>
      </c>
      <c r="E467">
        <v>8105</v>
      </c>
      <c r="F467">
        <v>241</v>
      </c>
      <c r="G467">
        <v>205.2</v>
      </c>
      <c r="H467">
        <v>1.174464</v>
      </c>
      <c r="I467">
        <v>-0.17446396</v>
      </c>
      <c r="J467">
        <v>0.45988345000000003</v>
      </c>
    </row>
    <row r="468" spans="1:10" x14ac:dyDescent="0.3">
      <c r="A468">
        <v>466</v>
      </c>
      <c r="B468">
        <v>11527</v>
      </c>
      <c r="C468" t="b">
        <v>1</v>
      </c>
      <c r="D468">
        <v>8094</v>
      </c>
      <c r="E468">
        <v>8099</v>
      </c>
      <c r="F468">
        <v>241.73334</v>
      </c>
      <c r="G468">
        <v>204</v>
      </c>
      <c r="H468">
        <v>1.1849673999999999</v>
      </c>
      <c r="I468">
        <v>-0.18496734000000001</v>
      </c>
      <c r="J468">
        <v>0.45767274000000002</v>
      </c>
    </row>
    <row r="469" spans="1:10" x14ac:dyDescent="0.3">
      <c r="A469">
        <v>467</v>
      </c>
      <c r="B469">
        <v>11558</v>
      </c>
      <c r="C469" t="b">
        <v>1</v>
      </c>
      <c r="D469">
        <v>8048</v>
      </c>
      <c r="E469">
        <v>8123</v>
      </c>
      <c r="F469">
        <v>241.73334</v>
      </c>
      <c r="G469">
        <v>204</v>
      </c>
      <c r="H469">
        <v>1.1849673999999999</v>
      </c>
      <c r="I469">
        <v>-0.18496734000000001</v>
      </c>
      <c r="J469">
        <v>0.45767274000000002</v>
      </c>
    </row>
    <row r="470" spans="1:10" x14ac:dyDescent="0.3">
      <c r="A470">
        <v>468</v>
      </c>
      <c r="B470">
        <v>11590</v>
      </c>
      <c r="C470" t="b">
        <v>1</v>
      </c>
      <c r="D470">
        <v>8065</v>
      </c>
      <c r="E470">
        <v>8105</v>
      </c>
      <c r="F470">
        <v>240.93333000000001</v>
      </c>
      <c r="G470">
        <v>203.2</v>
      </c>
      <c r="H470">
        <v>1.1856955</v>
      </c>
      <c r="I470">
        <v>-0.18569556000000001</v>
      </c>
      <c r="J470">
        <v>0.45752025000000002</v>
      </c>
    </row>
    <row r="471" spans="1:10" x14ac:dyDescent="0.3">
      <c r="A471">
        <v>469</v>
      </c>
      <c r="B471">
        <v>11622</v>
      </c>
      <c r="C471" t="b">
        <v>1</v>
      </c>
      <c r="D471">
        <v>8083</v>
      </c>
      <c r="E471">
        <v>8134</v>
      </c>
      <c r="F471">
        <v>240.93333000000001</v>
      </c>
      <c r="G471">
        <v>202.4</v>
      </c>
      <c r="H471">
        <v>1.1903821000000001</v>
      </c>
      <c r="I471">
        <v>-0.19038211999999999</v>
      </c>
      <c r="J471">
        <v>0.45654136000000001</v>
      </c>
    </row>
    <row r="472" spans="1:10" x14ac:dyDescent="0.3">
      <c r="A472">
        <v>470</v>
      </c>
      <c r="B472">
        <v>11654</v>
      </c>
      <c r="C472" t="b">
        <v>1</v>
      </c>
      <c r="D472">
        <v>8065</v>
      </c>
      <c r="E472">
        <v>8075</v>
      </c>
      <c r="F472">
        <v>240.13333</v>
      </c>
      <c r="G472">
        <v>201.6</v>
      </c>
      <c r="H472">
        <v>1.1911376</v>
      </c>
      <c r="I472">
        <v>-0.19113752000000001</v>
      </c>
      <c r="J472">
        <v>0.45638393999999999</v>
      </c>
    </row>
    <row r="473" spans="1:10" x14ac:dyDescent="0.3">
      <c r="A473">
        <v>471</v>
      </c>
      <c r="B473">
        <v>11686</v>
      </c>
      <c r="C473" t="b">
        <v>1</v>
      </c>
      <c r="D473">
        <v>8106</v>
      </c>
      <c r="E473">
        <v>8129</v>
      </c>
      <c r="F473">
        <v>238.93333000000001</v>
      </c>
      <c r="G473">
        <v>202.4</v>
      </c>
      <c r="H473">
        <v>1.1805007000000001</v>
      </c>
      <c r="I473">
        <v>-0.18050069999999999</v>
      </c>
      <c r="J473">
        <v>0.45861026999999999</v>
      </c>
    </row>
    <row r="474" spans="1:10" x14ac:dyDescent="0.3">
      <c r="A474">
        <v>472</v>
      </c>
      <c r="B474">
        <v>11717</v>
      </c>
      <c r="C474" t="b">
        <v>1</v>
      </c>
      <c r="D474">
        <v>8094</v>
      </c>
      <c r="E474">
        <v>8123</v>
      </c>
      <c r="F474">
        <v>238.93333000000001</v>
      </c>
      <c r="G474">
        <v>203.2</v>
      </c>
      <c r="H474">
        <v>1.175853</v>
      </c>
      <c r="I474">
        <v>-0.17585303999999999</v>
      </c>
      <c r="J474">
        <v>0.45958987000000001</v>
      </c>
    </row>
    <row r="475" spans="1:10" x14ac:dyDescent="0.3">
      <c r="A475">
        <v>473</v>
      </c>
      <c r="B475">
        <v>11749</v>
      </c>
      <c r="C475" t="b">
        <v>1</v>
      </c>
      <c r="D475">
        <v>8094</v>
      </c>
      <c r="E475">
        <v>8093</v>
      </c>
      <c r="F475">
        <v>239.66667000000001</v>
      </c>
      <c r="G475">
        <v>204</v>
      </c>
      <c r="H475">
        <v>1.1748365999999999</v>
      </c>
      <c r="I475">
        <v>-0.17483662</v>
      </c>
      <c r="J475">
        <v>0.45980462</v>
      </c>
    </row>
    <row r="476" spans="1:10" x14ac:dyDescent="0.3">
      <c r="A476">
        <v>474</v>
      </c>
      <c r="B476">
        <v>11781</v>
      </c>
      <c r="C476" t="b">
        <v>1</v>
      </c>
      <c r="D476">
        <v>8071</v>
      </c>
      <c r="E476">
        <v>8129</v>
      </c>
      <c r="F476">
        <v>240.4</v>
      </c>
      <c r="G476">
        <v>204.4</v>
      </c>
      <c r="H476">
        <v>1.1761253</v>
      </c>
      <c r="I476">
        <v>-0.17612523999999999</v>
      </c>
      <c r="J476">
        <v>0.45953238000000002</v>
      </c>
    </row>
    <row r="477" spans="1:10" x14ac:dyDescent="0.3">
      <c r="A477">
        <v>475</v>
      </c>
      <c r="B477">
        <v>11812</v>
      </c>
      <c r="C477" t="b">
        <v>1</v>
      </c>
      <c r="D477">
        <v>8077</v>
      </c>
      <c r="E477">
        <v>8099</v>
      </c>
      <c r="F477">
        <v>241.13333</v>
      </c>
      <c r="G477">
        <v>204</v>
      </c>
      <c r="H477">
        <v>1.1820261000000001</v>
      </c>
      <c r="I477">
        <v>-0.18202613000000001</v>
      </c>
      <c r="J477">
        <v>0.45828964999999999</v>
      </c>
    </row>
    <row r="478" spans="1:10" x14ac:dyDescent="0.3">
      <c r="A478">
        <v>476</v>
      </c>
      <c r="B478">
        <v>11844</v>
      </c>
      <c r="C478" t="b">
        <v>1</v>
      </c>
      <c r="D478">
        <v>8088</v>
      </c>
      <c r="E478">
        <v>8105</v>
      </c>
      <c r="F478">
        <v>241.46665999999999</v>
      </c>
      <c r="G478">
        <v>202.4</v>
      </c>
      <c r="H478">
        <v>1.1930171000000001</v>
      </c>
      <c r="I478">
        <v>-0.19301713000000001</v>
      </c>
      <c r="J478">
        <v>0.45599282000000002</v>
      </c>
    </row>
    <row r="479" spans="1:10" x14ac:dyDescent="0.3">
      <c r="A479">
        <v>477</v>
      </c>
      <c r="B479">
        <v>11875</v>
      </c>
      <c r="C479" t="b">
        <v>1</v>
      </c>
      <c r="D479">
        <v>8083</v>
      </c>
      <c r="E479">
        <v>8111</v>
      </c>
      <c r="F479">
        <v>241.46665999999999</v>
      </c>
      <c r="G479">
        <v>200.8</v>
      </c>
      <c r="H479">
        <v>1.2025231999999999</v>
      </c>
      <c r="I479">
        <v>-0.20252318999999999</v>
      </c>
      <c r="J479">
        <v>0.45402472999999999</v>
      </c>
    </row>
    <row r="480" spans="1:10" x14ac:dyDescent="0.3">
      <c r="A480">
        <v>478</v>
      </c>
      <c r="B480">
        <v>11891</v>
      </c>
      <c r="C480" t="b">
        <v>1</v>
      </c>
      <c r="D480">
        <v>8071</v>
      </c>
      <c r="E480">
        <v>8123</v>
      </c>
      <c r="F480">
        <v>241.06666999999999</v>
      </c>
      <c r="G480">
        <v>199.6</v>
      </c>
      <c r="H480">
        <v>1.2077488000000001</v>
      </c>
      <c r="I480">
        <v>-0.20774878999999999</v>
      </c>
      <c r="J480">
        <v>0.45295005999999999</v>
      </c>
    </row>
    <row r="481" spans="1:10" x14ac:dyDescent="0.3">
      <c r="A481">
        <v>479</v>
      </c>
      <c r="B481">
        <v>11907</v>
      </c>
      <c r="C481" t="b">
        <v>1</v>
      </c>
      <c r="D481">
        <v>8077</v>
      </c>
      <c r="E481">
        <v>8099</v>
      </c>
      <c r="F481">
        <v>240.66667000000001</v>
      </c>
      <c r="G481">
        <v>198</v>
      </c>
      <c r="H481">
        <v>1.2154882</v>
      </c>
      <c r="I481">
        <v>-0.21548824</v>
      </c>
      <c r="J481">
        <v>0.45136777</v>
      </c>
    </row>
    <row r="482" spans="1:10" x14ac:dyDescent="0.3">
      <c r="A482">
        <v>480</v>
      </c>
      <c r="B482">
        <v>11939</v>
      </c>
      <c r="C482" t="b">
        <v>1</v>
      </c>
      <c r="D482">
        <v>8071</v>
      </c>
      <c r="E482">
        <v>8117</v>
      </c>
      <c r="F482">
        <v>240.26666</v>
      </c>
      <c r="G482">
        <v>198</v>
      </c>
      <c r="H482">
        <v>1.213468</v>
      </c>
      <c r="I482">
        <v>-0.21346799999999999</v>
      </c>
      <c r="J482">
        <v>0.45177974999999998</v>
      </c>
    </row>
    <row r="483" spans="1:10" x14ac:dyDescent="0.3">
      <c r="A483">
        <v>481</v>
      </c>
      <c r="B483">
        <v>11955</v>
      </c>
      <c r="C483" t="b">
        <v>1</v>
      </c>
      <c r="D483">
        <v>8065</v>
      </c>
      <c r="E483">
        <v>8134</v>
      </c>
      <c r="F483">
        <v>239.13333</v>
      </c>
      <c r="G483">
        <v>198.8</v>
      </c>
      <c r="H483">
        <v>1.2028840000000001</v>
      </c>
      <c r="I483">
        <v>-0.20288394000000001</v>
      </c>
      <c r="J483">
        <v>0.45395037999999999</v>
      </c>
    </row>
    <row r="484" spans="1:10" x14ac:dyDescent="0.3">
      <c r="A484">
        <v>482</v>
      </c>
      <c r="B484">
        <v>11971</v>
      </c>
      <c r="C484" t="b">
        <v>1</v>
      </c>
      <c r="D484">
        <v>8060</v>
      </c>
      <c r="E484">
        <v>8117</v>
      </c>
      <c r="F484">
        <v>238.73334</v>
      </c>
      <c r="G484">
        <v>198.4</v>
      </c>
      <c r="H484">
        <v>1.2032931</v>
      </c>
      <c r="I484">
        <v>-0.20329306999999999</v>
      </c>
      <c r="J484">
        <v>0.45386609999999999</v>
      </c>
    </row>
    <row r="485" spans="1:10" x14ac:dyDescent="0.3">
      <c r="A485">
        <v>483</v>
      </c>
      <c r="B485">
        <v>11987</v>
      </c>
      <c r="C485" t="b">
        <v>1</v>
      </c>
      <c r="D485">
        <v>8083</v>
      </c>
      <c r="E485">
        <v>8111</v>
      </c>
      <c r="F485">
        <v>239.13333</v>
      </c>
      <c r="G485">
        <v>199.2</v>
      </c>
      <c r="H485">
        <v>1.2004684999999999</v>
      </c>
      <c r="I485">
        <v>-0.20046855999999999</v>
      </c>
      <c r="J485">
        <v>0.45444867</v>
      </c>
    </row>
    <row r="486" spans="1:10" x14ac:dyDescent="0.3">
      <c r="A486">
        <v>484</v>
      </c>
      <c r="B486">
        <v>12019</v>
      </c>
      <c r="C486" t="b">
        <v>1</v>
      </c>
      <c r="D486">
        <v>8071</v>
      </c>
      <c r="E486">
        <v>8111</v>
      </c>
      <c r="F486">
        <v>238.73334</v>
      </c>
      <c r="G486">
        <v>200</v>
      </c>
      <c r="H486">
        <v>1.1936667000000001</v>
      </c>
      <c r="I486">
        <v>-0.19366668000000001</v>
      </c>
      <c r="J486">
        <v>0.45585775000000001</v>
      </c>
    </row>
    <row r="487" spans="1:10" x14ac:dyDescent="0.3">
      <c r="A487">
        <v>485</v>
      </c>
      <c r="B487">
        <v>12051</v>
      </c>
      <c r="C487" t="b">
        <v>1</v>
      </c>
      <c r="D487">
        <v>8100</v>
      </c>
      <c r="E487">
        <v>8123</v>
      </c>
      <c r="F487">
        <v>239.13333</v>
      </c>
      <c r="G487">
        <v>200.8</v>
      </c>
      <c r="H487">
        <v>1.1909031000000001</v>
      </c>
      <c r="I487">
        <v>-0.19090302000000001</v>
      </c>
      <c r="J487">
        <v>0.45643280000000003</v>
      </c>
    </row>
    <row r="488" spans="1:10" x14ac:dyDescent="0.3">
      <c r="A488">
        <v>486</v>
      </c>
      <c r="B488">
        <v>12083</v>
      </c>
      <c r="C488" t="b">
        <v>1</v>
      </c>
      <c r="D488">
        <v>8071</v>
      </c>
      <c r="E488">
        <v>8105</v>
      </c>
      <c r="F488">
        <v>239.53334000000001</v>
      </c>
      <c r="G488">
        <v>200</v>
      </c>
      <c r="H488">
        <v>1.1976666</v>
      </c>
      <c r="I488">
        <v>-0.1976667</v>
      </c>
      <c r="J488">
        <v>0.45502806000000001</v>
      </c>
    </row>
    <row r="489" spans="1:10" x14ac:dyDescent="0.3">
      <c r="A489">
        <v>487</v>
      </c>
      <c r="B489">
        <v>12115</v>
      </c>
      <c r="C489" t="b">
        <v>1</v>
      </c>
      <c r="D489">
        <v>8111</v>
      </c>
      <c r="E489">
        <v>8111</v>
      </c>
      <c r="F489">
        <v>239.53334000000001</v>
      </c>
      <c r="G489">
        <v>199.2</v>
      </c>
      <c r="H489">
        <v>1.2024766</v>
      </c>
      <c r="I489">
        <v>-0.20247662</v>
      </c>
      <c r="J489">
        <v>0.45403432999999999</v>
      </c>
    </row>
    <row r="490" spans="1:10" x14ac:dyDescent="0.3">
      <c r="A490">
        <v>488</v>
      </c>
      <c r="B490">
        <v>12146</v>
      </c>
      <c r="C490" t="b">
        <v>1</v>
      </c>
      <c r="D490">
        <v>8060</v>
      </c>
      <c r="E490">
        <v>8140</v>
      </c>
      <c r="F490">
        <v>238</v>
      </c>
      <c r="G490">
        <v>198.4</v>
      </c>
      <c r="H490">
        <v>1.1995967999999999</v>
      </c>
      <c r="I490">
        <v>-0.19959679999999999</v>
      </c>
      <c r="J490">
        <v>0.45462877000000002</v>
      </c>
    </row>
    <row r="491" spans="1:10" x14ac:dyDescent="0.3">
      <c r="A491">
        <v>489</v>
      </c>
      <c r="B491">
        <v>12178</v>
      </c>
      <c r="C491" t="b">
        <v>1</v>
      </c>
      <c r="D491">
        <v>8077</v>
      </c>
      <c r="E491">
        <v>8111</v>
      </c>
      <c r="F491">
        <v>236.86667</v>
      </c>
      <c r="G491">
        <v>197.6</v>
      </c>
      <c r="H491">
        <v>1.198718</v>
      </c>
      <c r="I491">
        <v>-0.19871791999999999</v>
      </c>
      <c r="J491">
        <v>0.45481050000000001</v>
      </c>
    </row>
    <row r="492" spans="1:10" x14ac:dyDescent="0.3">
      <c r="A492">
        <v>490</v>
      </c>
      <c r="B492">
        <v>12209</v>
      </c>
      <c r="C492" t="b">
        <v>1</v>
      </c>
      <c r="D492">
        <v>8065</v>
      </c>
      <c r="E492">
        <v>8129</v>
      </c>
      <c r="F492">
        <v>235.33332999999999</v>
      </c>
      <c r="G492">
        <v>196.8</v>
      </c>
      <c r="H492">
        <v>1.1957994999999999</v>
      </c>
      <c r="I492">
        <v>-0.19579941000000001</v>
      </c>
      <c r="J492">
        <v>0.45541500000000001</v>
      </c>
    </row>
    <row r="493" spans="1:10" x14ac:dyDescent="0.3">
      <c r="A493">
        <v>491</v>
      </c>
      <c r="B493">
        <v>12241</v>
      </c>
      <c r="C493" t="b">
        <v>1</v>
      </c>
      <c r="D493">
        <v>8094</v>
      </c>
      <c r="E493">
        <v>8105</v>
      </c>
      <c r="F493">
        <v>234.6</v>
      </c>
      <c r="G493">
        <v>197.2</v>
      </c>
      <c r="H493">
        <v>1.1896552</v>
      </c>
      <c r="I493">
        <v>-0.18965520999999999</v>
      </c>
      <c r="J493">
        <v>0.45669293</v>
      </c>
    </row>
    <row r="494" spans="1:10" x14ac:dyDescent="0.3">
      <c r="A494">
        <v>492</v>
      </c>
      <c r="B494">
        <v>12272</v>
      </c>
      <c r="C494" t="b">
        <v>1</v>
      </c>
      <c r="D494">
        <v>8088</v>
      </c>
      <c r="E494">
        <v>8117</v>
      </c>
      <c r="F494">
        <v>234.2</v>
      </c>
      <c r="G494">
        <v>198</v>
      </c>
      <c r="H494">
        <v>1.1828282999999999</v>
      </c>
      <c r="I494">
        <v>-0.18282825999999999</v>
      </c>
      <c r="J494">
        <v>0.45812123999999999</v>
      </c>
    </row>
    <row r="495" spans="1:10" x14ac:dyDescent="0.3">
      <c r="A495">
        <v>493</v>
      </c>
      <c r="B495">
        <v>12288</v>
      </c>
      <c r="C495" t="b">
        <v>1</v>
      </c>
      <c r="D495">
        <v>8060</v>
      </c>
      <c r="E495">
        <v>8117</v>
      </c>
      <c r="F495">
        <v>234.2</v>
      </c>
      <c r="G495">
        <v>198.4</v>
      </c>
      <c r="H495">
        <v>1.1804435</v>
      </c>
      <c r="I495">
        <v>-0.18044357</v>
      </c>
      <c r="J495">
        <v>0.45862229999999998</v>
      </c>
    </row>
    <row r="496" spans="1:10" x14ac:dyDescent="0.3">
      <c r="A496">
        <v>494</v>
      </c>
      <c r="B496">
        <v>12304</v>
      </c>
      <c r="C496" t="b">
        <v>1</v>
      </c>
      <c r="D496">
        <v>8071</v>
      </c>
      <c r="E496">
        <v>8099</v>
      </c>
      <c r="F496">
        <v>233.8</v>
      </c>
      <c r="G496">
        <v>199.2</v>
      </c>
      <c r="H496">
        <v>1.1736948</v>
      </c>
      <c r="I496">
        <v>-0.17369482</v>
      </c>
      <c r="J496">
        <v>0.46004616999999998</v>
      </c>
    </row>
    <row r="497" spans="1:10" x14ac:dyDescent="0.3">
      <c r="A497">
        <v>495</v>
      </c>
      <c r="B497">
        <v>12336</v>
      </c>
      <c r="C497" t="b">
        <v>1</v>
      </c>
      <c r="D497">
        <v>8071</v>
      </c>
      <c r="E497">
        <v>8123</v>
      </c>
      <c r="F497">
        <v>233.4</v>
      </c>
      <c r="G497">
        <v>199.6</v>
      </c>
      <c r="H497">
        <v>1.1693385999999999</v>
      </c>
      <c r="I497">
        <v>-0.16933861</v>
      </c>
      <c r="J497">
        <v>0.46096998</v>
      </c>
    </row>
    <row r="498" spans="1:10" x14ac:dyDescent="0.3">
      <c r="A498">
        <v>496</v>
      </c>
      <c r="B498">
        <v>12368</v>
      </c>
      <c r="C498" t="b">
        <v>1</v>
      </c>
      <c r="D498">
        <v>8094</v>
      </c>
      <c r="E498">
        <v>8099</v>
      </c>
      <c r="F498">
        <v>233.4</v>
      </c>
      <c r="G498">
        <v>199.6</v>
      </c>
      <c r="H498">
        <v>1.1693385999999999</v>
      </c>
      <c r="I498">
        <v>-0.16933861</v>
      </c>
      <c r="J498">
        <v>0.46096998</v>
      </c>
    </row>
    <row r="499" spans="1:10" x14ac:dyDescent="0.3">
      <c r="A499">
        <v>497</v>
      </c>
      <c r="B499">
        <v>12400</v>
      </c>
      <c r="C499" t="b">
        <v>1</v>
      </c>
      <c r="D499">
        <v>8083</v>
      </c>
      <c r="E499">
        <v>8123</v>
      </c>
      <c r="F499">
        <v>233.4</v>
      </c>
      <c r="G499">
        <v>199.6</v>
      </c>
      <c r="H499">
        <v>1.1693385999999999</v>
      </c>
      <c r="I499">
        <v>-0.16933861</v>
      </c>
      <c r="J499">
        <v>0.46096998</v>
      </c>
    </row>
    <row r="500" spans="1:10" x14ac:dyDescent="0.3">
      <c r="A500">
        <v>498</v>
      </c>
      <c r="B500">
        <v>12432</v>
      </c>
      <c r="C500" t="b">
        <v>1</v>
      </c>
      <c r="D500">
        <v>8100</v>
      </c>
      <c r="E500">
        <v>8111</v>
      </c>
      <c r="F500">
        <v>234.2</v>
      </c>
      <c r="G500">
        <v>199.2</v>
      </c>
      <c r="H500">
        <v>1.1757028</v>
      </c>
      <c r="I500">
        <v>-0.17570280999999999</v>
      </c>
      <c r="J500">
        <v>0.45962160000000002</v>
      </c>
    </row>
    <row r="501" spans="1:10" x14ac:dyDescent="0.3">
      <c r="A501">
        <v>499</v>
      </c>
      <c r="B501">
        <v>12463</v>
      </c>
      <c r="C501" t="b">
        <v>1</v>
      </c>
      <c r="D501">
        <v>8054</v>
      </c>
      <c r="E501">
        <v>8152</v>
      </c>
      <c r="F501">
        <v>235</v>
      </c>
      <c r="G501">
        <v>199.6</v>
      </c>
      <c r="H501">
        <v>1.1773547</v>
      </c>
      <c r="I501">
        <v>-0.17735467999999999</v>
      </c>
      <c r="J501">
        <v>0.45927289999999998</v>
      </c>
    </row>
    <row r="502" spans="1:10" x14ac:dyDescent="0.3">
      <c r="A502">
        <v>500</v>
      </c>
      <c r="B502">
        <v>12495</v>
      </c>
      <c r="C502" t="b">
        <v>1</v>
      </c>
      <c r="D502">
        <v>8083</v>
      </c>
      <c r="E502">
        <v>8111</v>
      </c>
      <c r="F502">
        <v>235.8</v>
      </c>
      <c r="G502">
        <v>199.2</v>
      </c>
      <c r="H502">
        <v>1.183735</v>
      </c>
      <c r="I502">
        <v>-0.18373497</v>
      </c>
      <c r="J502">
        <v>0.45793104000000001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925D-AE63-4147-A537-281072364450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40</v>
      </c>
      <c r="C4" t="b">
        <v>1</v>
      </c>
      <c r="D4">
        <v>8048</v>
      </c>
      <c r="E4">
        <v>8117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56</v>
      </c>
      <c r="C5" t="b">
        <v>1</v>
      </c>
      <c r="D5">
        <v>8048</v>
      </c>
      <c r="E5">
        <v>8117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72</v>
      </c>
      <c r="C6" t="b">
        <v>1</v>
      </c>
      <c r="D6">
        <v>8048</v>
      </c>
      <c r="E6">
        <v>8117</v>
      </c>
      <c r="F6">
        <v>8</v>
      </c>
      <c r="G6">
        <v>6.8</v>
      </c>
      <c r="H6">
        <v>1.1764705</v>
      </c>
      <c r="I6">
        <v>-0.17647055</v>
      </c>
      <c r="J6">
        <v>0.45945944999999999</v>
      </c>
    </row>
    <row r="7" spans="1:10" x14ac:dyDescent="0.3">
      <c r="A7">
        <v>5</v>
      </c>
      <c r="B7">
        <v>88</v>
      </c>
      <c r="C7" t="b">
        <v>1</v>
      </c>
      <c r="D7">
        <v>8048</v>
      </c>
      <c r="E7">
        <v>8117</v>
      </c>
      <c r="F7">
        <v>8</v>
      </c>
      <c r="G7">
        <v>6</v>
      </c>
      <c r="H7">
        <v>1.3333333999999999</v>
      </c>
      <c r="I7">
        <v>-0.33333333999999998</v>
      </c>
      <c r="J7">
        <v>0.42857142999999998</v>
      </c>
    </row>
    <row r="8" spans="1:10" x14ac:dyDescent="0.3">
      <c r="A8">
        <v>6</v>
      </c>
      <c r="B8">
        <v>103</v>
      </c>
      <c r="C8" t="b">
        <v>1</v>
      </c>
      <c r="D8">
        <v>8048</v>
      </c>
      <c r="E8">
        <v>8123</v>
      </c>
      <c r="F8">
        <v>8</v>
      </c>
      <c r="G8">
        <v>5.4285709999999998</v>
      </c>
      <c r="H8">
        <v>1.4736842999999999</v>
      </c>
      <c r="I8">
        <v>-0.47368424999999997</v>
      </c>
      <c r="J8">
        <v>0.40425529999999998</v>
      </c>
    </row>
    <row r="9" spans="1:10" x14ac:dyDescent="0.3">
      <c r="A9">
        <v>7</v>
      </c>
      <c r="B9">
        <v>120</v>
      </c>
      <c r="C9" t="b">
        <v>1</v>
      </c>
      <c r="D9">
        <v>8048</v>
      </c>
      <c r="E9">
        <v>8117</v>
      </c>
      <c r="F9">
        <v>8</v>
      </c>
      <c r="G9">
        <v>5</v>
      </c>
      <c r="H9">
        <v>1.6</v>
      </c>
      <c r="I9">
        <v>-0.6</v>
      </c>
      <c r="J9">
        <v>0.3846154</v>
      </c>
    </row>
    <row r="10" spans="1:10" x14ac:dyDescent="0.3">
      <c r="A10">
        <v>8</v>
      </c>
      <c r="B10">
        <v>135</v>
      </c>
      <c r="C10" t="b">
        <v>1</v>
      </c>
      <c r="D10">
        <v>8048</v>
      </c>
      <c r="E10">
        <v>8117</v>
      </c>
      <c r="F10">
        <v>8</v>
      </c>
      <c r="G10">
        <v>4.6666664999999998</v>
      </c>
      <c r="H10">
        <v>1.7142857</v>
      </c>
      <c r="I10">
        <v>-0.71428579999999997</v>
      </c>
      <c r="J10">
        <v>0.36842105000000003</v>
      </c>
    </row>
    <row r="11" spans="1:10" x14ac:dyDescent="0.3">
      <c r="A11">
        <v>9</v>
      </c>
      <c r="B11">
        <v>151</v>
      </c>
      <c r="C11" t="b">
        <v>1</v>
      </c>
      <c r="D11">
        <v>8048</v>
      </c>
      <c r="E11">
        <v>8123</v>
      </c>
      <c r="F11">
        <v>8</v>
      </c>
      <c r="G11">
        <v>4.4000000000000004</v>
      </c>
      <c r="H11">
        <v>1.8181818000000001</v>
      </c>
      <c r="I11">
        <v>-0.81818175000000004</v>
      </c>
      <c r="J11">
        <v>0.35483872999999999</v>
      </c>
    </row>
    <row r="12" spans="1:10" x14ac:dyDescent="0.3">
      <c r="A12">
        <v>10</v>
      </c>
      <c r="B12">
        <v>167</v>
      </c>
      <c r="C12" t="b">
        <v>1</v>
      </c>
      <c r="D12">
        <v>8048</v>
      </c>
      <c r="E12">
        <v>8117</v>
      </c>
      <c r="F12">
        <v>8</v>
      </c>
      <c r="G12">
        <v>4.1818179999999998</v>
      </c>
      <c r="H12">
        <v>1.9130434999999999</v>
      </c>
      <c r="I12">
        <v>-0.91304355999999998</v>
      </c>
      <c r="J12">
        <v>0.34328355999999999</v>
      </c>
    </row>
    <row r="13" spans="1:10" x14ac:dyDescent="0.3">
      <c r="A13">
        <v>11</v>
      </c>
      <c r="B13">
        <v>183</v>
      </c>
      <c r="C13" t="b">
        <v>1</v>
      </c>
      <c r="D13">
        <v>8054</v>
      </c>
      <c r="E13">
        <v>8117</v>
      </c>
      <c r="F13">
        <v>8</v>
      </c>
      <c r="G13">
        <v>4</v>
      </c>
      <c r="H13">
        <v>2</v>
      </c>
      <c r="I13">
        <v>-1</v>
      </c>
      <c r="J13">
        <v>0.33333333999999998</v>
      </c>
    </row>
    <row r="14" spans="1:10" x14ac:dyDescent="0.3">
      <c r="A14">
        <v>12</v>
      </c>
      <c r="B14">
        <v>199</v>
      </c>
      <c r="C14" t="b">
        <v>1</v>
      </c>
      <c r="D14">
        <v>8048</v>
      </c>
      <c r="E14">
        <v>8117</v>
      </c>
      <c r="F14">
        <v>8</v>
      </c>
      <c r="G14">
        <v>3.8461536999999999</v>
      </c>
      <c r="H14">
        <v>2.0800002000000002</v>
      </c>
      <c r="I14">
        <v>-1.08</v>
      </c>
      <c r="J14">
        <v>0.32467531999999999</v>
      </c>
    </row>
    <row r="15" spans="1:10" x14ac:dyDescent="0.3">
      <c r="A15">
        <v>13</v>
      </c>
      <c r="B15">
        <v>215</v>
      </c>
      <c r="C15" t="b">
        <v>1</v>
      </c>
      <c r="D15">
        <v>8048</v>
      </c>
      <c r="E15">
        <v>8117</v>
      </c>
      <c r="F15">
        <v>8</v>
      </c>
      <c r="G15">
        <v>3.7142856000000002</v>
      </c>
      <c r="H15">
        <v>2.1538463000000001</v>
      </c>
      <c r="I15">
        <v>-1.1538461</v>
      </c>
      <c r="J15">
        <v>0.31707317000000002</v>
      </c>
    </row>
    <row r="16" spans="1:10" x14ac:dyDescent="0.3">
      <c r="A16">
        <v>14</v>
      </c>
      <c r="B16">
        <v>230</v>
      </c>
      <c r="C16" t="b">
        <v>1</v>
      </c>
      <c r="D16">
        <v>8042</v>
      </c>
      <c r="E16">
        <v>8117</v>
      </c>
      <c r="F16">
        <v>8</v>
      </c>
      <c r="G16">
        <v>3.6</v>
      </c>
      <c r="H16">
        <v>2.2222222999999999</v>
      </c>
      <c r="I16">
        <v>-1.2222223000000001</v>
      </c>
      <c r="J16">
        <v>0.31034482000000002</v>
      </c>
    </row>
    <row r="17" spans="1:10" x14ac:dyDescent="0.3">
      <c r="A17">
        <v>15</v>
      </c>
      <c r="B17">
        <v>246</v>
      </c>
      <c r="C17" t="b">
        <v>1</v>
      </c>
      <c r="D17">
        <v>8048</v>
      </c>
      <c r="E17">
        <v>8123</v>
      </c>
      <c r="F17">
        <v>8</v>
      </c>
      <c r="G17">
        <v>3.2</v>
      </c>
      <c r="H17">
        <v>2.5</v>
      </c>
      <c r="I17">
        <v>-1.5</v>
      </c>
      <c r="J17">
        <v>0.28571429999999998</v>
      </c>
    </row>
    <row r="18" spans="1:10" x14ac:dyDescent="0.3">
      <c r="A18">
        <v>16</v>
      </c>
      <c r="B18">
        <v>262</v>
      </c>
      <c r="C18" t="b">
        <v>1</v>
      </c>
      <c r="D18">
        <v>8048</v>
      </c>
      <c r="E18">
        <v>8129</v>
      </c>
      <c r="F18">
        <v>8</v>
      </c>
      <c r="G18">
        <v>2.8</v>
      </c>
      <c r="H18">
        <v>2.8571430000000002</v>
      </c>
      <c r="I18">
        <v>-1.8571428000000001</v>
      </c>
      <c r="J18">
        <v>0.25925925</v>
      </c>
    </row>
    <row r="19" spans="1:10" x14ac:dyDescent="0.3">
      <c r="A19">
        <v>17</v>
      </c>
      <c r="B19">
        <v>278</v>
      </c>
      <c r="C19" t="b">
        <v>1</v>
      </c>
      <c r="D19">
        <v>8048</v>
      </c>
      <c r="E19">
        <v>8123</v>
      </c>
      <c r="F19">
        <v>8</v>
      </c>
      <c r="G19">
        <v>2.8</v>
      </c>
      <c r="H19">
        <v>2.8571430000000002</v>
      </c>
      <c r="I19">
        <v>-1.8571428000000001</v>
      </c>
      <c r="J19">
        <v>0.25925925</v>
      </c>
    </row>
    <row r="20" spans="1:10" x14ac:dyDescent="0.3">
      <c r="A20">
        <v>18</v>
      </c>
      <c r="B20">
        <v>293</v>
      </c>
      <c r="C20" t="b">
        <v>1</v>
      </c>
      <c r="D20">
        <v>8048</v>
      </c>
      <c r="E20">
        <v>8129</v>
      </c>
      <c r="F20">
        <v>8</v>
      </c>
      <c r="G20">
        <v>2.8</v>
      </c>
      <c r="H20">
        <v>2.8571430000000002</v>
      </c>
      <c r="I20">
        <v>-1.8571428000000001</v>
      </c>
      <c r="J20">
        <v>0.25925925</v>
      </c>
    </row>
    <row r="21" spans="1:10" x14ac:dyDescent="0.3">
      <c r="A21">
        <v>19</v>
      </c>
      <c r="B21">
        <v>309</v>
      </c>
      <c r="C21" t="b">
        <v>1</v>
      </c>
      <c r="D21">
        <v>8048</v>
      </c>
      <c r="E21">
        <v>8129</v>
      </c>
      <c r="F21">
        <v>8</v>
      </c>
      <c r="G21">
        <v>3.6</v>
      </c>
      <c r="H21">
        <v>2.2222222999999999</v>
      </c>
      <c r="I21">
        <v>-1.2222223000000001</v>
      </c>
      <c r="J21">
        <v>0.31034482000000002</v>
      </c>
    </row>
    <row r="22" spans="1:10" x14ac:dyDescent="0.3">
      <c r="A22">
        <v>20</v>
      </c>
      <c r="B22">
        <v>325</v>
      </c>
      <c r="C22" t="b">
        <v>1</v>
      </c>
      <c r="D22">
        <v>8048</v>
      </c>
      <c r="E22">
        <v>8123</v>
      </c>
      <c r="F22">
        <v>8</v>
      </c>
      <c r="G22">
        <v>4.4000000000000004</v>
      </c>
      <c r="H22">
        <v>1.8181818000000001</v>
      </c>
      <c r="I22">
        <v>-0.81818175000000004</v>
      </c>
      <c r="J22">
        <v>0.35483872999999999</v>
      </c>
    </row>
    <row r="23" spans="1:10" x14ac:dyDescent="0.3">
      <c r="A23">
        <v>21</v>
      </c>
      <c r="B23">
        <v>341</v>
      </c>
      <c r="C23" t="b">
        <v>1</v>
      </c>
      <c r="D23">
        <v>8048</v>
      </c>
      <c r="E23">
        <v>8123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356</v>
      </c>
      <c r="C24" t="b">
        <v>1</v>
      </c>
      <c r="D24">
        <v>8042</v>
      </c>
      <c r="E24">
        <v>8123</v>
      </c>
      <c r="F24">
        <v>8</v>
      </c>
      <c r="G24">
        <v>5.2</v>
      </c>
      <c r="H24">
        <v>1.5384616</v>
      </c>
      <c r="I24">
        <v>-0.53846156999999994</v>
      </c>
      <c r="J24">
        <v>0.39393938000000001</v>
      </c>
    </row>
    <row r="25" spans="1:10" x14ac:dyDescent="0.3">
      <c r="A25">
        <v>23</v>
      </c>
      <c r="B25">
        <v>372</v>
      </c>
      <c r="C25" t="b">
        <v>1</v>
      </c>
      <c r="D25">
        <v>8048</v>
      </c>
      <c r="E25">
        <v>8123</v>
      </c>
      <c r="F25">
        <v>8</v>
      </c>
      <c r="G25">
        <v>5.6</v>
      </c>
      <c r="H25">
        <v>1.4285715000000001</v>
      </c>
      <c r="I25">
        <v>-0.42857146000000002</v>
      </c>
      <c r="J25">
        <v>0.41176467999999999</v>
      </c>
    </row>
    <row r="26" spans="1:10" x14ac:dyDescent="0.3">
      <c r="A26">
        <v>24</v>
      </c>
      <c r="B26">
        <v>388</v>
      </c>
      <c r="C26" t="b">
        <v>1</v>
      </c>
      <c r="D26">
        <v>8048</v>
      </c>
      <c r="E26">
        <v>8117</v>
      </c>
      <c r="F26">
        <v>8</v>
      </c>
      <c r="G26">
        <v>6</v>
      </c>
      <c r="H26">
        <v>1.3333333999999999</v>
      </c>
      <c r="I26">
        <v>-0.33333333999999998</v>
      </c>
      <c r="J26">
        <v>0.42857142999999998</v>
      </c>
    </row>
    <row r="27" spans="1:10" x14ac:dyDescent="0.3">
      <c r="A27">
        <v>25</v>
      </c>
      <c r="B27">
        <v>404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420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8129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451</v>
      </c>
      <c r="C30" t="b">
        <v>1</v>
      </c>
      <c r="D30">
        <v>8048</v>
      </c>
      <c r="E30">
        <v>8129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8123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483</v>
      </c>
      <c r="C32" t="b">
        <v>1</v>
      </c>
      <c r="D32">
        <v>8048</v>
      </c>
      <c r="E32">
        <v>8123</v>
      </c>
      <c r="F32">
        <v>8</v>
      </c>
      <c r="G32">
        <v>8.4</v>
      </c>
      <c r="H32">
        <v>0.95238100000000003</v>
      </c>
      <c r="I32">
        <v>4.7619003999999999E-2</v>
      </c>
      <c r="J32">
        <v>0.51219510000000001</v>
      </c>
    </row>
    <row r="33" spans="1:10" x14ac:dyDescent="0.3">
      <c r="A33">
        <v>31</v>
      </c>
      <c r="B33">
        <v>499</v>
      </c>
      <c r="C33" t="b">
        <v>1</v>
      </c>
      <c r="D33">
        <v>8048</v>
      </c>
      <c r="E33">
        <v>8123</v>
      </c>
      <c r="F33">
        <v>8</v>
      </c>
      <c r="G33">
        <v>8.8000000000000007</v>
      </c>
      <c r="H33">
        <v>0.90909090000000004</v>
      </c>
      <c r="I33">
        <v>9.0909110000000001E-2</v>
      </c>
      <c r="J33">
        <v>0.52380954999999996</v>
      </c>
    </row>
    <row r="34" spans="1:10" x14ac:dyDescent="0.3">
      <c r="A34">
        <v>32</v>
      </c>
      <c r="B34">
        <v>515</v>
      </c>
      <c r="C34" t="b">
        <v>1</v>
      </c>
      <c r="D34">
        <v>8048</v>
      </c>
      <c r="E34">
        <v>8123</v>
      </c>
      <c r="F34">
        <v>8</v>
      </c>
      <c r="G34">
        <v>8.8000000000000007</v>
      </c>
      <c r="H34">
        <v>0.90909090000000004</v>
      </c>
      <c r="I34">
        <v>9.0909110000000001E-2</v>
      </c>
      <c r="J34">
        <v>0.52380954999999996</v>
      </c>
    </row>
    <row r="35" spans="1:10" x14ac:dyDescent="0.3">
      <c r="A35">
        <v>33</v>
      </c>
      <c r="B35">
        <v>531</v>
      </c>
      <c r="C35" t="b">
        <v>1</v>
      </c>
      <c r="D35">
        <v>8048</v>
      </c>
      <c r="E35">
        <v>8123</v>
      </c>
      <c r="F35">
        <v>8</v>
      </c>
      <c r="G35">
        <v>8.8000000000000007</v>
      </c>
      <c r="H35">
        <v>0.90909090000000004</v>
      </c>
      <c r="I35">
        <v>9.0909110000000001E-2</v>
      </c>
      <c r="J35">
        <v>0.52380954999999996</v>
      </c>
    </row>
    <row r="36" spans="1:10" x14ac:dyDescent="0.3">
      <c r="A36">
        <v>34</v>
      </c>
      <c r="B36">
        <v>547</v>
      </c>
      <c r="C36" t="b">
        <v>1</v>
      </c>
      <c r="D36">
        <v>8042</v>
      </c>
      <c r="E36">
        <v>8123</v>
      </c>
      <c r="F36">
        <v>8</v>
      </c>
      <c r="G36">
        <v>8.4</v>
      </c>
      <c r="H36">
        <v>0.95238100000000003</v>
      </c>
      <c r="I36">
        <v>4.7619003999999999E-2</v>
      </c>
      <c r="J36">
        <v>0.51219510000000001</v>
      </c>
    </row>
    <row r="37" spans="1:10" x14ac:dyDescent="0.3">
      <c r="A37">
        <v>35</v>
      </c>
      <c r="B37">
        <v>563</v>
      </c>
      <c r="C37" t="b">
        <v>1</v>
      </c>
      <c r="D37">
        <v>8042</v>
      </c>
      <c r="E37">
        <v>8129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579</v>
      </c>
      <c r="C38" t="b">
        <v>1</v>
      </c>
      <c r="D38">
        <v>8048</v>
      </c>
      <c r="E38">
        <v>8123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595</v>
      </c>
      <c r="C39" t="b">
        <v>1</v>
      </c>
      <c r="D39">
        <v>8048</v>
      </c>
      <c r="E39">
        <v>8123</v>
      </c>
      <c r="F39">
        <v>8</v>
      </c>
      <c r="G39">
        <v>8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611</v>
      </c>
      <c r="C40" t="b">
        <v>1</v>
      </c>
      <c r="D40">
        <v>8048</v>
      </c>
      <c r="E40">
        <v>8123</v>
      </c>
      <c r="F40">
        <v>8</v>
      </c>
      <c r="G40">
        <v>8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627</v>
      </c>
      <c r="C41" t="b">
        <v>1</v>
      </c>
      <c r="D41">
        <v>8048</v>
      </c>
      <c r="E41">
        <v>8129</v>
      </c>
      <c r="F41">
        <v>8</v>
      </c>
      <c r="G41">
        <v>8</v>
      </c>
      <c r="H41">
        <v>1</v>
      </c>
      <c r="I41">
        <v>0</v>
      </c>
      <c r="J41">
        <v>0.5</v>
      </c>
    </row>
    <row r="42" spans="1:10" x14ac:dyDescent="0.3">
      <c r="A42">
        <v>40</v>
      </c>
      <c r="B42">
        <v>642</v>
      </c>
      <c r="C42" t="b">
        <v>1</v>
      </c>
      <c r="D42">
        <v>8048</v>
      </c>
      <c r="E42">
        <v>8134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658</v>
      </c>
      <c r="C43" t="b">
        <v>1</v>
      </c>
      <c r="D43">
        <v>8048</v>
      </c>
      <c r="E43">
        <v>8129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674</v>
      </c>
      <c r="C44" t="b">
        <v>1</v>
      </c>
      <c r="D44">
        <v>8048</v>
      </c>
      <c r="E44">
        <v>8129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690</v>
      </c>
      <c r="C45" t="b">
        <v>1</v>
      </c>
      <c r="D45">
        <v>8048</v>
      </c>
      <c r="E45">
        <v>8129</v>
      </c>
      <c r="F45">
        <v>8</v>
      </c>
      <c r="G45">
        <v>9.1999999999999993</v>
      </c>
      <c r="H45">
        <v>0.86956524999999996</v>
      </c>
      <c r="I45">
        <v>0.13043477000000001</v>
      </c>
      <c r="J45">
        <v>0.53488369999999996</v>
      </c>
    </row>
    <row r="46" spans="1:10" x14ac:dyDescent="0.3">
      <c r="A46">
        <v>44</v>
      </c>
      <c r="B46">
        <v>705</v>
      </c>
      <c r="C46" t="b">
        <v>1</v>
      </c>
      <c r="D46">
        <v>8048</v>
      </c>
      <c r="E46">
        <v>8129</v>
      </c>
      <c r="F46">
        <v>8</v>
      </c>
      <c r="G46">
        <v>9.6</v>
      </c>
      <c r="H46">
        <v>0.83333330000000005</v>
      </c>
      <c r="I46">
        <v>0.1666667</v>
      </c>
      <c r="J46">
        <v>0.54545456000000003</v>
      </c>
    </row>
    <row r="47" spans="1:10" x14ac:dyDescent="0.3">
      <c r="A47">
        <v>45</v>
      </c>
      <c r="B47">
        <v>721</v>
      </c>
      <c r="C47" t="b">
        <v>1</v>
      </c>
      <c r="D47">
        <v>8048</v>
      </c>
      <c r="E47">
        <v>8129</v>
      </c>
      <c r="F47">
        <v>8</v>
      </c>
      <c r="G47">
        <v>10</v>
      </c>
      <c r="H47">
        <v>0.8</v>
      </c>
      <c r="I47">
        <v>0.2</v>
      </c>
      <c r="J47">
        <v>0.55555560000000004</v>
      </c>
    </row>
    <row r="48" spans="1:10" x14ac:dyDescent="0.3">
      <c r="A48">
        <v>46</v>
      </c>
      <c r="B48">
        <v>737</v>
      </c>
      <c r="C48" t="b">
        <v>1</v>
      </c>
      <c r="D48">
        <v>8048</v>
      </c>
      <c r="E48">
        <v>8117</v>
      </c>
      <c r="F48">
        <v>8</v>
      </c>
      <c r="G48">
        <v>10.4</v>
      </c>
      <c r="H48">
        <v>0.76923079999999999</v>
      </c>
      <c r="I48">
        <v>0.23076920000000001</v>
      </c>
      <c r="J48">
        <v>0.56521739999999998</v>
      </c>
    </row>
    <row r="49" spans="1:10" x14ac:dyDescent="0.3">
      <c r="A49">
        <v>47</v>
      </c>
      <c r="B49">
        <v>753</v>
      </c>
      <c r="C49" t="b">
        <v>1</v>
      </c>
      <c r="D49">
        <v>8048</v>
      </c>
      <c r="E49">
        <v>8129</v>
      </c>
      <c r="F49">
        <v>8</v>
      </c>
      <c r="G49">
        <v>10.8</v>
      </c>
      <c r="H49">
        <v>0.74074070000000003</v>
      </c>
      <c r="I49">
        <v>0.25925927999999998</v>
      </c>
      <c r="J49">
        <v>0.57446814000000002</v>
      </c>
    </row>
    <row r="50" spans="1:10" x14ac:dyDescent="0.3">
      <c r="A50">
        <v>48</v>
      </c>
      <c r="B50">
        <v>769</v>
      </c>
      <c r="C50" t="b">
        <v>1</v>
      </c>
      <c r="D50">
        <v>8048</v>
      </c>
      <c r="E50">
        <v>8117</v>
      </c>
      <c r="F50">
        <v>8</v>
      </c>
      <c r="G50">
        <v>11.2</v>
      </c>
      <c r="H50">
        <v>0.71428572999999995</v>
      </c>
      <c r="I50">
        <v>0.28571426999999999</v>
      </c>
      <c r="J50">
        <v>0.58333330000000005</v>
      </c>
    </row>
    <row r="51" spans="1:10" x14ac:dyDescent="0.3">
      <c r="A51">
        <v>49</v>
      </c>
      <c r="B51">
        <v>785</v>
      </c>
      <c r="C51" t="b">
        <v>1</v>
      </c>
      <c r="D51">
        <v>8042</v>
      </c>
      <c r="E51">
        <v>8123</v>
      </c>
      <c r="F51">
        <v>8</v>
      </c>
      <c r="G51">
        <v>11.2</v>
      </c>
      <c r="H51">
        <v>0.71428572999999995</v>
      </c>
      <c r="I51">
        <v>0.28571426999999999</v>
      </c>
      <c r="J51">
        <v>0.58333330000000005</v>
      </c>
    </row>
    <row r="52" spans="1:10" x14ac:dyDescent="0.3">
      <c r="A52">
        <v>50</v>
      </c>
      <c r="B52">
        <v>801</v>
      </c>
      <c r="C52" t="b">
        <v>1</v>
      </c>
      <c r="D52">
        <v>8048</v>
      </c>
      <c r="E52">
        <v>8123</v>
      </c>
      <c r="F52">
        <v>8</v>
      </c>
      <c r="G52">
        <v>11.2</v>
      </c>
      <c r="H52">
        <v>0.71428572999999995</v>
      </c>
      <c r="I52">
        <v>0.28571426999999999</v>
      </c>
      <c r="J52">
        <v>0.58333330000000005</v>
      </c>
    </row>
    <row r="53" spans="1:10" x14ac:dyDescent="0.3">
      <c r="A53">
        <v>51</v>
      </c>
      <c r="B53">
        <v>817</v>
      </c>
      <c r="C53" t="b">
        <v>1</v>
      </c>
      <c r="D53">
        <v>8048</v>
      </c>
      <c r="E53">
        <v>8123</v>
      </c>
      <c r="F53">
        <v>8</v>
      </c>
      <c r="G53">
        <v>11.2</v>
      </c>
      <c r="H53">
        <v>0.71428572999999995</v>
      </c>
      <c r="I53">
        <v>0.28571426999999999</v>
      </c>
      <c r="J53">
        <v>0.58333330000000005</v>
      </c>
    </row>
    <row r="54" spans="1:10" x14ac:dyDescent="0.3">
      <c r="A54">
        <v>52</v>
      </c>
      <c r="B54">
        <v>832</v>
      </c>
      <c r="C54" t="b">
        <v>1</v>
      </c>
      <c r="D54">
        <v>8037</v>
      </c>
      <c r="E54">
        <v>8123</v>
      </c>
      <c r="F54">
        <v>8</v>
      </c>
      <c r="G54">
        <v>11.2</v>
      </c>
      <c r="H54">
        <v>0.71428572999999995</v>
      </c>
      <c r="I54">
        <v>0.28571426999999999</v>
      </c>
      <c r="J54">
        <v>0.58333330000000005</v>
      </c>
    </row>
    <row r="55" spans="1:10" x14ac:dyDescent="0.3">
      <c r="A55">
        <v>53</v>
      </c>
      <c r="B55">
        <v>848</v>
      </c>
      <c r="C55" t="b">
        <v>1</v>
      </c>
      <c r="D55">
        <v>8037</v>
      </c>
      <c r="E55">
        <v>8123</v>
      </c>
      <c r="F55">
        <v>7.6</v>
      </c>
      <c r="G55">
        <v>11.2</v>
      </c>
      <c r="H55">
        <v>0.67857140000000005</v>
      </c>
      <c r="I55">
        <v>0.32142857000000002</v>
      </c>
      <c r="J55">
        <v>0.59574466999999998</v>
      </c>
    </row>
    <row r="56" spans="1:10" x14ac:dyDescent="0.3">
      <c r="A56">
        <v>54</v>
      </c>
      <c r="B56">
        <v>864</v>
      </c>
      <c r="C56" t="b">
        <v>1</v>
      </c>
      <c r="D56">
        <v>8048</v>
      </c>
      <c r="E56">
        <v>8123</v>
      </c>
      <c r="F56">
        <v>7.6</v>
      </c>
      <c r="G56">
        <v>11.2</v>
      </c>
      <c r="H56">
        <v>0.67857140000000005</v>
      </c>
      <c r="I56">
        <v>0.32142857000000002</v>
      </c>
      <c r="J56">
        <v>0.59574466999999998</v>
      </c>
    </row>
    <row r="57" spans="1:10" x14ac:dyDescent="0.3">
      <c r="A57">
        <v>55</v>
      </c>
      <c r="B57">
        <v>880</v>
      </c>
      <c r="C57" t="b">
        <v>1</v>
      </c>
      <c r="D57">
        <v>8042</v>
      </c>
      <c r="E57">
        <v>8123</v>
      </c>
      <c r="F57">
        <v>7.2</v>
      </c>
      <c r="G57">
        <v>11.2</v>
      </c>
      <c r="H57">
        <v>0.64285713</v>
      </c>
      <c r="I57">
        <v>0.35714287</v>
      </c>
      <c r="J57">
        <v>0.6086956</v>
      </c>
    </row>
    <row r="58" spans="1:10" x14ac:dyDescent="0.3">
      <c r="A58">
        <v>56</v>
      </c>
      <c r="B58">
        <v>896</v>
      </c>
      <c r="C58" t="b">
        <v>1</v>
      </c>
      <c r="D58">
        <v>8037</v>
      </c>
      <c r="E58">
        <v>8123</v>
      </c>
      <c r="F58">
        <v>6.4666667000000002</v>
      </c>
      <c r="G58">
        <v>10.8</v>
      </c>
      <c r="H58">
        <v>0.59876543000000004</v>
      </c>
      <c r="I58">
        <v>0.40123457000000001</v>
      </c>
      <c r="J58">
        <v>0.6254826</v>
      </c>
    </row>
    <row r="59" spans="1:10" x14ac:dyDescent="0.3">
      <c r="A59">
        <v>57</v>
      </c>
      <c r="B59">
        <v>912</v>
      </c>
      <c r="C59" t="b">
        <v>1</v>
      </c>
      <c r="D59">
        <v>8042</v>
      </c>
      <c r="E59">
        <v>8123</v>
      </c>
      <c r="F59">
        <v>6.0666665999999996</v>
      </c>
      <c r="G59">
        <v>10.4</v>
      </c>
      <c r="H59">
        <v>0.5833334</v>
      </c>
      <c r="I59">
        <v>0.41666666000000002</v>
      </c>
      <c r="J59">
        <v>0.63157890000000005</v>
      </c>
    </row>
    <row r="60" spans="1:10" x14ac:dyDescent="0.3">
      <c r="A60">
        <v>58</v>
      </c>
      <c r="B60">
        <v>928</v>
      </c>
      <c r="C60" t="b">
        <v>1</v>
      </c>
      <c r="D60">
        <v>8048</v>
      </c>
      <c r="E60">
        <v>8123</v>
      </c>
      <c r="F60">
        <v>5.6666664999999998</v>
      </c>
      <c r="G60">
        <v>10</v>
      </c>
      <c r="H60">
        <v>0.56666665999999999</v>
      </c>
      <c r="I60">
        <v>0.43333334000000001</v>
      </c>
      <c r="J60">
        <v>0.63829789999999997</v>
      </c>
    </row>
    <row r="61" spans="1:10" x14ac:dyDescent="0.3">
      <c r="A61">
        <v>59</v>
      </c>
      <c r="B61">
        <v>943</v>
      </c>
      <c r="C61" t="b">
        <v>1</v>
      </c>
      <c r="D61">
        <v>8042</v>
      </c>
      <c r="E61">
        <v>8123</v>
      </c>
      <c r="F61">
        <v>5.266667</v>
      </c>
      <c r="G61">
        <v>9.6</v>
      </c>
      <c r="H61">
        <v>0.54861110000000002</v>
      </c>
      <c r="I61">
        <v>0.45138889999999998</v>
      </c>
      <c r="J61">
        <v>0.64573990000000003</v>
      </c>
    </row>
    <row r="62" spans="1:10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4.8666669999999996</v>
      </c>
      <c r="G62">
        <v>9.1999999999999993</v>
      </c>
      <c r="H62">
        <v>0.52898555999999997</v>
      </c>
      <c r="I62">
        <v>0.47101447000000002</v>
      </c>
      <c r="J62">
        <v>0.65402839999999995</v>
      </c>
    </row>
    <row r="63" spans="1:10" x14ac:dyDescent="0.3">
      <c r="A63">
        <v>61</v>
      </c>
      <c r="B63">
        <v>975</v>
      </c>
      <c r="C63" t="b">
        <v>1</v>
      </c>
      <c r="D63">
        <v>8048</v>
      </c>
      <c r="E63">
        <v>8123</v>
      </c>
      <c r="F63">
        <v>4.8666669999999996</v>
      </c>
      <c r="G63">
        <v>8.8000000000000007</v>
      </c>
      <c r="H63">
        <v>0.55303029999999997</v>
      </c>
      <c r="I63">
        <v>0.44696970000000003</v>
      </c>
      <c r="J63">
        <v>0.64390239999999999</v>
      </c>
    </row>
    <row r="64" spans="1:10" x14ac:dyDescent="0.3">
      <c r="A64">
        <v>62</v>
      </c>
      <c r="B64">
        <v>991</v>
      </c>
      <c r="C64" t="b">
        <v>1</v>
      </c>
      <c r="D64">
        <v>8048</v>
      </c>
      <c r="E64">
        <v>8129</v>
      </c>
      <c r="F64">
        <v>4.8666669999999996</v>
      </c>
      <c r="G64">
        <v>8.4</v>
      </c>
      <c r="H64">
        <v>0.57936513000000001</v>
      </c>
      <c r="I64">
        <v>0.42063486999999999</v>
      </c>
      <c r="J64">
        <v>0.63316583999999998</v>
      </c>
    </row>
    <row r="65" spans="1:10" x14ac:dyDescent="0.3">
      <c r="A65">
        <v>63</v>
      </c>
      <c r="B65">
        <v>1007</v>
      </c>
      <c r="C65" t="b">
        <v>1</v>
      </c>
      <c r="D65">
        <v>8048</v>
      </c>
      <c r="E65">
        <v>8123</v>
      </c>
      <c r="F65">
        <v>4.8666669999999996</v>
      </c>
      <c r="G65">
        <v>8</v>
      </c>
      <c r="H65">
        <v>0.60833334999999999</v>
      </c>
      <c r="I65">
        <v>0.39166665000000001</v>
      </c>
      <c r="J65">
        <v>0.62176169999999997</v>
      </c>
    </row>
    <row r="66" spans="1:10" x14ac:dyDescent="0.3">
      <c r="A66">
        <v>64</v>
      </c>
      <c r="B66">
        <v>1023</v>
      </c>
      <c r="C66" t="b">
        <v>1</v>
      </c>
      <c r="D66">
        <v>8048</v>
      </c>
      <c r="E66">
        <v>8123</v>
      </c>
      <c r="F66">
        <v>4.8666669999999996</v>
      </c>
      <c r="G66">
        <v>8</v>
      </c>
      <c r="H66">
        <v>0.60833334999999999</v>
      </c>
      <c r="I66">
        <v>0.39166665000000001</v>
      </c>
      <c r="J66">
        <v>0.62176169999999997</v>
      </c>
    </row>
    <row r="67" spans="1:10" x14ac:dyDescent="0.3">
      <c r="A67">
        <v>65</v>
      </c>
      <c r="B67">
        <v>1038</v>
      </c>
      <c r="C67" t="b">
        <v>1</v>
      </c>
      <c r="D67">
        <v>8048</v>
      </c>
      <c r="E67">
        <v>8129</v>
      </c>
      <c r="F67">
        <v>4.8666669999999996</v>
      </c>
      <c r="G67">
        <v>8</v>
      </c>
      <c r="H67">
        <v>0.60833334999999999</v>
      </c>
      <c r="I67">
        <v>0.39166665000000001</v>
      </c>
      <c r="J67">
        <v>0.62176169999999997</v>
      </c>
    </row>
    <row r="68" spans="1:10" x14ac:dyDescent="0.3">
      <c r="A68">
        <v>66</v>
      </c>
      <c r="B68">
        <v>1055</v>
      </c>
      <c r="C68" t="b">
        <v>1</v>
      </c>
      <c r="D68">
        <v>8048</v>
      </c>
      <c r="E68">
        <v>8123</v>
      </c>
      <c r="F68">
        <v>4.8666669999999996</v>
      </c>
      <c r="G68">
        <v>8</v>
      </c>
      <c r="H68">
        <v>0.60833334999999999</v>
      </c>
      <c r="I68">
        <v>0.39166665000000001</v>
      </c>
      <c r="J68">
        <v>0.62176169999999997</v>
      </c>
    </row>
    <row r="69" spans="1:10" x14ac:dyDescent="0.3">
      <c r="A69">
        <v>67</v>
      </c>
      <c r="B69">
        <v>1070</v>
      </c>
      <c r="C69" t="b">
        <v>1</v>
      </c>
      <c r="D69">
        <v>8042</v>
      </c>
      <c r="E69">
        <v>8129</v>
      </c>
      <c r="F69">
        <v>4.8666669999999996</v>
      </c>
      <c r="G69">
        <v>8</v>
      </c>
      <c r="H69">
        <v>0.60833334999999999</v>
      </c>
      <c r="I69">
        <v>0.39166665000000001</v>
      </c>
      <c r="J69">
        <v>0.62176169999999997</v>
      </c>
    </row>
    <row r="70" spans="1:10" x14ac:dyDescent="0.3">
      <c r="A70">
        <v>68</v>
      </c>
      <c r="B70">
        <v>1086</v>
      </c>
      <c r="C70" t="b">
        <v>1</v>
      </c>
      <c r="D70">
        <v>8042</v>
      </c>
      <c r="E70">
        <v>8123</v>
      </c>
      <c r="F70">
        <v>5.266667</v>
      </c>
      <c r="G70">
        <v>8</v>
      </c>
      <c r="H70">
        <v>0.65833335999999998</v>
      </c>
      <c r="I70">
        <v>0.34166664000000002</v>
      </c>
      <c r="J70">
        <v>0.60301506999999999</v>
      </c>
    </row>
    <row r="71" spans="1:10" x14ac:dyDescent="0.3">
      <c r="A71">
        <v>69</v>
      </c>
      <c r="B71">
        <v>1102</v>
      </c>
      <c r="C71" t="b">
        <v>1</v>
      </c>
      <c r="D71">
        <v>8048</v>
      </c>
      <c r="E71">
        <v>8123</v>
      </c>
      <c r="F71">
        <v>5.266667</v>
      </c>
      <c r="G71">
        <v>8</v>
      </c>
      <c r="H71">
        <v>0.65833335999999998</v>
      </c>
      <c r="I71">
        <v>0.34166664000000002</v>
      </c>
      <c r="J71">
        <v>0.60301506999999999</v>
      </c>
    </row>
    <row r="72" spans="1:10" x14ac:dyDescent="0.3">
      <c r="A72">
        <v>70</v>
      </c>
      <c r="B72">
        <v>1118</v>
      </c>
      <c r="C72" t="b">
        <v>1</v>
      </c>
      <c r="D72">
        <v>8048</v>
      </c>
      <c r="E72">
        <v>8123</v>
      </c>
      <c r="F72">
        <v>5.6666664999999998</v>
      </c>
      <c r="G72">
        <v>8</v>
      </c>
      <c r="H72">
        <v>0.70833330000000005</v>
      </c>
      <c r="I72">
        <v>0.2916667</v>
      </c>
      <c r="J72">
        <v>0.58536589999999999</v>
      </c>
    </row>
    <row r="73" spans="1:10" x14ac:dyDescent="0.3">
      <c r="A73">
        <v>71</v>
      </c>
      <c r="B73">
        <v>1133</v>
      </c>
      <c r="C73" t="b">
        <v>1</v>
      </c>
      <c r="D73">
        <v>8048</v>
      </c>
      <c r="E73">
        <v>8123</v>
      </c>
      <c r="F73">
        <v>6.4</v>
      </c>
      <c r="G73">
        <v>8</v>
      </c>
      <c r="H73">
        <v>0.8</v>
      </c>
      <c r="I73">
        <v>0.19999998999999999</v>
      </c>
      <c r="J73">
        <v>0.55555560000000004</v>
      </c>
    </row>
    <row r="74" spans="1:10" x14ac:dyDescent="0.3">
      <c r="A74">
        <v>72</v>
      </c>
      <c r="B74">
        <v>1150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1166</v>
      </c>
      <c r="C75" t="b">
        <v>1</v>
      </c>
      <c r="D75">
        <v>8048</v>
      </c>
      <c r="E75">
        <v>8123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1181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1197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1213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1229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1245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1277</v>
      </c>
      <c r="C82" t="b">
        <v>1</v>
      </c>
      <c r="D82">
        <v>8042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1308</v>
      </c>
      <c r="C84" t="b">
        <v>1</v>
      </c>
      <c r="D84">
        <v>8042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1341</v>
      </c>
      <c r="C86" t="b">
        <v>1</v>
      </c>
      <c r="D86">
        <v>8054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8117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1372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1388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1404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8111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8042</v>
      </c>
      <c r="E93">
        <v>8117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1467</v>
      </c>
      <c r="C94" t="b">
        <v>1</v>
      </c>
      <c r="D94">
        <v>8048</v>
      </c>
      <c r="E94">
        <v>8123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1483</v>
      </c>
      <c r="C95" t="b">
        <v>1</v>
      </c>
      <c r="D95">
        <v>8042</v>
      </c>
      <c r="E95">
        <v>8117</v>
      </c>
      <c r="F95">
        <v>8</v>
      </c>
      <c r="G95">
        <v>7.6</v>
      </c>
      <c r="H95">
        <v>1.0526316</v>
      </c>
      <c r="I95">
        <v>-5.2631589999999999E-2</v>
      </c>
      <c r="J95">
        <v>0.48717946000000001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8117</v>
      </c>
      <c r="F96">
        <v>8</v>
      </c>
      <c r="G96">
        <v>7.2</v>
      </c>
      <c r="H96">
        <v>1.1111112000000001</v>
      </c>
      <c r="I96">
        <v>-0.11111114</v>
      </c>
      <c r="J96">
        <v>0.4736842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7.6</v>
      </c>
      <c r="G97">
        <v>6.8</v>
      </c>
      <c r="H97">
        <v>1.1176470000000001</v>
      </c>
      <c r="I97">
        <v>-0.11764701499999999</v>
      </c>
      <c r="J97">
        <v>0.47222224000000002</v>
      </c>
    </row>
    <row r="98" spans="1:10" x14ac:dyDescent="0.3">
      <c r="A98">
        <v>96</v>
      </c>
      <c r="B98">
        <v>1530</v>
      </c>
      <c r="C98" t="b">
        <v>1</v>
      </c>
      <c r="D98">
        <v>8042</v>
      </c>
      <c r="E98">
        <v>8123</v>
      </c>
      <c r="F98">
        <v>7.2</v>
      </c>
      <c r="G98">
        <v>6.8</v>
      </c>
      <c r="H98">
        <v>1.0588234999999999</v>
      </c>
      <c r="I98">
        <v>-5.8823470000000003E-2</v>
      </c>
      <c r="J98">
        <v>0.48571429999999999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6.8</v>
      </c>
      <c r="G99">
        <v>6.8</v>
      </c>
      <c r="H99">
        <v>1</v>
      </c>
      <c r="I99">
        <v>0</v>
      </c>
      <c r="J99">
        <v>0.5</v>
      </c>
    </row>
    <row r="100" spans="1:10" x14ac:dyDescent="0.3">
      <c r="A100">
        <v>98</v>
      </c>
      <c r="B100">
        <v>1562</v>
      </c>
      <c r="C100" t="b">
        <v>1</v>
      </c>
      <c r="D100">
        <v>8054</v>
      </c>
      <c r="E100">
        <v>8123</v>
      </c>
      <c r="F100">
        <v>6.8</v>
      </c>
      <c r="G100">
        <v>6.8</v>
      </c>
      <c r="H100">
        <v>1</v>
      </c>
      <c r="I100">
        <v>0</v>
      </c>
      <c r="J100">
        <v>0.5</v>
      </c>
    </row>
    <row r="101" spans="1:10" x14ac:dyDescent="0.3">
      <c r="A101">
        <v>99</v>
      </c>
      <c r="B101">
        <v>1578</v>
      </c>
      <c r="C101" t="b">
        <v>1</v>
      </c>
      <c r="D101">
        <v>8048</v>
      </c>
      <c r="E101">
        <v>8123</v>
      </c>
      <c r="F101">
        <v>6.8</v>
      </c>
      <c r="G101">
        <v>6.8</v>
      </c>
      <c r="H101">
        <v>1</v>
      </c>
      <c r="I101">
        <v>0</v>
      </c>
      <c r="J101">
        <v>0.5</v>
      </c>
    </row>
    <row r="102" spans="1:10" x14ac:dyDescent="0.3">
      <c r="A102">
        <v>100</v>
      </c>
      <c r="B102">
        <v>1594</v>
      </c>
      <c r="C102" t="b">
        <v>1</v>
      </c>
      <c r="D102">
        <v>8054</v>
      </c>
      <c r="E102">
        <v>8117</v>
      </c>
      <c r="F102">
        <v>7.2</v>
      </c>
      <c r="G102">
        <v>6.8</v>
      </c>
      <c r="H102">
        <v>1.0588234999999999</v>
      </c>
      <c r="I102">
        <v>-5.8823470000000003E-2</v>
      </c>
      <c r="J102">
        <v>0.48571429999999999</v>
      </c>
    </row>
    <row r="103" spans="1:10" x14ac:dyDescent="0.3">
      <c r="A103">
        <v>101</v>
      </c>
      <c r="B103">
        <v>1610</v>
      </c>
      <c r="C103" t="b">
        <v>1</v>
      </c>
      <c r="D103">
        <v>8054</v>
      </c>
      <c r="E103">
        <v>8123</v>
      </c>
      <c r="F103">
        <v>7.6</v>
      </c>
      <c r="G103">
        <v>6.8</v>
      </c>
      <c r="H103">
        <v>1.1176470000000001</v>
      </c>
      <c r="I103">
        <v>-0.11764701499999999</v>
      </c>
      <c r="J103">
        <v>0.47222224000000002</v>
      </c>
    </row>
    <row r="104" spans="1:10" x14ac:dyDescent="0.3">
      <c r="A104">
        <v>102</v>
      </c>
      <c r="B104">
        <v>1626</v>
      </c>
      <c r="C104" t="b">
        <v>1</v>
      </c>
      <c r="D104">
        <v>8054</v>
      </c>
      <c r="E104">
        <v>8129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1642</v>
      </c>
      <c r="C105" t="b">
        <v>1</v>
      </c>
      <c r="D105">
        <v>8048</v>
      </c>
      <c r="E105">
        <v>8129</v>
      </c>
      <c r="F105">
        <v>8.4</v>
      </c>
      <c r="G105">
        <v>6.8</v>
      </c>
      <c r="H105">
        <v>1.2352939999999999</v>
      </c>
      <c r="I105">
        <v>-0.23529402999999999</v>
      </c>
      <c r="J105">
        <v>0.44736843999999998</v>
      </c>
    </row>
    <row r="106" spans="1:10" x14ac:dyDescent="0.3">
      <c r="A106">
        <v>104</v>
      </c>
      <c r="B106">
        <v>1658</v>
      </c>
      <c r="C106" t="b">
        <v>1</v>
      </c>
      <c r="D106">
        <v>8048</v>
      </c>
      <c r="E106">
        <v>8134</v>
      </c>
      <c r="F106">
        <v>8.8000000000000007</v>
      </c>
      <c r="G106">
        <v>7.2</v>
      </c>
      <c r="H106">
        <v>1.2222223000000001</v>
      </c>
      <c r="I106">
        <v>-0.22222227999999999</v>
      </c>
      <c r="J106">
        <v>0.45</v>
      </c>
    </row>
    <row r="107" spans="1:10" x14ac:dyDescent="0.3">
      <c r="A107">
        <v>105</v>
      </c>
      <c r="B107">
        <v>1674</v>
      </c>
      <c r="C107" t="b">
        <v>1</v>
      </c>
      <c r="D107">
        <v>8048</v>
      </c>
      <c r="E107">
        <v>8129</v>
      </c>
      <c r="F107">
        <v>8.8000000000000007</v>
      </c>
      <c r="G107">
        <v>7.6</v>
      </c>
      <c r="H107">
        <v>1.1578946999999999</v>
      </c>
      <c r="I107">
        <v>-0.15789478000000001</v>
      </c>
      <c r="J107">
        <v>0.46341463999999999</v>
      </c>
    </row>
    <row r="108" spans="1:10" x14ac:dyDescent="0.3">
      <c r="A108">
        <v>106</v>
      </c>
      <c r="B108">
        <v>1689</v>
      </c>
      <c r="C108" t="b">
        <v>1</v>
      </c>
      <c r="D108">
        <v>8048</v>
      </c>
      <c r="E108">
        <v>8129</v>
      </c>
      <c r="F108">
        <v>8.8000000000000007</v>
      </c>
      <c r="G108">
        <v>8</v>
      </c>
      <c r="H108">
        <v>1.1000000000000001</v>
      </c>
      <c r="I108">
        <v>-0.10000002400000001</v>
      </c>
      <c r="J108">
        <v>0.47619050000000002</v>
      </c>
    </row>
    <row r="109" spans="1:10" x14ac:dyDescent="0.3">
      <c r="A109">
        <v>107</v>
      </c>
      <c r="B109">
        <v>1705</v>
      </c>
      <c r="C109" t="b">
        <v>1</v>
      </c>
      <c r="D109">
        <v>8042</v>
      </c>
      <c r="E109">
        <v>8129</v>
      </c>
      <c r="F109">
        <v>8.8000000000000007</v>
      </c>
      <c r="G109">
        <v>8.4</v>
      </c>
      <c r="H109">
        <v>1.0476190999999999</v>
      </c>
      <c r="I109">
        <v>-4.7619120000000001E-2</v>
      </c>
      <c r="J109">
        <v>0.48837206</v>
      </c>
    </row>
    <row r="110" spans="1:10" x14ac:dyDescent="0.3">
      <c r="A110">
        <v>108</v>
      </c>
      <c r="B110">
        <v>1721</v>
      </c>
      <c r="C110" t="b">
        <v>1</v>
      </c>
      <c r="D110">
        <v>8048</v>
      </c>
      <c r="E110">
        <v>8123</v>
      </c>
      <c r="F110">
        <v>8.8000000000000007</v>
      </c>
      <c r="G110">
        <v>9.1999999999999993</v>
      </c>
      <c r="H110">
        <v>0.95652179999999998</v>
      </c>
      <c r="I110">
        <v>4.3478219999999998E-2</v>
      </c>
      <c r="J110">
        <v>0.51111110000000004</v>
      </c>
    </row>
    <row r="111" spans="1:10" x14ac:dyDescent="0.3">
      <c r="A111">
        <v>109</v>
      </c>
      <c r="B111">
        <v>1737</v>
      </c>
      <c r="C111" t="b">
        <v>1</v>
      </c>
      <c r="D111">
        <v>8048</v>
      </c>
      <c r="E111">
        <v>8123</v>
      </c>
      <c r="F111">
        <v>8.8000000000000007</v>
      </c>
      <c r="G111">
        <v>10</v>
      </c>
      <c r="H111">
        <v>0.88</v>
      </c>
      <c r="I111">
        <v>0.11999998000000001</v>
      </c>
      <c r="J111">
        <v>0.53191489999999997</v>
      </c>
    </row>
    <row r="112" spans="1:10" x14ac:dyDescent="0.3">
      <c r="A112">
        <v>110</v>
      </c>
      <c r="B112">
        <v>1753</v>
      </c>
      <c r="C112" t="b">
        <v>1</v>
      </c>
      <c r="D112">
        <v>8048</v>
      </c>
      <c r="E112">
        <v>8117</v>
      </c>
      <c r="F112">
        <v>9.1999999999999993</v>
      </c>
      <c r="G112">
        <v>10.4</v>
      </c>
      <c r="H112">
        <v>0.88461540000000005</v>
      </c>
      <c r="I112">
        <v>0.1153846</v>
      </c>
      <c r="J112">
        <v>0.53061230000000004</v>
      </c>
    </row>
    <row r="113" spans="1:10" x14ac:dyDescent="0.3">
      <c r="A113">
        <v>111</v>
      </c>
      <c r="B113">
        <v>1769</v>
      </c>
      <c r="C113" t="b">
        <v>1</v>
      </c>
      <c r="D113">
        <v>8054</v>
      </c>
      <c r="E113">
        <v>8129</v>
      </c>
      <c r="F113">
        <v>9.6</v>
      </c>
      <c r="G113">
        <v>10.4</v>
      </c>
      <c r="H113">
        <v>0.92307700000000004</v>
      </c>
      <c r="I113">
        <v>7.6923005000000003E-2</v>
      </c>
      <c r="J113">
        <v>0.52</v>
      </c>
    </row>
    <row r="114" spans="1:10" x14ac:dyDescent="0.3">
      <c r="A114">
        <v>112</v>
      </c>
      <c r="B114">
        <v>1785</v>
      </c>
      <c r="C114" t="b">
        <v>1</v>
      </c>
      <c r="D114">
        <v>8048</v>
      </c>
      <c r="E114">
        <v>8123</v>
      </c>
      <c r="F114">
        <v>10</v>
      </c>
      <c r="G114">
        <v>10.4</v>
      </c>
      <c r="H114">
        <v>0.96153849999999996</v>
      </c>
      <c r="I114">
        <v>3.8461503000000001E-2</v>
      </c>
      <c r="J114">
        <v>0.50980389999999998</v>
      </c>
    </row>
    <row r="115" spans="1:10" x14ac:dyDescent="0.3">
      <c r="A115">
        <v>113</v>
      </c>
      <c r="B115">
        <v>1800</v>
      </c>
      <c r="C115" t="b">
        <v>1</v>
      </c>
      <c r="D115">
        <v>8054</v>
      </c>
      <c r="E115">
        <v>8117</v>
      </c>
      <c r="F115">
        <v>10</v>
      </c>
      <c r="G115">
        <v>10.4</v>
      </c>
      <c r="H115">
        <v>0.96153849999999996</v>
      </c>
      <c r="I115">
        <v>3.8461503000000001E-2</v>
      </c>
      <c r="J115">
        <v>0.50980389999999998</v>
      </c>
    </row>
    <row r="116" spans="1:10" x14ac:dyDescent="0.3">
      <c r="A116">
        <v>114</v>
      </c>
      <c r="B116">
        <v>1816</v>
      </c>
      <c r="C116" t="b">
        <v>1</v>
      </c>
      <c r="D116">
        <v>8042</v>
      </c>
      <c r="E116">
        <v>8123</v>
      </c>
      <c r="F116">
        <v>10</v>
      </c>
      <c r="G116">
        <v>10.4</v>
      </c>
      <c r="H116">
        <v>0.96153849999999996</v>
      </c>
      <c r="I116">
        <v>3.8461503000000001E-2</v>
      </c>
      <c r="J116">
        <v>0.50980389999999998</v>
      </c>
    </row>
    <row r="117" spans="1:10" x14ac:dyDescent="0.3">
      <c r="A117">
        <v>115</v>
      </c>
      <c r="B117">
        <v>1832</v>
      </c>
      <c r="C117" t="b">
        <v>1</v>
      </c>
      <c r="D117">
        <v>8048</v>
      </c>
      <c r="E117">
        <v>8123</v>
      </c>
      <c r="F117">
        <v>9.6</v>
      </c>
      <c r="G117">
        <v>10.4</v>
      </c>
      <c r="H117">
        <v>0.92307700000000004</v>
      </c>
      <c r="I117">
        <v>7.6923005000000003E-2</v>
      </c>
      <c r="J117">
        <v>0.52</v>
      </c>
    </row>
    <row r="118" spans="1:10" x14ac:dyDescent="0.3">
      <c r="A118">
        <v>116</v>
      </c>
      <c r="B118">
        <v>1848</v>
      </c>
      <c r="C118" t="b">
        <v>1</v>
      </c>
      <c r="D118">
        <v>8048</v>
      </c>
      <c r="E118">
        <v>8123</v>
      </c>
      <c r="F118">
        <v>9.1999999999999993</v>
      </c>
      <c r="G118">
        <v>10.4</v>
      </c>
      <c r="H118">
        <v>0.88461540000000005</v>
      </c>
      <c r="I118">
        <v>0.1153846</v>
      </c>
      <c r="J118">
        <v>0.53061230000000004</v>
      </c>
    </row>
    <row r="119" spans="1:10" x14ac:dyDescent="0.3">
      <c r="A119">
        <v>117</v>
      </c>
      <c r="B119">
        <v>1864</v>
      </c>
      <c r="C119" t="b">
        <v>1</v>
      </c>
      <c r="D119">
        <v>8048</v>
      </c>
      <c r="E119">
        <v>8123</v>
      </c>
      <c r="F119">
        <v>8.8000000000000007</v>
      </c>
      <c r="G119">
        <v>10.4</v>
      </c>
      <c r="H119">
        <v>0.84615390000000001</v>
      </c>
      <c r="I119">
        <v>0.15384610000000001</v>
      </c>
      <c r="J119">
        <v>0.5416666</v>
      </c>
    </row>
    <row r="120" spans="1:10" x14ac:dyDescent="0.3">
      <c r="A120">
        <v>118</v>
      </c>
      <c r="B120">
        <v>1880</v>
      </c>
      <c r="C120" t="b">
        <v>1</v>
      </c>
      <c r="D120">
        <v>8048</v>
      </c>
      <c r="E120">
        <v>8123</v>
      </c>
      <c r="F120">
        <v>8.4</v>
      </c>
      <c r="G120">
        <v>10.4</v>
      </c>
      <c r="H120">
        <v>0.80769230000000003</v>
      </c>
      <c r="I120">
        <v>0.1923077</v>
      </c>
      <c r="J120">
        <v>0.55319149999999995</v>
      </c>
    </row>
    <row r="121" spans="1:10" x14ac:dyDescent="0.3">
      <c r="A121">
        <v>119</v>
      </c>
      <c r="B121">
        <v>1896</v>
      </c>
      <c r="C121" t="b">
        <v>1</v>
      </c>
      <c r="D121">
        <v>8042</v>
      </c>
      <c r="E121">
        <v>8134</v>
      </c>
      <c r="F121">
        <v>8</v>
      </c>
      <c r="G121">
        <v>10</v>
      </c>
      <c r="H121">
        <v>0.8</v>
      </c>
      <c r="I121">
        <v>0.2</v>
      </c>
      <c r="J121">
        <v>0.55555560000000004</v>
      </c>
    </row>
    <row r="122" spans="1:10" x14ac:dyDescent="0.3">
      <c r="A122">
        <v>120</v>
      </c>
      <c r="B122">
        <v>1912</v>
      </c>
      <c r="C122" t="b">
        <v>1</v>
      </c>
      <c r="D122">
        <v>8048</v>
      </c>
      <c r="E122">
        <v>8123</v>
      </c>
      <c r="F122">
        <v>8</v>
      </c>
      <c r="G122">
        <v>9.6</v>
      </c>
      <c r="H122">
        <v>0.83333330000000005</v>
      </c>
      <c r="I122">
        <v>0.1666667</v>
      </c>
      <c r="J122">
        <v>0.54545456000000003</v>
      </c>
    </row>
    <row r="123" spans="1:10" x14ac:dyDescent="0.3">
      <c r="A123">
        <v>121</v>
      </c>
      <c r="B123">
        <v>1928</v>
      </c>
      <c r="C123" t="b">
        <v>1</v>
      </c>
      <c r="D123">
        <v>8042</v>
      </c>
      <c r="E123">
        <v>8123</v>
      </c>
      <c r="F123">
        <v>8</v>
      </c>
      <c r="G123">
        <v>9.1999999999999993</v>
      </c>
      <c r="H123">
        <v>0.86956524999999996</v>
      </c>
      <c r="I123">
        <v>0.13043477000000001</v>
      </c>
      <c r="J123">
        <v>0.53488369999999996</v>
      </c>
    </row>
    <row r="124" spans="1:10" x14ac:dyDescent="0.3">
      <c r="A124">
        <v>122</v>
      </c>
      <c r="B124">
        <v>1944</v>
      </c>
      <c r="C124" t="b">
        <v>1</v>
      </c>
      <c r="D124">
        <v>8048</v>
      </c>
      <c r="E124">
        <v>8123</v>
      </c>
      <c r="F124">
        <v>8</v>
      </c>
      <c r="G124">
        <v>8.8000000000000007</v>
      </c>
      <c r="H124">
        <v>0.90909090000000004</v>
      </c>
      <c r="I124">
        <v>9.0909110000000001E-2</v>
      </c>
      <c r="J124">
        <v>0.52380954999999996</v>
      </c>
    </row>
    <row r="125" spans="1:10" x14ac:dyDescent="0.3">
      <c r="A125">
        <v>123</v>
      </c>
      <c r="B125">
        <v>1959</v>
      </c>
      <c r="C125" t="b">
        <v>1</v>
      </c>
      <c r="D125">
        <v>8048</v>
      </c>
      <c r="E125">
        <v>8123</v>
      </c>
      <c r="F125">
        <v>8</v>
      </c>
      <c r="G125">
        <v>8.4</v>
      </c>
      <c r="H125">
        <v>0.95238100000000003</v>
      </c>
      <c r="I125">
        <v>4.7619003999999999E-2</v>
      </c>
      <c r="J125">
        <v>0.51219510000000001</v>
      </c>
    </row>
    <row r="126" spans="1:10" x14ac:dyDescent="0.3">
      <c r="A126">
        <v>124</v>
      </c>
      <c r="B126">
        <v>1975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1991</v>
      </c>
      <c r="C127" t="b">
        <v>1</v>
      </c>
      <c r="D127">
        <v>8042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2007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2023</v>
      </c>
      <c r="C129" t="b">
        <v>1</v>
      </c>
      <c r="D129">
        <v>8048</v>
      </c>
      <c r="E129">
        <v>8117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2039</v>
      </c>
      <c r="C130" t="b">
        <v>1</v>
      </c>
      <c r="D130">
        <v>8048</v>
      </c>
      <c r="E130">
        <v>8117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2070</v>
      </c>
      <c r="C132" t="b">
        <v>1</v>
      </c>
      <c r="D132">
        <v>8048</v>
      </c>
      <c r="E132">
        <v>8117</v>
      </c>
      <c r="F132">
        <v>8</v>
      </c>
      <c r="G132">
        <v>7.6</v>
      </c>
      <c r="H132">
        <v>1.0526316</v>
      </c>
      <c r="I132">
        <v>-5.2631589999999999E-2</v>
      </c>
      <c r="J132">
        <v>0.48717946000000001</v>
      </c>
    </row>
    <row r="133" spans="1:10" x14ac:dyDescent="0.3">
      <c r="A133">
        <v>131</v>
      </c>
      <c r="B133">
        <v>2086</v>
      </c>
      <c r="C133" t="b">
        <v>1</v>
      </c>
      <c r="D133">
        <v>8042</v>
      </c>
      <c r="E133">
        <v>8117</v>
      </c>
      <c r="F133">
        <v>8</v>
      </c>
      <c r="G133">
        <v>7.2</v>
      </c>
      <c r="H133">
        <v>1.1111112000000001</v>
      </c>
      <c r="I133">
        <v>-0.11111114</v>
      </c>
      <c r="J133">
        <v>0.4736842</v>
      </c>
    </row>
    <row r="134" spans="1:10" x14ac:dyDescent="0.3">
      <c r="A134">
        <v>132</v>
      </c>
      <c r="B134">
        <v>2102</v>
      </c>
      <c r="C134" t="b">
        <v>1</v>
      </c>
      <c r="D134">
        <v>8048</v>
      </c>
      <c r="E134">
        <v>8123</v>
      </c>
      <c r="F134">
        <v>8</v>
      </c>
      <c r="G134">
        <v>6.8</v>
      </c>
      <c r="H134">
        <v>1.1764705</v>
      </c>
      <c r="I134">
        <v>-0.17647055</v>
      </c>
      <c r="J134">
        <v>0.45945944999999999</v>
      </c>
    </row>
    <row r="135" spans="1:10" x14ac:dyDescent="0.3">
      <c r="A135">
        <v>133</v>
      </c>
      <c r="B135">
        <v>2118</v>
      </c>
      <c r="C135" t="b">
        <v>1</v>
      </c>
      <c r="D135">
        <v>8042</v>
      </c>
      <c r="E135">
        <v>8123</v>
      </c>
      <c r="F135">
        <v>8</v>
      </c>
      <c r="G135">
        <v>6.8</v>
      </c>
      <c r="H135">
        <v>1.1764705</v>
      </c>
      <c r="I135">
        <v>-0.17647055</v>
      </c>
      <c r="J135">
        <v>0.45945944999999999</v>
      </c>
    </row>
    <row r="136" spans="1:10" x14ac:dyDescent="0.3">
      <c r="A136">
        <v>134</v>
      </c>
      <c r="B136">
        <v>2134</v>
      </c>
      <c r="C136" t="b">
        <v>1</v>
      </c>
      <c r="D136">
        <v>8042</v>
      </c>
      <c r="E136">
        <v>8123</v>
      </c>
      <c r="F136">
        <v>7.6</v>
      </c>
      <c r="G136">
        <v>6.8</v>
      </c>
      <c r="H136">
        <v>1.1176470000000001</v>
      </c>
      <c r="I136">
        <v>-0.11764701499999999</v>
      </c>
      <c r="J136">
        <v>0.47222224000000002</v>
      </c>
    </row>
    <row r="137" spans="1:10" x14ac:dyDescent="0.3">
      <c r="A137">
        <v>135</v>
      </c>
      <c r="B137">
        <v>2150</v>
      </c>
      <c r="C137" t="b">
        <v>1</v>
      </c>
      <c r="D137">
        <v>8054</v>
      </c>
      <c r="E137">
        <v>8123</v>
      </c>
      <c r="F137">
        <v>7.2</v>
      </c>
      <c r="G137">
        <v>6.8</v>
      </c>
      <c r="H137">
        <v>1.0588234999999999</v>
      </c>
      <c r="I137">
        <v>-5.8823470000000003E-2</v>
      </c>
      <c r="J137">
        <v>0.48571429999999999</v>
      </c>
    </row>
    <row r="138" spans="1:10" x14ac:dyDescent="0.3">
      <c r="A138">
        <v>136</v>
      </c>
      <c r="B138">
        <v>2166</v>
      </c>
      <c r="C138" t="b">
        <v>1</v>
      </c>
      <c r="D138">
        <v>8054</v>
      </c>
      <c r="E138">
        <v>8123</v>
      </c>
      <c r="F138">
        <v>7.2</v>
      </c>
      <c r="G138">
        <v>6.8</v>
      </c>
      <c r="H138">
        <v>1.0588234999999999</v>
      </c>
      <c r="I138">
        <v>-5.8823470000000003E-2</v>
      </c>
      <c r="J138">
        <v>0.48571429999999999</v>
      </c>
    </row>
    <row r="139" spans="1:10" x14ac:dyDescent="0.3">
      <c r="A139">
        <v>137</v>
      </c>
      <c r="B139">
        <v>2182</v>
      </c>
      <c r="C139" t="b">
        <v>1</v>
      </c>
      <c r="D139">
        <v>8054</v>
      </c>
      <c r="E139">
        <v>8123</v>
      </c>
      <c r="F139">
        <v>7.6</v>
      </c>
      <c r="G139">
        <v>6.8</v>
      </c>
      <c r="H139">
        <v>1.1176470000000001</v>
      </c>
      <c r="I139">
        <v>-0.11764701499999999</v>
      </c>
      <c r="J139">
        <v>0.47222224000000002</v>
      </c>
    </row>
    <row r="140" spans="1:10" x14ac:dyDescent="0.3">
      <c r="A140">
        <v>138</v>
      </c>
      <c r="B140">
        <v>2198</v>
      </c>
      <c r="C140" t="b">
        <v>1</v>
      </c>
      <c r="D140">
        <v>8054</v>
      </c>
      <c r="E140">
        <v>8123</v>
      </c>
      <c r="F140">
        <v>8</v>
      </c>
      <c r="G140">
        <v>6.8</v>
      </c>
      <c r="H140">
        <v>1.1764705</v>
      </c>
      <c r="I140">
        <v>-0.17647055</v>
      </c>
      <c r="J140">
        <v>0.45945944999999999</v>
      </c>
    </row>
    <row r="141" spans="1:10" x14ac:dyDescent="0.3">
      <c r="A141">
        <v>139</v>
      </c>
      <c r="B141">
        <v>2214</v>
      </c>
      <c r="C141" t="b">
        <v>1</v>
      </c>
      <c r="D141">
        <v>8054</v>
      </c>
      <c r="E141">
        <v>8123</v>
      </c>
      <c r="F141">
        <v>8.4</v>
      </c>
      <c r="G141">
        <v>6.8</v>
      </c>
      <c r="H141">
        <v>1.2352939999999999</v>
      </c>
      <c r="I141">
        <v>-0.23529402999999999</v>
      </c>
      <c r="J141">
        <v>0.44736843999999998</v>
      </c>
    </row>
    <row r="142" spans="1:10" x14ac:dyDescent="0.3">
      <c r="A142">
        <v>140</v>
      </c>
      <c r="B142">
        <v>2230</v>
      </c>
      <c r="C142" t="b">
        <v>1</v>
      </c>
      <c r="D142">
        <v>8054</v>
      </c>
      <c r="E142">
        <v>8123</v>
      </c>
      <c r="F142">
        <v>8.8000000000000007</v>
      </c>
      <c r="G142">
        <v>6.8</v>
      </c>
      <c r="H142">
        <v>1.2941176999999999</v>
      </c>
      <c r="I142">
        <v>-0.29411763000000002</v>
      </c>
      <c r="J142">
        <v>0.43589744000000002</v>
      </c>
    </row>
    <row r="143" spans="1:10" x14ac:dyDescent="0.3">
      <c r="A143">
        <v>141</v>
      </c>
      <c r="B143">
        <v>2246</v>
      </c>
      <c r="C143" t="b">
        <v>1</v>
      </c>
      <c r="D143">
        <v>8048</v>
      </c>
      <c r="E143">
        <v>8123</v>
      </c>
      <c r="F143">
        <v>9.1999999999999993</v>
      </c>
      <c r="G143">
        <v>6.8</v>
      </c>
      <c r="H143">
        <v>1.3529412000000001</v>
      </c>
      <c r="I143">
        <v>-0.35294110000000001</v>
      </c>
      <c r="J143">
        <v>0.42499999999999999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9.6</v>
      </c>
      <c r="G144">
        <v>6.8</v>
      </c>
      <c r="H144">
        <v>1.4117647</v>
      </c>
      <c r="I144">
        <v>-0.41176469999999998</v>
      </c>
      <c r="J144">
        <v>0.41463410000000001</v>
      </c>
    </row>
    <row r="145" spans="1:10" x14ac:dyDescent="0.3">
      <c r="A145">
        <v>143</v>
      </c>
      <c r="B145">
        <v>2277</v>
      </c>
      <c r="C145" t="b">
        <v>1</v>
      </c>
      <c r="D145">
        <v>8048</v>
      </c>
      <c r="E145">
        <v>8123</v>
      </c>
      <c r="F145">
        <v>9.6</v>
      </c>
      <c r="G145">
        <v>6.8</v>
      </c>
      <c r="H145">
        <v>1.4117647</v>
      </c>
      <c r="I145">
        <v>-0.41176469999999998</v>
      </c>
      <c r="J145">
        <v>0.41463410000000001</v>
      </c>
    </row>
    <row r="146" spans="1:10" x14ac:dyDescent="0.3">
      <c r="A146">
        <v>144</v>
      </c>
      <c r="B146">
        <v>2293</v>
      </c>
      <c r="C146" t="b">
        <v>1</v>
      </c>
      <c r="D146">
        <v>8048</v>
      </c>
      <c r="E146">
        <v>8123</v>
      </c>
      <c r="F146">
        <v>9.6</v>
      </c>
      <c r="G146">
        <v>6.8</v>
      </c>
      <c r="H146">
        <v>1.4117647</v>
      </c>
      <c r="I146">
        <v>-0.41176469999999998</v>
      </c>
      <c r="J146">
        <v>0.41463410000000001</v>
      </c>
    </row>
    <row r="147" spans="1:10" x14ac:dyDescent="0.3">
      <c r="A147">
        <v>145</v>
      </c>
      <c r="B147">
        <v>2309</v>
      </c>
      <c r="C147" t="b">
        <v>1</v>
      </c>
      <c r="D147">
        <v>8048</v>
      </c>
      <c r="E147">
        <v>8117</v>
      </c>
      <c r="F147">
        <v>9.6</v>
      </c>
      <c r="G147">
        <v>7.2</v>
      </c>
      <c r="H147">
        <v>1.3333333999999999</v>
      </c>
      <c r="I147">
        <v>-0.33333342999999999</v>
      </c>
      <c r="J147">
        <v>0.42857142999999998</v>
      </c>
    </row>
    <row r="148" spans="1:10" x14ac:dyDescent="0.3">
      <c r="A148">
        <v>146</v>
      </c>
      <c r="B148">
        <v>2325</v>
      </c>
      <c r="C148" t="b">
        <v>1</v>
      </c>
      <c r="D148">
        <v>8048</v>
      </c>
      <c r="E148">
        <v>8123</v>
      </c>
      <c r="F148">
        <v>9.6</v>
      </c>
      <c r="G148">
        <v>7.6</v>
      </c>
      <c r="H148">
        <v>1.263158</v>
      </c>
      <c r="I148">
        <v>-0.26315796000000002</v>
      </c>
      <c r="J148">
        <v>0.44186044000000002</v>
      </c>
    </row>
    <row r="149" spans="1:10" x14ac:dyDescent="0.3">
      <c r="A149">
        <v>147</v>
      </c>
      <c r="B149">
        <v>2341</v>
      </c>
      <c r="C149" t="b">
        <v>1</v>
      </c>
      <c r="D149">
        <v>8048</v>
      </c>
      <c r="E149">
        <v>8117</v>
      </c>
      <c r="F149">
        <v>9.6</v>
      </c>
      <c r="G149">
        <v>8</v>
      </c>
      <c r="H149">
        <v>1.2</v>
      </c>
      <c r="I149">
        <v>-0.20000005000000001</v>
      </c>
      <c r="J149">
        <v>0.45454544000000002</v>
      </c>
    </row>
    <row r="150" spans="1:10" x14ac:dyDescent="0.3">
      <c r="A150">
        <v>148</v>
      </c>
      <c r="B150">
        <v>2357</v>
      </c>
      <c r="C150" t="b">
        <v>1</v>
      </c>
      <c r="D150">
        <v>8048</v>
      </c>
      <c r="E150">
        <v>8123</v>
      </c>
      <c r="F150">
        <v>9.6</v>
      </c>
      <c r="G150">
        <v>8</v>
      </c>
      <c r="H150">
        <v>1.2</v>
      </c>
      <c r="I150">
        <v>-0.20000005000000001</v>
      </c>
      <c r="J150">
        <v>0.45454544000000002</v>
      </c>
    </row>
    <row r="151" spans="1:10" x14ac:dyDescent="0.3">
      <c r="A151">
        <v>149</v>
      </c>
      <c r="B151">
        <v>2373</v>
      </c>
      <c r="C151" t="b">
        <v>1</v>
      </c>
      <c r="D151">
        <v>8042</v>
      </c>
      <c r="E151">
        <v>8117</v>
      </c>
      <c r="F151">
        <v>10</v>
      </c>
      <c r="G151">
        <v>7.6</v>
      </c>
      <c r="H151">
        <v>1.3157894999999999</v>
      </c>
      <c r="I151">
        <v>-0.3157895</v>
      </c>
      <c r="J151">
        <v>0.43181816000000001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10.4</v>
      </c>
      <c r="G152">
        <v>7.6</v>
      </c>
      <c r="H152">
        <v>1.3684210999999999</v>
      </c>
      <c r="I152">
        <v>-0.36842101999999999</v>
      </c>
      <c r="J152">
        <v>0.42222222999999998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8117</v>
      </c>
      <c r="F153">
        <v>10.4</v>
      </c>
      <c r="G153">
        <v>7.2</v>
      </c>
      <c r="H153">
        <v>1.4444444000000001</v>
      </c>
      <c r="I153">
        <v>-0.44444442000000001</v>
      </c>
      <c r="J153">
        <v>0.40909094000000001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8117</v>
      </c>
      <c r="F154">
        <v>10</v>
      </c>
      <c r="G154">
        <v>6.8</v>
      </c>
      <c r="H154">
        <v>1.4705881999999999</v>
      </c>
      <c r="I154">
        <v>-0.47058820000000001</v>
      </c>
      <c r="J154">
        <v>0.40476193999999999</v>
      </c>
    </row>
    <row r="155" spans="1:10" x14ac:dyDescent="0.3">
      <c r="A155">
        <v>153</v>
      </c>
      <c r="B155">
        <v>2436</v>
      </c>
      <c r="C155" t="b">
        <v>1</v>
      </c>
      <c r="D155">
        <v>8048</v>
      </c>
      <c r="E155">
        <v>8117</v>
      </c>
      <c r="F155">
        <v>9.6</v>
      </c>
      <c r="G155">
        <v>6.4</v>
      </c>
      <c r="H155">
        <v>1.5</v>
      </c>
      <c r="I155">
        <v>-0.50000005999999997</v>
      </c>
      <c r="J155">
        <v>0.4</v>
      </c>
    </row>
    <row r="156" spans="1:10" x14ac:dyDescent="0.3">
      <c r="A156">
        <v>154</v>
      </c>
      <c r="B156">
        <v>2452</v>
      </c>
      <c r="C156" t="b">
        <v>1</v>
      </c>
      <c r="D156">
        <v>8054</v>
      </c>
      <c r="E156">
        <v>8117</v>
      </c>
      <c r="F156">
        <v>9.1999999999999993</v>
      </c>
      <c r="G156">
        <v>6</v>
      </c>
      <c r="H156">
        <v>1.5333333</v>
      </c>
      <c r="I156">
        <v>-0.53333330000000001</v>
      </c>
      <c r="J156">
        <v>0.39473686000000002</v>
      </c>
    </row>
    <row r="157" spans="1:10" x14ac:dyDescent="0.3">
      <c r="A157">
        <v>155</v>
      </c>
      <c r="B157">
        <v>2468</v>
      </c>
      <c r="C157" t="b">
        <v>1</v>
      </c>
      <c r="D157">
        <v>8054</v>
      </c>
      <c r="E157">
        <v>8117</v>
      </c>
      <c r="F157">
        <v>8.8000000000000007</v>
      </c>
      <c r="G157">
        <v>5.6</v>
      </c>
      <c r="H157">
        <v>1.5714287</v>
      </c>
      <c r="I157">
        <v>-0.57142866000000003</v>
      </c>
      <c r="J157">
        <v>0.38888889999999998</v>
      </c>
    </row>
    <row r="158" spans="1:10" x14ac:dyDescent="0.3">
      <c r="A158">
        <v>156</v>
      </c>
      <c r="B158">
        <v>2483</v>
      </c>
      <c r="C158" t="b">
        <v>1</v>
      </c>
      <c r="D158">
        <v>8060</v>
      </c>
      <c r="E158">
        <v>8117</v>
      </c>
      <c r="F158">
        <v>8.8000000000000007</v>
      </c>
      <c r="G158">
        <v>5.2</v>
      </c>
      <c r="H158">
        <v>1.6923078</v>
      </c>
      <c r="I158">
        <v>-0.69230780000000003</v>
      </c>
      <c r="J158">
        <v>0.37142855000000002</v>
      </c>
    </row>
    <row r="159" spans="1:10" x14ac:dyDescent="0.3">
      <c r="A159">
        <v>157</v>
      </c>
      <c r="B159">
        <v>2499</v>
      </c>
      <c r="C159" t="b">
        <v>1</v>
      </c>
      <c r="D159">
        <v>8054</v>
      </c>
      <c r="E159">
        <v>8123</v>
      </c>
      <c r="F159">
        <v>8.8000000000000007</v>
      </c>
      <c r="G159">
        <v>4.8</v>
      </c>
      <c r="H159">
        <v>1.8333333000000001</v>
      </c>
      <c r="I159">
        <v>-0.83333330000000005</v>
      </c>
      <c r="J159">
        <v>0.35294120000000001</v>
      </c>
    </row>
    <row r="160" spans="1:10" x14ac:dyDescent="0.3">
      <c r="A160">
        <v>158</v>
      </c>
      <c r="B160">
        <v>2515</v>
      </c>
      <c r="C160" t="b">
        <v>1</v>
      </c>
      <c r="D160">
        <v>8054</v>
      </c>
      <c r="E160">
        <v>8123</v>
      </c>
      <c r="F160">
        <v>9.1999999999999993</v>
      </c>
      <c r="G160">
        <v>4.4000000000000004</v>
      </c>
      <c r="H160">
        <v>2.0909089999999999</v>
      </c>
      <c r="I160">
        <v>-1.0909089999999999</v>
      </c>
      <c r="J160">
        <v>0.32352942000000001</v>
      </c>
    </row>
    <row r="161" spans="1:10" x14ac:dyDescent="0.3">
      <c r="A161">
        <v>159</v>
      </c>
      <c r="B161">
        <v>2531</v>
      </c>
      <c r="C161" t="b">
        <v>1</v>
      </c>
      <c r="D161">
        <v>8054</v>
      </c>
      <c r="E161">
        <v>8123</v>
      </c>
      <c r="F161">
        <v>9.6</v>
      </c>
      <c r="G161">
        <v>4.4000000000000004</v>
      </c>
      <c r="H161">
        <v>2.1818181999999999</v>
      </c>
      <c r="I161">
        <v>-1.1818181999999999</v>
      </c>
      <c r="J161">
        <v>0.31428572999999999</v>
      </c>
    </row>
    <row r="162" spans="1:10" x14ac:dyDescent="0.3">
      <c r="A162">
        <v>160</v>
      </c>
      <c r="B162">
        <v>2547</v>
      </c>
      <c r="C162" t="b">
        <v>1</v>
      </c>
      <c r="D162">
        <v>8048</v>
      </c>
      <c r="E162">
        <v>8129</v>
      </c>
      <c r="F162">
        <v>10</v>
      </c>
      <c r="G162">
        <v>4.4000000000000004</v>
      </c>
      <c r="H162">
        <v>2.2727273000000001</v>
      </c>
      <c r="I162">
        <v>-1.2727272999999999</v>
      </c>
      <c r="J162">
        <v>0.30555557999999999</v>
      </c>
    </row>
    <row r="163" spans="1:10" x14ac:dyDescent="0.3">
      <c r="A163">
        <v>161</v>
      </c>
      <c r="B163">
        <v>2563</v>
      </c>
      <c r="C163" t="b">
        <v>1</v>
      </c>
      <c r="D163">
        <v>8048</v>
      </c>
      <c r="E163">
        <v>8123</v>
      </c>
      <c r="F163">
        <v>10.4</v>
      </c>
      <c r="G163">
        <v>4.4000000000000004</v>
      </c>
      <c r="H163">
        <v>2.3636363</v>
      </c>
      <c r="I163">
        <v>-1.3636363</v>
      </c>
      <c r="J163">
        <v>0.29729733000000003</v>
      </c>
    </row>
    <row r="164" spans="1:10" x14ac:dyDescent="0.3">
      <c r="A164">
        <v>162</v>
      </c>
      <c r="B164">
        <v>2579</v>
      </c>
      <c r="C164" t="b">
        <v>1</v>
      </c>
      <c r="D164">
        <v>8042</v>
      </c>
      <c r="E164">
        <v>8123</v>
      </c>
      <c r="F164">
        <v>10.4</v>
      </c>
      <c r="G164">
        <v>4.4000000000000004</v>
      </c>
      <c r="H164">
        <v>2.3636363</v>
      </c>
      <c r="I164">
        <v>-1.3636363</v>
      </c>
      <c r="J164">
        <v>0.29729733000000003</v>
      </c>
    </row>
    <row r="165" spans="1:10" x14ac:dyDescent="0.3">
      <c r="A165">
        <v>163</v>
      </c>
      <c r="B165">
        <v>2595</v>
      </c>
      <c r="C165" t="b">
        <v>1</v>
      </c>
      <c r="D165">
        <v>8042</v>
      </c>
      <c r="E165">
        <v>8123</v>
      </c>
      <c r="F165">
        <v>10.4</v>
      </c>
      <c r="G165">
        <v>4.4000000000000004</v>
      </c>
      <c r="H165">
        <v>2.3636363</v>
      </c>
      <c r="I165">
        <v>-1.3636363</v>
      </c>
      <c r="J165">
        <v>0.29729733000000003</v>
      </c>
    </row>
    <row r="166" spans="1:10" x14ac:dyDescent="0.3">
      <c r="A166">
        <v>164</v>
      </c>
      <c r="B166">
        <v>2611</v>
      </c>
      <c r="C166" t="b">
        <v>1</v>
      </c>
      <c r="D166">
        <v>8048</v>
      </c>
      <c r="E166">
        <v>8123</v>
      </c>
      <c r="F166">
        <v>10.4</v>
      </c>
      <c r="G166">
        <v>4.8</v>
      </c>
      <c r="H166">
        <v>2.1666664999999998</v>
      </c>
      <c r="I166">
        <v>-1.1666665000000001</v>
      </c>
      <c r="J166">
        <v>0.3157895</v>
      </c>
    </row>
    <row r="167" spans="1:10" x14ac:dyDescent="0.3">
      <c r="A167">
        <v>165</v>
      </c>
      <c r="B167">
        <v>2627</v>
      </c>
      <c r="C167" t="b">
        <v>1</v>
      </c>
      <c r="D167">
        <v>8042</v>
      </c>
      <c r="E167">
        <v>8123</v>
      </c>
      <c r="F167">
        <v>10</v>
      </c>
      <c r="G167">
        <v>4.8</v>
      </c>
      <c r="H167">
        <v>2.0833333000000001</v>
      </c>
      <c r="I167">
        <v>-1.0833333000000001</v>
      </c>
      <c r="J167">
        <v>0.32432433999999999</v>
      </c>
    </row>
    <row r="168" spans="1:10" x14ac:dyDescent="0.3">
      <c r="A168">
        <v>166</v>
      </c>
      <c r="B168">
        <v>2643</v>
      </c>
      <c r="C168" t="b">
        <v>1</v>
      </c>
      <c r="D168">
        <v>8048</v>
      </c>
      <c r="E168">
        <v>8129</v>
      </c>
      <c r="F168">
        <v>9.6</v>
      </c>
      <c r="G168">
        <v>5.2</v>
      </c>
      <c r="H168">
        <v>1.8461540000000001</v>
      </c>
      <c r="I168">
        <v>-0.84615399999999996</v>
      </c>
      <c r="J168">
        <v>0.35135132000000002</v>
      </c>
    </row>
    <row r="169" spans="1:10" x14ac:dyDescent="0.3">
      <c r="A169">
        <v>167</v>
      </c>
      <c r="B169">
        <v>2659</v>
      </c>
      <c r="C169" t="b">
        <v>1</v>
      </c>
      <c r="D169">
        <v>8048</v>
      </c>
      <c r="E169">
        <v>8134</v>
      </c>
      <c r="F169">
        <v>9.6</v>
      </c>
      <c r="G169">
        <v>5.6</v>
      </c>
      <c r="H169">
        <v>1.7142858999999999</v>
      </c>
      <c r="I169">
        <v>-0.71428579999999997</v>
      </c>
      <c r="J169">
        <v>0.36842101999999999</v>
      </c>
    </row>
    <row r="170" spans="1:10" x14ac:dyDescent="0.3">
      <c r="A170">
        <v>168</v>
      </c>
      <c r="B170">
        <v>2674</v>
      </c>
      <c r="C170" t="b">
        <v>1</v>
      </c>
      <c r="D170">
        <v>8048</v>
      </c>
      <c r="E170">
        <v>8129</v>
      </c>
      <c r="F170">
        <v>9.6</v>
      </c>
      <c r="G170">
        <v>6.4</v>
      </c>
      <c r="H170">
        <v>1.5</v>
      </c>
      <c r="I170">
        <v>-0.50000005999999997</v>
      </c>
      <c r="J170">
        <v>0.4</v>
      </c>
    </row>
    <row r="171" spans="1:10" x14ac:dyDescent="0.3">
      <c r="A171">
        <v>169</v>
      </c>
      <c r="B171">
        <v>2690</v>
      </c>
      <c r="C171" t="b">
        <v>1</v>
      </c>
      <c r="D171">
        <v>8048</v>
      </c>
      <c r="E171">
        <v>8129</v>
      </c>
      <c r="F171">
        <v>9.6</v>
      </c>
      <c r="G171">
        <v>7.2</v>
      </c>
      <c r="H171">
        <v>1.3333333999999999</v>
      </c>
      <c r="I171">
        <v>-0.33333342999999999</v>
      </c>
      <c r="J171">
        <v>0.42857142999999998</v>
      </c>
    </row>
    <row r="172" spans="1:10" x14ac:dyDescent="0.3">
      <c r="A172">
        <v>170</v>
      </c>
      <c r="B172">
        <v>2707</v>
      </c>
      <c r="C172" t="b">
        <v>1</v>
      </c>
      <c r="D172">
        <v>8048</v>
      </c>
      <c r="E172">
        <v>8123</v>
      </c>
      <c r="F172">
        <v>9.6</v>
      </c>
      <c r="G172">
        <v>8</v>
      </c>
      <c r="H172">
        <v>1.2</v>
      </c>
      <c r="I172">
        <v>-0.20000005000000001</v>
      </c>
      <c r="J172">
        <v>0.45454544000000002</v>
      </c>
    </row>
    <row r="173" spans="1:10" x14ac:dyDescent="0.3">
      <c r="A173">
        <v>171</v>
      </c>
      <c r="B173">
        <v>2722</v>
      </c>
      <c r="C173" t="b">
        <v>1</v>
      </c>
      <c r="D173">
        <v>8048</v>
      </c>
      <c r="E173">
        <v>8129</v>
      </c>
      <c r="F173">
        <v>9.1999999999999993</v>
      </c>
      <c r="G173">
        <v>8.8000000000000007</v>
      </c>
      <c r="H173">
        <v>1.0454545</v>
      </c>
      <c r="I173">
        <v>-4.5454502000000001E-2</v>
      </c>
      <c r="J173">
        <v>0.48888890000000002</v>
      </c>
    </row>
    <row r="174" spans="1:10" x14ac:dyDescent="0.3">
      <c r="A174">
        <v>172</v>
      </c>
      <c r="B174">
        <v>2738</v>
      </c>
      <c r="C174" t="b">
        <v>1</v>
      </c>
      <c r="D174">
        <v>8048</v>
      </c>
      <c r="E174">
        <v>8129</v>
      </c>
      <c r="F174">
        <v>8.8000000000000007</v>
      </c>
      <c r="G174">
        <v>9.6</v>
      </c>
      <c r="H174">
        <v>0.9166666</v>
      </c>
      <c r="I174">
        <v>8.333335E-2</v>
      </c>
      <c r="J174">
        <v>0.52173910000000001</v>
      </c>
    </row>
    <row r="175" spans="1:10" x14ac:dyDescent="0.3">
      <c r="A175">
        <v>173</v>
      </c>
      <c r="B175">
        <v>2754</v>
      </c>
      <c r="C175" t="b">
        <v>1</v>
      </c>
      <c r="D175">
        <v>8042</v>
      </c>
      <c r="E175">
        <v>8123</v>
      </c>
      <c r="F175">
        <v>8.4</v>
      </c>
      <c r="G175">
        <v>10.4</v>
      </c>
      <c r="H175">
        <v>0.80769230000000003</v>
      </c>
      <c r="I175">
        <v>0.1923077</v>
      </c>
      <c r="J175">
        <v>0.55319149999999995</v>
      </c>
    </row>
    <row r="176" spans="1:10" x14ac:dyDescent="0.3">
      <c r="A176">
        <v>174</v>
      </c>
      <c r="B176">
        <v>2770</v>
      </c>
      <c r="C176" t="b">
        <v>1</v>
      </c>
      <c r="D176">
        <v>8048</v>
      </c>
      <c r="E176">
        <v>8129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2786</v>
      </c>
      <c r="C177" t="b">
        <v>1</v>
      </c>
      <c r="D177">
        <v>8048</v>
      </c>
      <c r="E177">
        <v>8129</v>
      </c>
      <c r="F177">
        <v>7.6</v>
      </c>
      <c r="G177">
        <v>11.2</v>
      </c>
      <c r="H177">
        <v>0.67857140000000005</v>
      </c>
      <c r="I177">
        <v>0.32142857000000002</v>
      </c>
      <c r="J177">
        <v>0.59574466999999998</v>
      </c>
    </row>
    <row r="178" spans="1:10" x14ac:dyDescent="0.3">
      <c r="A178">
        <v>176</v>
      </c>
      <c r="B178">
        <v>2802</v>
      </c>
      <c r="C178" t="b">
        <v>1</v>
      </c>
      <c r="D178">
        <v>8048</v>
      </c>
      <c r="E178">
        <v>8129</v>
      </c>
      <c r="F178">
        <v>7.2</v>
      </c>
      <c r="G178">
        <v>11.6</v>
      </c>
      <c r="H178">
        <v>0.62068962999999999</v>
      </c>
      <c r="I178">
        <v>0.37931037000000001</v>
      </c>
      <c r="J178">
        <v>0.61702129999999999</v>
      </c>
    </row>
    <row r="179" spans="1:10" x14ac:dyDescent="0.3">
      <c r="A179">
        <v>177</v>
      </c>
      <c r="B179">
        <v>2818</v>
      </c>
      <c r="C179" t="b">
        <v>1</v>
      </c>
      <c r="D179">
        <v>8048</v>
      </c>
      <c r="E179">
        <v>8117</v>
      </c>
      <c r="F179">
        <v>7.2</v>
      </c>
      <c r="G179">
        <v>12</v>
      </c>
      <c r="H179">
        <v>0.59999996</v>
      </c>
      <c r="I179">
        <v>0.4</v>
      </c>
      <c r="J179">
        <v>0.625</v>
      </c>
    </row>
    <row r="180" spans="1:10" x14ac:dyDescent="0.3">
      <c r="A180">
        <v>178</v>
      </c>
      <c r="B180">
        <v>2834</v>
      </c>
      <c r="C180" t="b">
        <v>1</v>
      </c>
      <c r="D180">
        <v>8042</v>
      </c>
      <c r="E180">
        <v>8117</v>
      </c>
      <c r="F180">
        <v>7.2</v>
      </c>
      <c r="G180">
        <v>12.4</v>
      </c>
      <c r="H180">
        <v>0.58064514</v>
      </c>
      <c r="I180">
        <v>0.41935483000000001</v>
      </c>
      <c r="J180">
        <v>0.63265309999999997</v>
      </c>
    </row>
    <row r="181" spans="1:10" x14ac:dyDescent="0.3">
      <c r="A181">
        <v>179</v>
      </c>
      <c r="B181">
        <v>2850</v>
      </c>
      <c r="C181" t="b">
        <v>1</v>
      </c>
      <c r="D181">
        <v>8042</v>
      </c>
      <c r="E181">
        <v>8117</v>
      </c>
      <c r="F181">
        <v>7.2</v>
      </c>
      <c r="G181">
        <v>12</v>
      </c>
      <c r="H181">
        <v>0.59999996</v>
      </c>
      <c r="I181">
        <v>0.4</v>
      </c>
      <c r="J181">
        <v>0.625</v>
      </c>
    </row>
    <row r="182" spans="1:10" x14ac:dyDescent="0.3">
      <c r="A182">
        <v>180</v>
      </c>
      <c r="B182">
        <v>2866</v>
      </c>
      <c r="C182" t="b">
        <v>1</v>
      </c>
      <c r="D182">
        <v>8054</v>
      </c>
      <c r="E182">
        <v>8117</v>
      </c>
      <c r="F182">
        <v>7.6</v>
      </c>
      <c r="G182">
        <v>11.6</v>
      </c>
      <c r="H182">
        <v>0.65517239999999999</v>
      </c>
      <c r="I182">
        <v>0.34482762</v>
      </c>
      <c r="J182">
        <v>0.60416669999999995</v>
      </c>
    </row>
    <row r="183" spans="1:10" x14ac:dyDescent="0.3">
      <c r="A183">
        <v>181</v>
      </c>
      <c r="B183">
        <v>2882</v>
      </c>
      <c r="C183" t="b">
        <v>1</v>
      </c>
      <c r="D183">
        <v>8048</v>
      </c>
      <c r="E183">
        <v>8117</v>
      </c>
      <c r="F183">
        <v>8</v>
      </c>
      <c r="G183">
        <v>11.2</v>
      </c>
      <c r="H183">
        <v>0.71428572999999995</v>
      </c>
      <c r="I183">
        <v>0.28571426999999999</v>
      </c>
      <c r="J183">
        <v>0.58333330000000005</v>
      </c>
    </row>
    <row r="184" spans="1:10" x14ac:dyDescent="0.3">
      <c r="A184">
        <v>182</v>
      </c>
      <c r="B184">
        <v>2898</v>
      </c>
      <c r="C184" t="b">
        <v>1</v>
      </c>
      <c r="D184">
        <v>8048</v>
      </c>
      <c r="E184">
        <v>8129</v>
      </c>
      <c r="F184">
        <v>8</v>
      </c>
      <c r="G184">
        <v>10.8</v>
      </c>
      <c r="H184">
        <v>0.74074070000000003</v>
      </c>
      <c r="I184">
        <v>0.25925927999999998</v>
      </c>
      <c r="J184">
        <v>0.57446814000000002</v>
      </c>
    </row>
    <row r="185" spans="1:10" x14ac:dyDescent="0.3">
      <c r="A185">
        <v>183</v>
      </c>
      <c r="B185">
        <v>2914</v>
      </c>
      <c r="C185" t="b">
        <v>1</v>
      </c>
      <c r="D185">
        <v>8048</v>
      </c>
      <c r="E185">
        <v>8123</v>
      </c>
      <c r="F185">
        <v>8</v>
      </c>
      <c r="G185">
        <v>10</v>
      </c>
      <c r="H185">
        <v>0.8</v>
      </c>
      <c r="I185">
        <v>0.2</v>
      </c>
      <c r="J185">
        <v>0.55555560000000004</v>
      </c>
    </row>
    <row r="186" spans="1:10" x14ac:dyDescent="0.3">
      <c r="A186">
        <v>184</v>
      </c>
      <c r="B186">
        <v>2930</v>
      </c>
      <c r="C186" t="b">
        <v>1</v>
      </c>
      <c r="D186">
        <v>8042</v>
      </c>
      <c r="E186">
        <v>8123</v>
      </c>
      <c r="F186">
        <v>8</v>
      </c>
      <c r="G186">
        <v>9.6</v>
      </c>
      <c r="H186">
        <v>0.83333330000000005</v>
      </c>
      <c r="I186">
        <v>0.1666667</v>
      </c>
      <c r="J186">
        <v>0.54545456000000003</v>
      </c>
    </row>
    <row r="187" spans="1:10" x14ac:dyDescent="0.3">
      <c r="A187">
        <v>185</v>
      </c>
      <c r="B187">
        <v>2945</v>
      </c>
      <c r="C187" t="b">
        <v>1</v>
      </c>
      <c r="D187">
        <v>8048</v>
      </c>
      <c r="E187">
        <v>8123</v>
      </c>
      <c r="F187">
        <v>8</v>
      </c>
      <c r="G187">
        <v>9.1999999999999993</v>
      </c>
      <c r="H187">
        <v>0.86956524999999996</v>
      </c>
      <c r="I187">
        <v>0.13043477000000001</v>
      </c>
      <c r="J187">
        <v>0.53488369999999996</v>
      </c>
    </row>
    <row r="188" spans="1:10" x14ac:dyDescent="0.3">
      <c r="A188">
        <v>186</v>
      </c>
      <c r="B188">
        <v>2961</v>
      </c>
      <c r="C188" t="b">
        <v>1</v>
      </c>
      <c r="D188">
        <v>8048</v>
      </c>
      <c r="E188">
        <v>8123</v>
      </c>
      <c r="F188">
        <v>8</v>
      </c>
      <c r="G188">
        <v>8.8000000000000007</v>
      </c>
      <c r="H188">
        <v>0.90909090000000004</v>
      </c>
      <c r="I188">
        <v>9.0909110000000001E-2</v>
      </c>
      <c r="J188">
        <v>0.52380954999999996</v>
      </c>
    </row>
    <row r="189" spans="1:10" x14ac:dyDescent="0.3">
      <c r="A189">
        <v>187</v>
      </c>
      <c r="B189">
        <v>2977</v>
      </c>
      <c r="C189" t="b">
        <v>1</v>
      </c>
      <c r="D189">
        <v>8048</v>
      </c>
      <c r="E189">
        <v>8123</v>
      </c>
      <c r="F189">
        <v>8</v>
      </c>
      <c r="G189">
        <v>8.4</v>
      </c>
      <c r="H189">
        <v>0.95238100000000003</v>
      </c>
      <c r="I189">
        <v>4.7619003999999999E-2</v>
      </c>
      <c r="J189">
        <v>0.51219510000000001</v>
      </c>
    </row>
    <row r="190" spans="1:10" x14ac:dyDescent="0.3">
      <c r="A190">
        <v>188</v>
      </c>
      <c r="B190">
        <v>2993</v>
      </c>
      <c r="C190" t="b">
        <v>1</v>
      </c>
      <c r="D190">
        <v>8048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3009</v>
      </c>
      <c r="C191" t="b">
        <v>1</v>
      </c>
      <c r="D191">
        <v>8054</v>
      </c>
      <c r="E191">
        <v>8129</v>
      </c>
      <c r="F191">
        <v>8</v>
      </c>
      <c r="G191">
        <v>7.6</v>
      </c>
      <c r="H191">
        <v>1.0526316</v>
      </c>
      <c r="I191">
        <v>-5.2631589999999999E-2</v>
      </c>
      <c r="J191">
        <v>0.48717946000000001</v>
      </c>
    </row>
    <row r="192" spans="1:10" x14ac:dyDescent="0.3">
      <c r="A192">
        <v>190</v>
      </c>
      <c r="B192">
        <v>3024</v>
      </c>
      <c r="C192" t="b">
        <v>1</v>
      </c>
      <c r="D192">
        <v>8042</v>
      </c>
      <c r="E192">
        <v>8123</v>
      </c>
      <c r="F192">
        <v>8</v>
      </c>
      <c r="G192">
        <v>7.2</v>
      </c>
      <c r="H192">
        <v>1.1111112000000001</v>
      </c>
      <c r="I192">
        <v>-0.11111114</v>
      </c>
      <c r="J192">
        <v>0.4736842</v>
      </c>
    </row>
    <row r="193" spans="1:10" x14ac:dyDescent="0.3">
      <c r="A193">
        <v>191</v>
      </c>
      <c r="B193">
        <v>3041</v>
      </c>
      <c r="C193" t="b">
        <v>1</v>
      </c>
      <c r="D193">
        <v>8048</v>
      </c>
      <c r="E193">
        <v>8123</v>
      </c>
      <c r="F193">
        <v>8</v>
      </c>
      <c r="G193">
        <v>6.8</v>
      </c>
      <c r="H193">
        <v>1.1764705</v>
      </c>
      <c r="I193">
        <v>-0.17647055</v>
      </c>
      <c r="J193">
        <v>0.45945944999999999</v>
      </c>
    </row>
    <row r="194" spans="1:10" x14ac:dyDescent="0.3">
      <c r="A194">
        <v>192</v>
      </c>
      <c r="B194">
        <v>3056</v>
      </c>
      <c r="C194" t="b">
        <v>1</v>
      </c>
      <c r="D194">
        <v>8048</v>
      </c>
      <c r="E194">
        <v>8123</v>
      </c>
      <c r="F194">
        <v>8</v>
      </c>
      <c r="G194">
        <v>6.4</v>
      </c>
      <c r="H194">
        <v>1.25</v>
      </c>
      <c r="I194">
        <v>-0.24999999000000001</v>
      </c>
      <c r="J194">
        <v>0.44444447999999998</v>
      </c>
    </row>
    <row r="195" spans="1:10" x14ac:dyDescent="0.3">
      <c r="A195">
        <v>193</v>
      </c>
      <c r="B195">
        <v>3072</v>
      </c>
      <c r="C195" t="b">
        <v>1</v>
      </c>
      <c r="D195">
        <v>8048</v>
      </c>
      <c r="E195">
        <v>8123</v>
      </c>
      <c r="F195">
        <v>8</v>
      </c>
      <c r="G195">
        <v>6</v>
      </c>
      <c r="H195">
        <v>1.3333333999999999</v>
      </c>
      <c r="I195">
        <v>-0.33333333999999998</v>
      </c>
      <c r="J195">
        <v>0.42857142999999998</v>
      </c>
    </row>
    <row r="196" spans="1:10" x14ac:dyDescent="0.3">
      <c r="A196">
        <v>194</v>
      </c>
      <c r="B196">
        <v>3088</v>
      </c>
      <c r="C196" t="b">
        <v>1</v>
      </c>
      <c r="D196">
        <v>8048</v>
      </c>
      <c r="E196">
        <v>8123</v>
      </c>
      <c r="F196">
        <v>8</v>
      </c>
      <c r="G196">
        <v>6.4</v>
      </c>
      <c r="H196">
        <v>1.25</v>
      </c>
      <c r="I196">
        <v>-0.24999999000000001</v>
      </c>
      <c r="J196">
        <v>0.44444447999999998</v>
      </c>
    </row>
    <row r="197" spans="1:10" x14ac:dyDescent="0.3">
      <c r="A197">
        <v>195</v>
      </c>
      <c r="B197">
        <v>3104</v>
      </c>
      <c r="C197" t="b">
        <v>1</v>
      </c>
      <c r="D197">
        <v>8048</v>
      </c>
      <c r="E197">
        <v>8123</v>
      </c>
      <c r="F197">
        <v>8</v>
      </c>
      <c r="G197">
        <v>6.8</v>
      </c>
      <c r="H197">
        <v>1.1764705</v>
      </c>
      <c r="I197">
        <v>-0.17647055</v>
      </c>
      <c r="J197">
        <v>0.45945944999999999</v>
      </c>
    </row>
    <row r="198" spans="1:10" x14ac:dyDescent="0.3">
      <c r="A198">
        <v>196</v>
      </c>
      <c r="B198">
        <v>3119</v>
      </c>
      <c r="C198" t="b">
        <v>1</v>
      </c>
      <c r="D198">
        <v>8048</v>
      </c>
      <c r="E198">
        <v>8123</v>
      </c>
      <c r="F198">
        <v>8</v>
      </c>
      <c r="G198">
        <v>7.2</v>
      </c>
      <c r="H198">
        <v>1.1111112000000001</v>
      </c>
      <c r="I198">
        <v>-0.11111114</v>
      </c>
      <c r="J198">
        <v>0.4736842</v>
      </c>
    </row>
    <row r="199" spans="1:10" x14ac:dyDescent="0.3">
      <c r="A199">
        <v>197</v>
      </c>
      <c r="B199">
        <v>3136</v>
      </c>
      <c r="C199" t="b">
        <v>1</v>
      </c>
      <c r="D199">
        <v>8054</v>
      </c>
      <c r="E199">
        <v>8123</v>
      </c>
      <c r="F199">
        <v>8</v>
      </c>
      <c r="G199">
        <v>7.6</v>
      </c>
      <c r="H199">
        <v>1.0526316</v>
      </c>
      <c r="I199">
        <v>-5.2631589999999999E-2</v>
      </c>
      <c r="J199">
        <v>0.48717946000000001</v>
      </c>
    </row>
    <row r="200" spans="1:10" x14ac:dyDescent="0.3">
      <c r="A200">
        <v>198</v>
      </c>
      <c r="B200">
        <v>3152</v>
      </c>
      <c r="C200" t="b">
        <v>1</v>
      </c>
      <c r="D200">
        <v>8048</v>
      </c>
      <c r="E200">
        <v>8123</v>
      </c>
      <c r="F200">
        <v>8</v>
      </c>
      <c r="G200">
        <v>8</v>
      </c>
      <c r="H200">
        <v>1</v>
      </c>
      <c r="I200">
        <v>0</v>
      </c>
      <c r="J200">
        <v>0.5</v>
      </c>
    </row>
    <row r="201" spans="1:10" x14ac:dyDescent="0.3">
      <c r="A201">
        <v>199</v>
      </c>
      <c r="B201">
        <v>3167</v>
      </c>
      <c r="C201" t="b">
        <v>1</v>
      </c>
      <c r="D201">
        <v>8048</v>
      </c>
      <c r="E201">
        <v>8123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3183</v>
      </c>
      <c r="C202" t="b">
        <v>1</v>
      </c>
      <c r="D202">
        <v>8048</v>
      </c>
      <c r="E202">
        <v>8129</v>
      </c>
      <c r="F202">
        <v>8</v>
      </c>
      <c r="G202">
        <v>8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3199</v>
      </c>
      <c r="C203" t="b">
        <v>1</v>
      </c>
      <c r="D203">
        <v>8048</v>
      </c>
      <c r="E203">
        <v>8123</v>
      </c>
      <c r="F203">
        <v>8</v>
      </c>
      <c r="G203">
        <v>8</v>
      </c>
      <c r="H203">
        <v>1</v>
      </c>
      <c r="I203">
        <v>0</v>
      </c>
      <c r="J203">
        <v>0.5</v>
      </c>
    </row>
    <row r="204" spans="1:10" x14ac:dyDescent="0.3">
      <c r="A204">
        <v>202</v>
      </c>
      <c r="B204">
        <v>3215</v>
      </c>
      <c r="C204" t="b">
        <v>1</v>
      </c>
      <c r="D204">
        <v>8042</v>
      </c>
      <c r="E204">
        <v>8123</v>
      </c>
      <c r="F204">
        <v>8</v>
      </c>
      <c r="G204">
        <v>8</v>
      </c>
      <c r="H204">
        <v>1</v>
      </c>
      <c r="I204">
        <v>0</v>
      </c>
      <c r="J204">
        <v>0.5</v>
      </c>
    </row>
    <row r="205" spans="1:10" x14ac:dyDescent="0.3">
      <c r="A205">
        <v>203</v>
      </c>
      <c r="B205">
        <v>3231</v>
      </c>
      <c r="C205" t="b">
        <v>1</v>
      </c>
      <c r="D205">
        <v>8048</v>
      </c>
      <c r="E205">
        <v>8129</v>
      </c>
      <c r="F205">
        <v>8</v>
      </c>
      <c r="G205">
        <v>8</v>
      </c>
      <c r="H205">
        <v>1</v>
      </c>
      <c r="I205">
        <v>0</v>
      </c>
      <c r="J205">
        <v>0.5</v>
      </c>
    </row>
    <row r="206" spans="1:10" x14ac:dyDescent="0.3">
      <c r="A206">
        <v>204</v>
      </c>
      <c r="B206">
        <v>3247</v>
      </c>
      <c r="C206" t="b">
        <v>1</v>
      </c>
      <c r="D206">
        <v>8048</v>
      </c>
      <c r="E206">
        <v>8123</v>
      </c>
      <c r="F206">
        <v>8</v>
      </c>
      <c r="G206">
        <v>8</v>
      </c>
      <c r="H206">
        <v>1</v>
      </c>
      <c r="I206">
        <v>0</v>
      </c>
      <c r="J206">
        <v>0.5</v>
      </c>
    </row>
    <row r="207" spans="1:10" x14ac:dyDescent="0.3">
      <c r="A207">
        <v>205</v>
      </c>
      <c r="B207">
        <v>3263</v>
      </c>
      <c r="C207" t="b">
        <v>1</v>
      </c>
      <c r="D207">
        <v>8048</v>
      </c>
      <c r="E207">
        <v>8129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3279</v>
      </c>
      <c r="C208" t="b">
        <v>1</v>
      </c>
      <c r="D208">
        <v>8048</v>
      </c>
      <c r="E208">
        <v>8123</v>
      </c>
      <c r="F208">
        <v>8</v>
      </c>
      <c r="G208">
        <v>8</v>
      </c>
      <c r="H208">
        <v>1</v>
      </c>
      <c r="I208">
        <v>0</v>
      </c>
      <c r="J208">
        <v>0.5</v>
      </c>
    </row>
    <row r="209" spans="1:10" x14ac:dyDescent="0.3">
      <c r="A209">
        <v>207</v>
      </c>
      <c r="B209">
        <v>3295</v>
      </c>
      <c r="C209" t="b">
        <v>1</v>
      </c>
      <c r="D209">
        <v>8048</v>
      </c>
      <c r="E209">
        <v>8123</v>
      </c>
      <c r="F209">
        <v>8</v>
      </c>
      <c r="G209">
        <v>8</v>
      </c>
      <c r="H209">
        <v>1</v>
      </c>
      <c r="I209">
        <v>0</v>
      </c>
      <c r="J209">
        <v>0.5</v>
      </c>
    </row>
    <row r="210" spans="1:10" x14ac:dyDescent="0.3">
      <c r="A210">
        <v>208</v>
      </c>
      <c r="B210">
        <v>3311</v>
      </c>
      <c r="C210" t="b">
        <v>1</v>
      </c>
      <c r="D210">
        <v>8048</v>
      </c>
      <c r="E210">
        <v>8123</v>
      </c>
      <c r="F210">
        <v>8</v>
      </c>
      <c r="G210">
        <v>8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3327</v>
      </c>
      <c r="C211" t="b">
        <v>1</v>
      </c>
      <c r="D211">
        <v>8048</v>
      </c>
      <c r="E211">
        <v>8123</v>
      </c>
      <c r="F211">
        <v>8</v>
      </c>
      <c r="G211">
        <v>8</v>
      </c>
      <c r="H211">
        <v>1</v>
      </c>
      <c r="I211">
        <v>0</v>
      </c>
      <c r="J211">
        <v>0.5</v>
      </c>
    </row>
    <row r="212" spans="1:10" x14ac:dyDescent="0.3">
      <c r="A212">
        <v>210</v>
      </c>
      <c r="B212">
        <v>3343</v>
      </c>
      <c r="C212" t="b">
        <v>1</v>
      </c>
      <c r="D212">
        <v>8048</v>
      </c>
      <c r="E212">
        <v>8123</v>
      </c>
      <c r="F212">
        <v>8</v>
      </c>
      <c r="G212">
        <v>8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3358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3374</v>
      </c>
      <c r="C214" t="b">
        <v>1</v>
      </c>
      <c r="D214">
        <v>8048</v>
      </c>
      <c r="E214">
        <v>8129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3390</v>
      </c>
      <c r="C215" t="b">
        <v>1</v>
      </c>
      <c r="D215">
        <v>8042</v>
      </c>
      <c r="E215">
        <v>8129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3406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3421</v>
      </c>
      <c r="C217" t="b">
        <v>1</v>
      </c>
      <c r="D217">
        <v>8048</v>
      </c>
      <c r="E217">
        <v>8123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3437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3453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3469</v>
      </c>
      <c r="C220" t="b">
        <v>1</v>
      </c>
      <c r="D220">
        <v>8048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3485</v>
      </c>
      <c r="C221" t="b">
        <v>1</v>
      </c>
      <c r="D221">
        <v>8054</v>
      </c>
      <c r="E221">
        <v>8117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3501</v>
      </c>
      <c r="C222" t="b">
        <v>1</v>
      </c>
      <c r="D222">
        <v>8048</v>
      </c>
      <c r="E222">
        <v>8117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3517</v>
      </c>
      <c r="C223" t="b">
        <v>1</v>
      </c>
      <c r="D223">
        <v>8048</v>
      </c>
      <c r="E223">
        <v>8117</v>
      </c>
      <c r="F223">
        <v>8</v>
      </c>
      <c r="G223">
        <v>7.6</v>
      </c>
      <c r="H223">
        <v>1.0526316</v>
      </c>
      <c r="I223">
        <v>-5.2631589999999999E-2</v>
      </c>
      <c r="J223">
        <v>0.48717946000000001</v>
      </c>
    </row>
    <row r="224" spans="1:10" x14ac:dyDescent="0.3">
      <c r="A224">
        <v>222</v>
      </c>
      <c r="B224">
        <v>3533</v>
      </c>
      <c r="C224" t="b">
        <v>1</v>
      </c>
      <c r="D224">
        <v>8048</v>
      </c>
      <c r="E224">
        <v>8117</v>
      </c>
      <c r="F224">
        <v>8</v>
      </c>
      <c r="G224">
        <v>7.2</v>
      </c>
      <c r="H224">
        <v>1.1111112000000001</v>
      </c>
      <c r="I224">
        <v>-0.11111114</v>
      </c>
      <c r="J224">
        <v>0.4736842</v>
      </c>
    </row>
    <row r="225" spans="1:10" x14ac:dyDescent="0.3">
      <c r="A225">
        <v>223</v>
      </c>
      <c r="B225">
        <v>3549</v>
      </c>
      <c r="C225" t="b">
        <v>1</v>
      </c>
      <c r="D225">
        <v>8048</v>
      </c>
      <c r="E225">
        <v>8117</v>
      </c>
      <c r="F225">
        <v>8</v>
      </c>
      <c r="G225">
        <v>6.8</v>
      </c>
      <c r="H225">
        <v>1.1764705</v>
      </c>
      <c r="I225">
        <v>-0.17647055</v>
      </c>
      <c r="J225">
        <v>0.45945944999999999</v>
      </c>
    </row>
    <row r="226" spans="1:10" x14ac:dyDescent="0.3">
      <c r="A226">
        <v>224</v>
      </c>
      <c r="B226">
        <v>3565</v>
      </c>
      <c r="C226" t="b">
        <v>1</v>
      </c>
      <c r="D226">
        <v>8048</v>
      </c>
      <c r="E226">
        <v>8117</v>
      </c>
      <c r="F226">
        <v>8</v>
      </c>
      <c r="G226">
        <v>6.4</v>
      </c>
      <c r="H226">
        <v>1.25</v>
      </c>
      <c r="I226">
        <v>-0.24999999000000001</v>
      </c>
      <c r="J226">
        <v>0.44444447999999998</v>
      </c>
    </row>
    <row r="227" spans="1:10" x14ac:dyDescent="0.3">
      <c r="A227">
        <v>225</v>
      </c>
      <c r="B227">
        <v>3580</v>
      </c>
      <c r="C227" t="b">
        <v>1</v>
      </c>
      <c r="D227">
        <v>8042</v>
      </c>
      <c r="E227">
        <v>8117</v>
      </c>
      <c r="F227">
        <v>8</v>
      </c>
      <c r="G227">
        <v>6</v>
      </c>
      <c r="H227">
        <v>1.3333333999999999</v>
      </c>
      <c r="I227">
        <v>-0.33333333999999998</v>
      </c>
      <c r="J227">
        <v>0.42857142999999998</v>
      </c>
    </row>
    <row r="228" spans="1:10" x14ac:dyDescent="0.3">
      <c r="A228">
        <v>226</v>
      </c>
      <c r="B228">
        <v>3596</v>
      </c>
      <c r="C228" t="b">
        <v>1</v>
      </c>
      <c r="D228">
        <v>8048</v>
      </c>
      <c r="E228">
        <v>8117</v>
      </c>
      <c r="F228">
        <v>8</v>
      </c>
      <c r="G228">
        <v>5.6</v>
      </c>
      <c r="H228">
        <v>1.4285715000000001</v>
      </c>
      <c r="I228">
        <v>-0.42857146000000002</v>
      </c>
      <c r="J228">
        <v>0.41176467999999999</v>
      </c>
    </row>
    <row r="229" spans="1:10" x14ac:dyDescent="0.3">
      <c r="A229">
        <v>227</v>
      </c>
      <c r="B229">
        <v>3612</v>
      </c>
      <c r="C229" t="b">
        <v>1</v>
      </c>
      <c r="D229">
        <v>8048</v>
      </c>
      <c r="E229">
        <v>8117</v>
      </c>
      <c r="F229">
        <v>8</v>
      </c>
      <c r="G229">
        <v>5.2</v>
      </c>
      <c r="H229">
        <v>1.5384616</v>
      </c>
      <c r="I229">
        <v>-0.53846156999999994</v>
      </c>
      <c r="J229">
        <v>0.39393938000000001</v>
      </c>
    </row>
    <row r="230" spans="1:10" x14ac:dyDescent="0.3">
      <c r="A230">
        <v>228</v>
      </c>
      <c r="B230">
        <v>3628</v>
      </c>
      <c r="C230" t="b">
        <v>1</v>
      </c>
      <c r="D230">
        <v>8054</v>
      </c>
      <c r="E230">
        <v>8123</v>
      </c>
      <c r="F230">
        <v>8</v>
      </c>
      <c r="G230">
        <v>4.8</v>
      </c>
      <c r="H230">
        <v>1.6666666000000001</v>
      </c>
      <c r="I230">
        <v>-0.6666666</v>
      </c>
      <c r="J230">
        <v>0.375</v>
      </c>
    </row>
    <row r="231" spans="1:10" x14ac:dyDescent="0.3">
      <c r="A231">
        <v>229</v>
      </c>
      <c r="B231">
        <v>3644</v>
      </c>
      <c r="C231" t="b">
        <v>1</v>
      </c>
      <c r="D231">
        <v>8048</v>
      </c>
      <c r="E231">
        <v>8117</v>
      </c>
      <c r="F231">
        <v>8</v>
      </c>
      <c r="G231">
        <v>4.4000000000000004</v>
      </c>
      <c r="H231">
        <v>1.8181818000000001</v>
      </c>
      <c r="I231">
        <v>-0.81818175000000004</v>
      </c>
      <c r="J231">
        <v>0.35483872999999999</v>
      </c>
    </row>
    <row r="232" spans="1:10" x14ac:dyDescent="0.3">
      <c r="A232">
        <v>230</v>
      </c>
      <c r="B232">
        <v>3659</v>
      </c>
      <c r="C232" t="b">
        <v>1</v>
      </c>
      <c r="D232">
        <v>8054</v>
      </c>
      <c r="E232">
        <v>8123</v>
      </c>
      <c r="F232">
        <v>8</v>
      </c>
      <c r="G232">
        <v>4</v>
      </c>
      <c r="H232">
        <v>2</v>
      </c>
      <c r="I232">
        <v>-1</v>
      </c>
      <c r="J232">
        <v>0.33333333999999998</v>
      </c>
    </row>
    <row r="233" spans="1:10" x14ac:dyDescent="0.3">
      <c r="A233">
        <v>231</v>
      </c>
      <c r="B233">
        <v>3675</v>
      </c>
      <c r="C233" t="b">
        <v>1</v>
      </c>
      <c r="D233">
        <v>8048</v>
      </c>
      <c r="E233">
        <v>8117</v>
      </c>
      <c r="F233">
        <v>8</v>
      </c>
      <c r="G233">
        <v>3.6</v>
      </c>
      <c r="H233">
        <v>2.2222222999999999</v>
      </c>
      <c r="I233">
        <v>-1.2222223000000001</v>
      </c>
      <c r="J233">
        <v>0.31034482000000002</v>
      </c>
    </row>
    <row r="234" spans="1:10" x14ac:dyDescent="0.3">
      <c r="A234">
        <v>232</v>
      </c>
      <c r="B234">
        <v>3691</v>
      </c>
      <c r="C234" t="b">
        <v>1</v>
      </c>
      <c r="D234">
        <v>8048</v>
      </c>
      <c r="E234">
        <v>8123</v>
      </c>
      <c r="F234">
        <v>8</v>
      </c>
      <c r="G234">
        <v>3.6</v>
      </c>
      <c r="H234">
        <v>2.2222222999999999</v>
      </c>
      <c r="I234">
        <v>-1.2222223000000001</v>
      </c>
      <c r="J234">
        <v>0.31034482000000002</v>
      </c>
    </row>
    <row r="235" spans="1:10" x14ac:dyDescent="0.3">
      <c r="A235">
        <v>233</v>
      </c>
      <c r="B235">
        <v>3707</v>
      </c>
      <c r="C235" t="b">
        <v>1</v>
      </c>
      <c r="D235">
        <v>8048</v>
      </c>
      <c r="E235">
        <v>8123</v>
      </c>
      <c r="F235">
        <v>8</v>
      </c>
      <c r="G235">
        <v>3.6</v>
      </c>
      <c r="H235">
        <v>2.2222222999999999</v>
      </c>
      <c r="I235">
        <v>-1.2222223000000001</v>
      </c>
      <c r="J235">
        <v>0.31034482000000002</v>
      </c>
    </row>
    <row r="236" spans="1:10" x14ac:dyDescent="0.3">
      <c r="A236">
        <v>234</v>
      </c>
      <c r="B236">
        <v>3723</v>
      </c>
      <c r="C236" t="b">
        <v>1</v>
      </c>
      <c r="D236">
        <v>8048</v>
      </c>
      <c r="E236">
        <v>8123</v>
      </c>
      <c r="F236">
        <v>8</v>
      </c>
      <c r="G236">
        <v>3.6</v>
      </c>
      <c r="H236">
        <v>2.2222222999999999</v>
      </c>
      <c r="I236">
        <v>-1.2222223000000001</v>
      </c>
      <c r="J236">
        <v>0.31034482000000002</v>
      </c>
    </row>
    <row r="237" spans="1:10" x14ac:dyDescent="0.3">
      <c r="A237">
        <v>235</v>
      </c>
      <c r="B237">
        <v>3738</v>
      </c>
      <c r="C237" t="b">
        <v>1</v>
      </c>
      <c r="D237">
        <v>8054</v>
      </c>
      <c r="E237">
        <v>8123</v>
      </c>
      <c r="F237">
        <v>8</v>
      </c>
      <c r="G237">
        <v>3.6</v>
      </c>
      <c r="H237">
        <v>2.2222222999999999</v>
      </c>
      <c r="I237">
        <v>-1.2222223000000001</v>
      </c>
      <c r="J237">
        <v>0.31034482000000002</v>
      </c>
    </row>
    <row r="238" spans="1:10" x14ac:dyDescent="0.3">
      <c r="A238">
        <v>236</v>
      </c>
      <c r="B238">
        <v>3754</v>
      </c>
      <c r="C238" t="b">
        <v>1</v>
      </c>
      <c r="D238">
        <v>8048</v>
      </c>
      <c r="E238">
        <v>8123</v>
      </c>
      <c r="F238">
        <v>8</v>
      </c>
      <c r="G238">
        <v>4</v>
      </c>
      <c r="H238">
        <v>2</v>
      </c>
      <c r="I238">
        <v>-1</v>
      </c>
      <c r="J238">
        <v>0.33333333999999998</v>
      </c>
    </row>
    <row r="239" spans="1:10" x14ac:dyDescent="0.3">
      <c r="A239">
        <v>237</v>
      </c>
      <c r="B239">
        <v>3770</v>
      </c>
      <c r="C239" t="b">
        <v>1</v>
      </c>
      <c r="D239">
        <v>8048</v>
      </c>
      <c r="E239">
        <v>8123</v>
      </c>
      <c r="F239">
        <v>8</v>
      </c>
      <c r="G239">
        <v>4.4000000000000004</v>
      </c>
      <c r="H239">
        <v>1.8181818000000001</v>
      </c>
      <c r="I239">
        <v>-0.81818175000000004</v>
      </c>
      <c r="J239">
        <v>0.35483872999999999</v>
      </c>
    </row>
    <row r="240" spans="1:10" x14ac:dyDescent="0.3">
      <c r="A240">
        <v>238</v>
      </c>
      <c r="B240">
        <v>3786</v>
      </c>
      <c r="C240" t="b">
        <v>1</v>
      </c>
      <c r="D240">
        <v>8048</v>
      </c>
      <c r="E240">
        <v>8123</v>
      </c>
      <c r="F240">
        <v>8</v>
      </c>
      <c r="G240">
        <v>4.8</v>
      </c>
      <c r="H240">
        <v>1.6666666000000001</v>
      </c>
      <c r="I240">
        <v>-0.6666666</v>
      </c>
      <c r="J240">
        <v>0.375</v>
      </c>
    </row>
    <row r="241" spans="1:10" x14ac:dyDescent="0.3">
      <c r="A241">
        <v>239</v>
      </c>
      <c r="B241">
        <v>3802</v>
      </c>
      <c r="C241" t="b">
        <v>1</v>
      </c>
      <c r="D241">
        <v>8054</v>
      </c>
      <c r="E241">
        <v>8123</v>
      </c>
      <c r="F241">
        <v>8</v>
      </c>
      <c r="G241">
        <v>5.2</v>
      </c>
      <c r="H241">
        <v>1.5384616</v>
      </c>
      <c r="I241">
        <v>-0.53846156999999994</v>
      </c>
      <c r="J241">
        <v>0.39393938000000001</v>
      </c>
    </row>
    <row r="242" spans="1:10" x14ac:dyDescent="0.3">
      <c r="A242">
        <v>240</v>
      </c>
      <c r="B242">
        <v>3818</v>
      </c>
      <c r="C242" t="b">
        <v>1</v>
      </c>
      <c r="D242">
        <v>8048</v>
      </c>
      <c r="E242">
        <v>8123</v>
      </c>
      <c r="F242">
        <v>8</v>
      </c>
      <c r="G242">
        <v>5.6</v>
      </c>
      <c r="H242">
        <v>1.4285715000000001</v>
      </c>
      <c r="I242">
        <v>-0.42857146000000002</v>
      </c>
      <c r="J242">
        <v>0.41176467999999999</v>
      </c>
    </row>
    <row r="243" spans="1:10" x14ac:dyDescent="0.3">
      <c r="A243">
        <v>241</v>
      </c>
      <c r="B243">
        <v>3834</v>
      </c>
      <c r="C243" t="b">
        <v>1</v>
      </c>
      <c r="D243">
        <v>8048</v>
      </c>
      <c r="E243">
        <v>8123</v>
      </c>
      <c r="F243">
        <v>8</v>
      </c>
      <c r="G243">
        <v>6</v>
      </c>
      <c r="H243">
        <v>1.3333333999999999</v>
      </c>
      <c r="I243">
        <v>-0.33333333999999998</v>
      </c>
      <c r="J243">
        <v>0.42857142999999998</v>
      </c>
    </row>
    <row r="244" spans="1:10" x14ac:dyDescent="0.3">
      <c r="A244">
        <v>242</v>
      </c>
      <c r="B244">
        <v>3850</v>
      </c>
      <c r="C244" t="b">
        <v>1</v>
      </c>
      <c r="D244">
        <v>8048</v>
      </c>
      <c r="E244">
        <v>8123</v>
      </c>
      <c r="F244">
        <v>8</v>
      </c>
      <c r="G244">
        <v>6.4</v>
      </c>
      <c r="H244">
        <v>1.25</v>
      </c>
      <c r="I244">
        <v>-0.24999999000000001</v>
      </c>
      <c r="J244">
        <v>0.44444447999999998</v>
      </c>
    </row>
    <row r="245" spans="1:10" x14ac:dyDescent="0.3">
      <c r="A245">
        <v>243</v>
      </c>
      <c r="B245">
        <v>3866</v>
      </c>
      <c r="C245" t="b">
        <v>1</v>
      </c>
      <c r="D245">
        <v>8048</v>
      </c>
      <c r="E245">
        <v>8123</v>
      </c>
      <c r="F245">
        <v>8</v>
      </c>
      <c r="G245">
        <v>6.8</v>
      </c>
      <c r="H245">
        <v>1.1764705</v>
      </c>
      <c r="I245">
        <v>-0.17647055</v>
      </c>
      <c r="J245">
        <v>0.45945944999999999</v>
      </c>
    </row>
    <row r="246" spans="1:10" x14ac:dyDescent="0.3">
      <c r="A246">
        <v>244</v>
      </c>
      <c r="B246">
        <v>3882</v>
      </c>
      <c r="C246" t="b">
        <v>1</v>
      </c>
      <c r="D246">
        <v>8042</v>
      </c>
      <c r="E246">
        <v>8123</v>
      </c>
      <c r="F246">
        <v>8</v>
      </c>
      <c r="G246">
        <v>7.2</v>
      </c>
      <c r="H246">
        <v>1.1111112000000001</v>
      </c>
      <c r="I246">
        <v>-0.11111114</v>
      </c>
      <c r="J246">
        <v>0.4736842</v>
      </c>
    </row>
    <row r="247" spans="1:10" x14ac:dyDescent="0.3">
      <c r="A247">
        <v>245</v>
      </c>
      <c r="B247">
        <v>3897</v>
      </c>
      <c r="C247" t="b">
        <v>1</v>
      </c>
      <c r="D247">
        <v>8048</v>
      </c>
      <c r="E247">
        <v>8123</v>
      </c>
      <c r="F247">
        <v>8</v>
      </c>
      <c r="G247">
        <v>7.6</v>
      </c>
      <c r="H247">
        <v>1.0526316</v>
      </c>
      <c r="I247">
        <v>-5.2631589999999999E-2</v>
      </c>
      <c r="J247">
        <v>0.48717946000000001</v>
      </c>
    </row>
    <row r="248" spans="1:10" x14ac:dyDescent="0.3">
      <c r="A248">
        <v>246</v>
      </c>
      <c r="B248">
        <v>3913</v>
      </c>
      <c r="C248" t="b">
        <v>1</v>
      </c>
      <c r="D248">
        <v>8048</v>
      </c>
      <c r="E248">
        <v>8129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3929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3945</v>
      </c>
      <c r="C250" t="b">
        <v>1</v>
      </c>
      <c r="D250">
        <v>8048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3961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3977</v>
      </c>
      <c r="C252" t="b">
        <v>1</v>
      </c>
      <c r="D252">
        <v>8048</v>
      </c>
      <c r="E252">
        <v>8117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3992</v>
      </c>
      <c r="C253" t="b">
        <v>1</v>
      </c>
      <c r="D253">
        <v>8048</v>
      </c>
      <c r="E253">
        <v>8117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4008</v>
      </c>
      <c r="C254" t="b">
        <v>1</v>
      </c>
      <c r="D254">
        <v>8048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4024</v>
      </c>
      <c r="C255" t="b">
        <v>1</v>
      </c>
      <c r="D255">
        <v>8054</v>
      </c>
      <c r="E255">
        <v>8117</v>
      </c>
      <c r="F255">
        <v>8</v>
      </c>
      <c r="G255">
        <v>7.6</v>
      </c>
      <c r="H255">
        <v>1.0526316</v>
      </c>
      <c r="I255">
        <v>-5.2631589999999999E-2</v>
      </c>
      <c r="J255">
        <v>0.48717946000000001</v>
      </c>
    </row>
    <row r="256" spans="1:10" x14ac:dyDescent="0.3">
      <c r="A256">
        <v>254</v>
      </c>
      <c r="B256">
        <v>4040</v>
      </c>
      <c r="C256" t="b">
        <v>1</v>
      </c>
      <c r="D256">
        <v>8048</v>
      </c>
      <c r="E256">
        <v>8117</v>
      </c>
      <c r="F256">
        <v>8</v>
      </c>
      <c r="G256">
        <v>7.2</v>
      </c>
      <c r="H256">
        <v>1.1111112000000001</v>
      </c>
      <c r="I256">
        <v>-0.11111114</v>
      </c>
      <c r="J256">
        <v>0.4736842</v>
      </c>
    </row>
    <row r="257" spans="1:10" x14ac:dyDescent="0.3">
      <c r="A257">
        <v>255</v>
      </c>
      <c r="B257">
        <v>4056</v>
      </c>
      <c r="C257" t="b">
        <v>1</v>
      </c>
      <c r="D257">
        <v>8048</v>
      </c>
      <c r="E257">
        <v>8117</v>
      </c>
      <c r="F257">
        <v>8</v>
      </c>
      <c r="G257">
        <v>6.8</v>
      </c>
      <c r="H257">
        <v>1.1764705</v>
      </c>
      <c r="I257">
        <v>-0.17647055</v>
      </c>
      <c r="J257">
        <v>0.45945944999999999</v>
      </c>
    </row>
    <row r="258" spans="1:10" x14ac:dyDescent="0.3">
      <c r="A258">
        <v>256</v>
      </c>
      <c r="B258">
        <v>4071</v>
      </c>
      <c r="C258" t="b">
        <v>1</v>
      </c>
      <c r="D258">
        <v>8048</v>
      </c>
      <c r="E258">
        <v>8123</v>
      </c>
      <c r="F258">
        <v>8</v>
      </c>
      <c r="G258">
        <v>6.4</v>
      </c>
      <c r="H258">
        <v>1.25</v>
      </c>
      <c r="I258">
        <v>-0.24999999000000001</v>
      </c>
      <c r="J258">
        <v>0.44444447999999998</v>
      </c>
    </row>
    <row r="259" spans="1:10" x14ac:dyDescent="0.3">
      <c r="A259">
        <v>257</v>
      </c>
      <c r="B259">
        <v>4087</v>
      </c>
      <c r="C259" t="b">
        <v>1</v>
      </c>
      <c r="D259">
        <v>8042</v>
      </c>
      <c r="E259">
        <v>8123</v>
      </c>
      <c r="F259">
        <v>8</v>
      </c>
      <c r="G259">
        <v>6</v>
      </c>
      <c r="H259">
        <v>1.3333333999999999</v>
      </c>
      <c r="I259">
        <v>-0.33333333999999998</v>
      </c>
      <c r="J259">
        <v>0.42857142999999998</v>
      </c>
    </row>
    <row r="260" spans="1:10" x14ac:dyDescent="0.3">
      <c r="A260">
        <v>258</v>
      </c>
      <c r="B260">
        <v>4102</v>
      </c>
      <c r="C260" t="b">
        <v>1</v>
      </c>
      <c r="D260">
        <v>8048</v>
      </c>
      <c r="E260">
        <v>8123</v>
      </c>
      <c r="F260">
        <v>8</v>
      </c>
      <c r="G260">
        <v>6</v>
      </c>
      <c r="H260">
        <v>1.3333333999999999</v>
      </c>
      <c r="I260">
        <v>-0.33333333999999998</v>
      </c>
      <c r="J260">
        <v>0.42857142999999998</v>
      </c>
    </row>
    <row r="261" spans="1:10" x14ac:dyDescent="0.3">
      <c r="A261">
        <v>259</v>
      </c>
      <c r="B261">
        <v>4118</v>
      </c>
      <c r="C261" t="b">
        <v>1</v>
      </c>
      <c r="D261">
        <v>8048</v>
      </c>
      <c r="E261">
        <v>8129</v>
      </c>
      <c r="F261">
        <v>8</v>
      </c>
      <c r="G261">
        <v>6</v>
      </c>
      <c r="H261">
        <v>1.3333333999999999</v>
      </c>
      <c r="I261">
        <v>-0.33333333999999998</v>
      </c>
      <c r="J261">
        <v>0.42857142999999998</v>
      </c>
    </row>
    <row r="262" spans="1:10" x14ac:dyDescent="0.3">
      <c r="A262">
        <v>260</v>
      </c>
      <c r="B262">
        <v>4134</v>
      </c>
      <c r="C262" t="b">
        <v>1</v>
      </c>
      <c r="D262">
        <v>8048</v>
      </c>
      <c r="E262">
        <v>8123</v>
      </c>
      <c r="F262">
        <v>8</v>
      </c>
      <c r="G262">
        <v>6</v>
      </c>
      <c r="H262">
        <v>1.3333333999999999</v>
      </c>
      <c r="I262">
        <v>-0.33333333999999998</v>
      </c>
      <c r="J262">
        <v>0.42857142999999998</v>
      </c>
    </row>
    <row r="263" spans="1:10" x14ac:dyDescent="0.3">
      <c r="A263">
        <v>261</v>
      </c>
      <c r="B263">
        <v>4150</v>
      </c>
      <c r="C263" t="b">
        <v>1</v>
      </c>
      <c r="D263">
        <v>8054</v>
      </c>
      <c r="E263">
        <v>8123</v>
      </c>
      <c r="F263">
        <v>8</v>
      </c>
      <c r="G263">
        <v>6</v>
      </c>
      <c r="H263">
        <v>1.3333333999999999</v>
      </c>
      <c r="I263">
        <v>-0.33333333999999998</v>
      </c>
      <c r="J263">
        <v>0.42857142999999998</v>
      </c>
    </row>
    <row r="264" spans="1:10" x14ac:dyDescent="0.3">
      <c r="A264">
        <v>262</v>
      </c>
      <c r="B264">
        <v>4166</v>
      </c>
      <c r="C264" t="b">
        <v>1</v>
      </c>
      <c r="D264">
        <v>8042</v>
      </c>
      <c r="E264">
        <v>8129</v>
      </c>
      <c r="F264">
        <v>8</v>
      </c>
      <c r="G264">
        <v>6</v>
      </c>
      <c r="H264">
        <v>1.3333333999999999</v>
      </c>
      <c r="I264">
        <v>-0.33333333999999998</v>
      </c>
      <c r="J264">
        <v>0.42857142999999998</v>
      </c>
    </row>
    <row r="265" spans="1:10" x14ac:dyDescent="0.3">
      <c r="A265">
        <v>263</v>
      </c>
      <c r="B265">
        <v>4182</v>
      </c>
      <c r="C265" t="b">
        <v>1</v>
      </c>
      <c r="D265">
        <v>8042</v>
      </c>
      <c r="E265">
        <v>8117</v>
      </c>
      <c r="F265">
        <v>8</v>
      </c>
      <c r="G265">
        <v>6</v>
      </c>
      <c r="H265">
        <v>1.3333333999999999</v>
      </c>
      <c r="I265">
        <v>-0.33333333999999998</v>
      </c>
      <c r="J265">
        <v>0.42857142999999998</v>
      </c>
    </row>
    <row r="266" spans="1:10" x14ac:dyDescent="0.3">
      <c r="A266">
        <v>264</v>
      </c>
      <c r="B266">
        <v>4197</v>
      </c>
      <c r="C266" t="b">
        <v>1</v>
      </c>
      <c r="D266">
        <v>8042</v>
      </c>
      <c r="E266">
        <v>8117</v>
      </c>
      <c r="F266">
        <v>7.6</v>
      </c>
      <c r="G266">
        <v>6</v>
      </c>
      <c r="H266">
        <v>1.2666667</v>
      </c>
      <c r="I266">
        <v>-0.26666665000000001</v>
      </c>
      <c r="J266">
        <v>0.44117644</v>
      </c>
    </row>
    <row r="267" spans="1:10" x14ac:dyDescent="0.3">
      <c r="A267">
        <v>265</v>
      </c>
      <c r="B267">
        <v>4213</v>
      </c>
      <c r="C267" t="b">
        <v>1</v>
      </c>
      <c r="D267">
        <v>8048</v>
      </c>
      <c r="E267">
        <v>8117</v>
      </c>
      <c r="F267">
        <v>7.2</v>
      </c>
      <c r="G267">
        <v>5.6</v>
      </c>
      <c r="H267">
        <v>1.2857143</v>
      </c>
      <c r="I267">
        <v>-0.28571426999999999</v>
      </c>
      <c r="J267">
        <v>0.43750002999999998</v>
      </c>
    </row>
    <row r="268" spans="1:10" x14ac:dyDescent="0.3">
      <c r="A268">
        <v>266</v>
      </c>
      <c r="B268">
        <v>4229</v>
      </c>
      <c r="C268" t="b">
        <v>1</v>
      </c>
      <c r="D268">
        <v>8042</v>
      </c>
      <c r="E268">
        <v>8117</v>
      </c>
      <c r="F268">
        <v>6.8</v>
      </c>
      <c r="G268">
        <v>5.2</v>
      </c>
      <c r="H268">
        <v>1.3076924000000001</v>
      </c>
      <c r="I268">
        <v>-0.30769237999999999</v>
      </c>
      <c r="J268">
        <v>0.43333329999999998</v>
      </c>
    </row>
    <row r="269" spans="1:10" x14ac:dyDescent="0.3">
      <c r="A269">
        <v>267</v>
      </c>
      <c r="B269">
        <v>4245</v>
      </c>
      <c r="C269" t="b">
        <v>1</v>
      </c>
      <c r="D269">
        <v>8048</v>
      </c>
      <c r="E269">
        <v>8117</v>
      </c>
      <c r="F269">
        <v>6.4</v>
      </c>
      <c r="G269">
        <v>4.8</v>
      </c>
      <c r="H269">
        <v>1.3333333000000001</v>
      </c>
      <c r="I269">
        <v>-0.3333333</v>
      </c>
      <c r="J269">
        <v>0.42857139999999999</v>
      </c>
    </row>
    <row r="270" spans="1:10" x14ac:dyDescent="0.3">
      <c r="A270">
        <v>268</v>
      </c>
      <c r="B270">
        <v>4261</v>
      </c>
      <c r="C270" t="b">
        <v>1</v>
      </c>
      <c r="D270">
        <v>8048</v>
      </c>
      <c r="E270">
        <v>8117</v>
      </c>
      <c r="F270">
        <v>6.4</v>
      </c>
      <c r="G270">
        <v>4.8</v>
      </c>
      <c r="H270">
        <v>1.3333333000000001</v>
      </c>
      <c r="I270">
        <v>-0.3333333</v>
      </c>
      <c r="J270">
        <v>0.42857139999999999</v>
      </c>
    </row>
    <row r="271" spans="1:10" x14ac:dyDescent="0.3">
      <c r="A271">
        <v>269</v>
      </c>
      <c r="B271">
        <v>4277</v>
      </c>
      <c r="C271" t="b">
        <v>1</v>
      </c>
      <c r="D271">
        <v>8042</v>
      </c>
      <c r="E271">
        <v>8129</v>
      </c>
      <c r="F271">
        <v>6.4</v>
      </c>
      <c r="G271">
        <v>4.8</v>
      </c>
      <c r="H271">
        <v>1.3333333000000001</v>
      </c>
      <c r="I271">
        <v>-0.3333333</v>
      </c>
      <c r="J271">
        <v>0.42857139999999999</v>
      </c>
    </row>
    <row r="272" spans="1:10" x14ac:dyDescent="0.3">
      <c r="A272">
        <v>270</v>
      </c>
      <c r="B272">
        <v>4293</v>
      </c>
      <c r="C272" t="b">
        <v>1</v>
      </c>
      <c r="D272">
        <v>8042</v>
      </c>
      <c r="E272">
        <v>8123</v>
      </c>
      <c r="F272">
        <v>6</v>
      </c>
      <c r="G272">
        <v>4.8</v>
      </c>
      <c r="H272">
        <v>1.25</v>
      </c>
      <c r="I272">
        <v>-0.24999995999999999</v>
      </c>
      <c r="J272">
        <v>0.44444444999999999</v>
      </c>
    </row>
    <row r="273" spans="1:10" x14ac:dyDescent="0.3">
      <c r="A273">
        <v>271</v>
      </c>
      <c r="B273">
        <v>4309</v>
      </c>
      <c r="C273" t="b">
        <v>1</v>
      </c>
      <c r="D273">
        <v>8042</v>
      </c>
      <c r="E273">
        <v>8123</v>
      </c>
      <c r="F273">
        <v>5.6</v>
      </c>
      <c r="G273">
        <v>5.2</v>
      </c>
      <c r="H273">
        <v>1.0769230999999999</v>
      </c>
      <c r="I273">
        <v>-7.6923094999999997E-2</v>
      </c>
      <c r="J273">
        <v>0.48148150000000001</v>
      </c>
    </row>
    <row r="274" spans="1:10" x14ac:dyDescent="0.3">
      <c r="A274">
        <v>272</v>
      </c>
      <c r="B274">
        <v>4324</v>
      </c>
      <c r="C274" t="b">
        <v>1</v>
      </c>
      <c r="D274">
        <v>8042</v>
      </c>
      <c r="E274">
        <v>8123</v>
      </c>
      <c r="F274">
        <v>5.2</v>
      </c>
      <c r="G274">
        <v>5.6</v>
      </c>
      <c r="H274">
        <v>0.92857140000000005</v>
      </c>
      <c r="I274">
        <v>7.142859E-2</v>
      </c>
      <c r="J274">
        <v>0.51851857000000001</v>
      </c>
    </row>
    <row r="275" spans="1:10" x14ac:dyDescent="0.3">
      <c r="A275">
        <v>273</v>
      </c>
      <c r="B275">
        <v>4340</v>
      </c>
      <c r="C275" t="b">
        <v>1</v>
      </c>
      <c r="D275">
        <v>8042</v>
      </c>
      <c r="E275">
        <v>8123</v>
      </c>
      <c r="F275">
        <v>4.8</v>
      </c>
      <c r="G275">
        <v>5.6</v>
      </c>
      <c r="H275">
        <v>0.85714290000000004</v>
      </c>
      <c r="I275">
        <v>0.14285708999999999</v>
      </c>
      <c r="J275">
        <v>0.53846156999999994</v>
      </c>
    </row>
    <row r="276" spans="1:10" x14ac:dyDescent="0.3">
      <c r="A276">
        <v>274</v>
      </c>
      <c r="B276">
        <v>4356</v>
      </c>
      <c r="C276" t="b">
        <v>1</v>
      </c>
      <c r="D276">
        <v>8048</v>
      </c>
      <c r="E276">
        <v>8129</v>
      </c>
      <c r="F276">
        <v>4.4000000000000004</v>
      </c>
      <c r="G276">
        <v>5.6</v>
      </c>
      <c r="H276">
        <v>0.78571429999999998</v>
      </c>
      <c r="I276">
        <v>0.21428569</v>
      </c>
      <c r="J276">
        <v>0.56000000000000005</v>
      </c>
    </row>
    <row r="277" spans="1:10" x14ac:dyDescent="0.3">
      <c r="A277">
        <v>275</v>
      </c>
      <c r="B277">
        <v>4372</v>
      </c>
      <c r="C277" t="b">
        <v>1</v>
      </c>
      <c r="D277">
        <v>8054</v>
      </c>
      <c r="E277">
        <v>8123</v>
      </c>
      <c r="F277">
        <v>4</v>
      </c>
      <c r="G277">
        <v>5.6</v>
      </c>
      <c r="H277">
        <v>0.71428572999999995</v>
      </c>
      <c r="I277">
        <v>0.28571426999999999</v>
      </c>
      <c r="J277">
        <v>0.58333330000000005</v>
      </c>
    </row>
    <row r="278" spans="1:10" x14ac:dyDescent="0.3">
      <c r="A278">
        <v>276</v>
      </c>
      <c r="B278">
        <v>4388</v>
      </c>
      <c r="C278" t="b">
        <v>1</v>
      </c>
      <c r="D278">
        <v>8048</v>
      </c>
      <c r="E278">
        <v>8129</v>
      </c>
      <c r="F278">
        <v>4</v>
      </c>
      <c r="G278">
        <v>5.6</v>
      </c>
      <c r="H278">
        <v>0.71428572999999995</v>
      </c>
      <c r="I278">
        <v>0.28571426999999999</v>
      </c>
      <c r="J278">
        <v>0.58333330000000005</v>
      </c>
    </row>
    <row r="279" spans="1:10" x14ac:dyDescent="0.3">
      <c r="A279">
        <v>277</v>
      </c>
      <c r="B279">
        <v>4403</v>
      </c>
      <c r="C279" t="b">
        <v>1</v>
      </c>
      <c r="D279">
        <v>8048</v>
      </c>
      <c r="E279">
        <v>8123</v>
      </c>
      <c r="F279">
        <v>4</v>
      </c>
      <c r="G279">
        <v>5.6</v>
      </c>
      <c r="H279">
        <v>0.71428572999999995</v>
      </c>
      <c r="I279">
        <v>0.28571426999999999</v>
      </c>
      <c r="J279">
        <v>0.58333330000000005</v>
      </c>
    </row>
    <row r="280" spans="1:10" x14ac:dyDescent="0.3">
      <c r="A280">
        <v>278</v>
      </c>
      <c r="B280">
        <v>4419</v>
      </c>
      <c r="C280" t="b">
        <v>1</v>
      </c>
      <c r="D280">
        <v>8048</v>
      </c>
      <c r="E280">
        <v>8129</v>
      </c>
      <c r="F280">
        <v>4</v>
      </c>
      <c r="G280">
        <v>6</v>
      </c>
      <c r="H280">
        <v>0.66666669999999995</v>
      </c>
      <c r="I280">
        <v>0.33333333999999998</v>
      </c>
      <c r="J280">
        <v>0.6</v>
      </c>
    </row>
    <row r="281" spans="1:10" x14ac:dyDescent="0.3">
      <c r="A281">
        <v>279</v>
      </c>
      <c r="B281">
        <v>4435</v>
      </c>
      <c r="C281" t="b">
        <v>1</v>
      </c>
      <c r="D281">
        <v>8048</v>
      </c>
      <c r="E281">
        <v>8123</v>
      </c>
      <c r="F281">
        <v>4.4000000000000004</v>
      </c>
      <c r="G281">
        <v>6</v>
      </c>
      <c r="H281">
        <v>0.73333334999999999</v>
      </c>
      <c r="I281">
        <v>0.26666665000000001</v>
      </c>
      <c r="J281">
        <v>0.57692310000000002</v>
      </c>
    </row>
    <row r="282" spans="1:10" x14ac:dyDescent="0.3">
      <c r="A282">
        <v>280</v>
      </c>
      <c r="B282">
        <v>4451</v>
      </c>
      <c r="C282" t="b">
        <v>1</v>
      </c>
      <c r="D282">
        <v>8048</v>
      </c>
      <c r="E282">
        <v>8129</v>
      </c>
      <c r="F282">
        <v>4.8</v>
      </c>
      <c r="G282">
        <v>6.8</v>
      </c>
      <c r="H282">
        <v>0.70588240000000002</v>
      </c>
      <c r="I282">
        <v>0.29411763000000002</v>
      </c>
      <c r="J282">
        <v>0.58620689999999998</v>
      </c>
    </row>
    <row r="283" spans="1:10" x14ac:dyDescent="0.3">
      <c r="A283">
        <v>281</v>
      </c>
      <c r="B283">
        <v>4467</v>
      </c>
      <c r="C283" t="b">
        <v>1</v>
      </c>
      <c r="D283">
        <v>8048</v>
      </c>
      <c r="E283">
        <v>8123</v>
      </c>
      <c r="F283">
        <v>5.2</v>
      </c>
      <c r="G283">
        <v>7.2</v>
      </c>
      <c r="H283">
        <v>0.72222220000000004</v>
      </c>
      <c r="I283">
        <v>0.27777780000000002</v>
      </c>
      <c r="J283">
        <v>0.58064514</v>
      </c>
    </row>
    <row r="284" spans="1:10" x14ac:dyDescent="0.3">
      <c r="A284">
        <v>282</v>
      </c>
      <c r="B284">
        <v>4482</v>
      </c>
      <c r="C284" t="b">
        <v>1</v>
      </c>
      <c r="D284">
        <v>8048</v>
      </c>
      <c r="E284">
        <v>8123</v>
      </c>
      <c r="F284">
        <v>5.6</v>
      </c>
      <c r="G284">
        <v>7.6</v>
      </c>
      <c r="H284">
        <v>0.73684210000000006</v>
      </c>
      <c r="I284">
        <v>0.2631579</v>
      </c>
      <c r="J284">
        <v>0.57575756</v>
      </c>
    </row>
    <row r="285" spans="1:10" x14ac:dyDescent="0.3">
      <c r="A285">
        <v>283</v>
      </c>
      <c r="B285">
        <v>4498</v>
      </c>
      <c r="C285" t="b">
        <v>1</v>
      </c>
      <c r="D285">
        <v>8048</v>
      </c>
      <c r="E285">
        <v>8129</v>
      </c>
      <c r="F285">
        <v>5.6</v>
      </c>
      <c r="G285">
        <v>8</v>
      </c>
      <c r="H285">
        <v>0.7</v>
      </c>
      <c r="I285">
        <v>0.3</v>
      </c>
      <c r="J285">
        <v>0.58823526000000004</v>
      </c>
    </row>
    <row r="286" spans="1:10" x14ac:dyDescent="0.3">
      <c r="A286">
        <v>284</v>
      </c>
      <c r="B286">
        <v>4514</v>
      </c>
      <c r="C286" t="b">
        <v>1</v>
      </c>
      <c r="D286">
        <v>8048</v>
      </c>
      <c r="E286">
        <v>8123</v>
      </c>
      <c r="F286">
        <v>5.6</v>
      </c>
      <c r="G286">
        <v>8.4</v>
      </c>
      <c r="H286">
        <v>0.66666669999999995</v>
      </c>
      <c r="I286">
        <v>0.3333333</v>
      </c>
      <c r="J286">
        <v>0.59999996</v>
      </c>
    </row>
    <row r="287" spans="1:10" x14ac:dyDescent="0.3">
      <c r="A287">
        <v>285</v>
      </c>
      <c r="B287">
        <v>4530</v>
      </c>
      <c r="C287" t="b">
        <v>1</v>
      </c>
      <c r="D287">
        <v>8048</v>
      </c>
      <c r="E287">
        <v>8129</v>
      </c>
      <c r="F287">
        <v>6</v>
      </c>
      <c r="G287">
        <v>8.8000000000000007</v>
      </c>
      <c r="H287">
        <v>0.68181820000000004</v>
      </c>
      <c r="I287">
        <v>0.31818183999999999</v>
      </c>
      <c r="J287">
        <v>0.59459459999999997</v>
      </c>
    </row>
    <row r="288" spans="1:10" x14ac:dyDescent="0.3">
      <c r="A288">
        <v>286</v>
      </c>
      <c r="B288">
        <v>4546</v>
      </c>
      <c r="C288" t="b">
        <v>1</v>
      </c>
      <c r="D288">
        <v>8048</v>
      </c>
      <c r="E288">
        <v>8123</v>
      </c>
      <c r="F288">
        <v>6.4</v>
      </c>
      <c r="G288">
        <v>8.8000000000000007</v>
      </c>
      <c r="H288">
        <v>0.72727275000000002</v>
      </c>
      <c r="I288">
        <v>0.27272728000000002</v>
      </c>
      <c r="J288">
        <v>0.57894736999999996</v>
      </c>
    </row>
    <row r="289" spans="1:10" x14ac:dyDescent="0.3">
      <c r="A289">
        <v>287</v>
      </c>
      <c r="B289">
        <v>4562</v>
      </c>
      <c r="C289" t="b">
        <v>1</v>
      </c>
      <c r="D289">
        <v>8048</v>
      </c>
      <c r="E289">
        <v>8129</v>
      </c>
      <c r="F289">
        <v>6.8</v>
      </c>
      <c r="G289">
        <v>9.1999999999999993</v>
      </c>
      <c r="H289">
        <v>0.73913050000000002</v>
      </c>
      <c r="I289">
        <v>0.26086953000000002</v>
      </c>
      <c r="J289">
        <v>0.57499999999999996</v>
      </c>
    </row>
    <row r="290" spans="1:10" x14ac:dyDescent="0.3">
      <c r="A290">
        <v>288</v>
      </c>
      <c r="B290">
        <v>4578</v>
      </c>
      <c r="C290" t="b">
        <v>1</v>
      </c>
      <c r="D290">
        <v>8054</v>
      </c>
      <c r="E290">
        <v>8123</v>
      </c>
      <c r="F290">
        <v>7.2</v>
      </c>
      <c r="G290">
        <v>9.1999999999999993</v>
      </c>
      <c r="H290">
        <v>0.78260870000000005</v>
      </c>
      <c r="I290">
        <v>0.21739131</v>
      </c>
      <c r="J290">
        <v>0.56097560000000002</v>
      </c>
    </row>
    <row r="291" spans="1:10" x14ac:dyDescent="0.3">
      <c r="A291">
        <v>289</v>
      </c>
      <c r="B291">
        <v>4594</v>
      </c>
      <c r="C291" t="b">
        <v>1</v>
      </c>
      <c r="D291">
        <v>8048</v>
      </c>
      <c r="E291">
        <v>8123</v>
      </c>
      <c r="F291">
        <v>7.6</v>
      </c>
      <c r="G291">
        <v>9.1999999999999993</v>
      </c>
      <c r="H291">
        <v>0.82608694000000005</v>
      </c>
      <c r="I291">
        <v>0.17391303</v>
      </c>
      <c r="J291">
        <v>0.54761903999999995</v>
      </c>
    </row>
    <row r="292" spans="1:10" x14ac:dyDescent="0.3">
      <c r="A292">
        <v>290</v>
      </c>
      <c r="B292">
        <v>4610</v>
      </c>
      <c r="C292" t="b">
        <v>1</v>
      </c>
      <c r="D292">
        <v>8048</v>
      </c>
      <c r="E292">
        <v>8123</v>
      </c>
      <c r="F292">
        <v>8</v>
      </c>
      <c r="G292">
        <v>9.1999999999999993</v>
      </c>
      <c r="H292">
        <v>0.86956524999999996</v>
      </c>
      <c r="I292">
        <v>0.13043477000000001</v>
      </c>
      <c r="J292">
        <v>0.53488369999999996</v>
      </c>
    </row>
    <row r="293" spans="1:10" x14ac:dyDescent="0.3">
      <c r="A293">
        <v>291</v>
      </c>
      <c r="B293">
        <v>4625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4641</v>
      </c>
      <c r="C294" t="b">
        <v>1</v>
      </c>
      <c r="D294">
        <v>8054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4657</v>
      </c>
      <c r="C295" t="b">
        <v>1</v>
      </c>
      <c r="D295">
        <v>8054</v>
      </c>
      <c r="E295">
        <v>8129</v>
      </c>
      <c r="F295">
        <v>8</v>
      </c>
      <c r="G295">
        <v>8.8000000000000007</v>
      </c>
      <c r="H295">
        <v>0.90909090000000004</v>
      </c>
      <c r="I295">
        <v>9.0909110000000001E-2</v>
      </c>
      <c r="J295">
        <v>0.52380954999999996</v>
      </c>
    </row>
    <row r="296" spans="1:10" x14ac:dyDescent="0.3">
      <c r="A296">
        <v>294</v>
      </c>
      <c r="B296">
        <v>4681</v>
      </c>
      <c r="C296" t="b">
        <v>1</v>
      </c>
      <c r="D296">
        <v>8048</v>
      </c>
      <c r="E296">
        <v>8117</v>
      </c>
      <c r="F296">
        <v>8</v>
      </c>
      <c r="G296">
        <v>8.8000000000000007</v>
      </c>
      <c r="H296">
        <v>0.90909090000000004</v>
      </c>
      <c r="I296">
        <v>9.0909110000000001E-2</v>
      </c>
      <c r="J296">
        <v>0.52380954999999996</v>
      </c>
    </row>
    <row r="297" spans="1:10" x14ac:dyDescent="0.3">
      <c r="A297">
        <v>295</v>
      </c>
      <c r="B297">
        <v>4696</v>
      </c>
      <c r="C297" t="b">
        <v>1</v>
      </c>
      <c r="D297">
        <v>8048</v>
      </c>
      <c r="E297">
        <v>8117</v>
      </c>
      <c r="F297">
        <v>8</v>
      </c>
      <c r="G297">
        <v>8.4</v>
      </c>
      <c r="H297">
        <v>0.95238100000000003</v>
      </c>
      <c r="I297">
        <v>4.7619003999999999E-2</v>
      </c>
      <c r="J297">
        <v>0.51219510000000001</v>
      </c>
    </row>
    <row r="298" spans="1:10" x14ac:dyDescent="0.3">
      <c r="A298">
        <v>296</v>
      </c>
      <c r="B298">
        <v>4712</v>
      </c>
      <c r="C298" t="b">
        <v>1</v>
      </c>
      <c r="D298">
        <v>8048</v>
      </c>
      <c r="E298">
        <v>8117</v>
      </c>
      <c r="F298">
        <v>8</v>
      </c>
      <c r="G298">
        <v>8</v>
      </c>
      <c r="H298">
        <v>1</v>
      </c>
      <c r="I298">
        <v>0</v>
      </c>
      <c r="J298">
        <v>0.5</v>
      </c>
    </row>
    <row r="299" spans="1:10" x14ac:dyDescent="0.3">
      <c r="A299">
        <v>297</v>
      </c>
      <c r="B299">
        <v>4728</v>
      </c>
      <c r="C299" t="b">
        <v>1</v>
      </c>
      <c r="D299">
        <v>8048</v>
      </c>
      <c r="E299">
        <v>8117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4744</v>
      </c>
      <c r="C300" t="b">
        <v>1</v>
      </c>
      <c r="D300">
        <v>8048</v>
      </c>
      <c r="E300">
        <v>8117</v>
      </c>
      <c r="F300">
        <v>8</v>
      </c>
      <c r="G300">
        <v>7.2</v>
      </c>
      <c r="H300">
        <v>1.1111112000000001</v>
      </c>
      <c r="I300">
        <v>-0.11111114</v>
      </c>
      <c r="J300">
        <v>0.4736842</v>
      </c>
    </row>
    <row r="301" spans="1:10" x14ac:dyDescent="0.3">
      <c r="A301">
        <v>299</v>
      </c>
      <c r="B301">
        <v>4760</v>
      </c>
      <c r="C301" t="b">
        <v>1</v>
      </c>
      <c r="D301">
        <v>8048</v>
      </c>
      <c r="E301">
        <v>8123</v>
      </c>
      <c r="F301">
        <v>8</v>
      </c>
      <c r="G301">
        <v>6.8</v>
      </c>
      <c r="H301">
        <v>1.1764705</v>
      </c>
      <c r="I301">
        <v>-0.17647055</v>
      </c>
      <c r="J301">
        <v>0.45945944999999999</v>
      </c>
    </row>
    <row r="302" spans="1:10" x14ac:dyDescent="0.3">
      <c r="A302">
        <v>300</v>
      </c>
      <c r="B302">
        <v>4776</v>
      </c>
      <c r="C302" t="b">
        <v>1</v>
      </c>
      <c r="D302">
        <v>8048</v>
      </c>
      <c r="E302">
        <v>8129</v>
      </c>
      <c r="F302">
        <v>8</v>
      </c>
      <c r="G302">
        <v>6.4</v>
      </c>
      <c r="H302">
        <v>1.25</v>
      </c>
      <c r="I302">
        <v>-0.24999999000000001</v>
      </c>
      <c r="J302">
        <v>0.44444447999999998</v>
      </c>
    </row>
    <row r="303" spans="1:10" x14ac:dyDescent="0.3">
      <c r="A303">
        <v>301</v>
      </c>
      <c r="B303">
        <v>4792</v>
      </c>
      <c r="C303" t="b">
        <v>1</v>
      </c>
      <c r="D303">
        <v>8048</v>
      </c>
      <c r="E303">
        <v>8129</v>
      </c>
      <c r="F303">
        <v>8</v>
      </c>
      <c r="G303">
        <v>6.4</v>
      </c>
      <c r="H303">
        <v>1.25</v>
      </c>
      <c r="I303">
        <v>-0.24999999000000001</v>
      </c>
      <c r="J303">
        <v>0.44444447999999998</v>
      </c>
    </row>
    <row r="304" spans="1:10" x14ac:dyDescent="0.3">
      <c r="A304">
        <v>302</v>
      </c>
      <c r="B304">
        <v>4807</v>
      </c>
      <c r="C304" t="b">
        <v>1</v>
      </c>
      <c r="D304">
        <v>8048</v>
      </c>
      <c r="E304">
        <v>8123</v>
      </c>
      <c r="F304">
        <v>8</v>
      </c>
      <c r="G304">
        <v>6</v>
      </c>
      <c r="H304">
        <v>1.3333333999999999</v>
      </c>
      <c r="I304">
        <v>-0.33333333999999998</v>
      </c>
      <c r="J304">
        <v>0.42857142999999998</v>
      </c>
    </row>
    <row r="305" spans="1:10" x14ac:dyDescent="0.3">
      <c r="A305">
        <v>303</v>
      </c>
      <c r="B305">
        <v>4824</v>
      </c>
      <c r="C305" t="b">
        <v>1</v>
      </c>
      <c r="D305">
        <v>8054</v>
      </c>
      <c r="E305">
        <v>8123</v>
      </c>
      <c r="F305">
        <v>8</v>
      </c>
      <c r="G305">
        <v>6</v>
      </c>
      <c r="H305">
        <v>1.3333333999999999</v>
      </c>
      <c r="I305">
        <v>-0.33333333999999998</v>
      </c>
      <c r="J305">
        <v>0.42857142999999998</v>
      </c>
    </row>
    <row r="306" spans="1:10" x14ac:dyDescent="0.3">
      <c r="A306">
        <v>304</v>
      </c>
      <c r="B306">
        <v>4839</v>
      </c>
      <c r="C306" t="b">
        <v>1</v>
      </c>
      <c r="D306">
        <v>8048</v>
      </c>
      <c r="E306">
        <v>8129</v>
      </c>
      <c r="F306">
        <v>8</v>
      </c>
      <c r="G306">
        <v>6.4</v>
      </c>
      <c r="H306">
        <v>1.25</v>
      </c>
      <c r="I306">
        <v>-0.24999999000000001</v>
      </c>
      <c r="J306">
        <v>0.44444447999999998</v>
      </c>
    </row>
    <row r="307" spans="1:10" x14ac:dyDescent="0.3">
      <c r="A307">
        <v>305</v>
      </c>
      <c r="B307">
        <v>4855</v>
      </c>
      <c r="C307" t="b">
        <v>1</v>
      </c>
      <c r="D307">
        <v>8048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4871</v>
      </c>
      <c r="C308" t="b">
        <v>1</v>
      </c>
      <c r="D308">
        <v>8054</v>
      </c>
      <c r="E308">
        <v>8117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4887</v>
      </c>
      <c r="C309" t="b">
        <v>1</v>
      </c>
      <c r="D309">
        <v>8042</v>
      </c>
      <c r="E309">
        <v>8117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4903</v>
      </c>
      <c r="C310" t="b">
        <v>1</v>
      </c>
      <c r="D310">
        <v>8042</v>
      </c>
      <c r="E310">
        <v>8117</v>
      </c>
      <c r="F310">
        <v>8</v>
      </c>
      <c r="G310">
        <v>6</v>
      </c>
      <c r="H310">
        <v>1.3333333999999999</v>
      </c>
      <c r="I310">
        <v>-0.33333333999999998</v>
      </c>
      <c r="J310">
        <v>0.42857142999999998</v>
      </c>
    </row>
    <row r="311" spans="1:10" x14ac:dyDescent="0.3">
      <c r="A311">
        <v>309</v>
      </c>
      <c r="B311">
        <v>4919</v>
      </c>
      <c r="C311" t="b">
        <v>1</v>
      </c>
      <c r="D311">
        <v>8042</v>
      </c>
      <c r="E311">
        <v>8117</v>
      </c>
      <c r="F311">
        <v>7.6</v>
      </c>
      <c r="G311">
        <v>5.6</v>
      </c>
      <c r="H311">
        <v>1.3571428000000001</v>
      </c>
      <c r="I311">
        <v>-0.35714287</v>
      </c>
      <c r="J311">
        <v>0.42424244</v>
      </c>
    </row>
    <row r="312" spans="1:10" x14ac:dyDescent="0.3">
      <c r="A312">
        <v>310</v>
      </c>
      <c r="B312">
        <v>4935</v>
      </c>
      <c r="C312" t="b">
        <v>1</v>
      </c>
      <c r="D312">
        <v>8048</v>
      </c>
      <c r="E312">
        <v>8117</v>
      </c>
      <c r="F312">
        <v>7.2</v>
      </c>
      <c r="G312">
        <v>5.2</v>
      </c>
      <c r="H312">
        <v>1.3846153999999999</v>
      </c>
      <c r="I312">
        <v>-0.3846154</v>
      </c>
      <c r="J312">
        <v>0.41935483000000001</v>
      </c>
    </row>
    <row r="313" spans="1:10" x14ac:dyDescent="0.3">
      <c r="A313">
        <v>311</v>
      </c>
      <c r="B313">
        <v>4950</v>
      </c>
      <c r="C313" t="b">
        <v>1</v>
      </c>
      <c r="D313">
        <v>8042</v>
      </c>
      <c r="E313">
        <v>8117</v>
      </c>
      <c r="F313">
        <v>6.8</v>
      </c>
      <c r="G313">
        <v>5.2</v>
      </c>
      <c r="H313">
        <v>1.3076924000000001</v>
      </c>
      <c r="I313">
        <v>-0.30769237999999999</v>
      </c>
      <c r="J313">
        <v>0.43333329999999998</v>
      </c>
    </row>
    <row r="314" spans="1:10" x14ac:dyDescent="0.3">
      <c r="A314">
        <v>312</v>
      </c>
      <c r="B314">
        <v>4966</v>
      </c>
      <c r="C314" t="b">
        <v>1</v>
      </c>
      <c r="D314">
        <v>8042</v>
      </c>
      <c r="E314">
        <v>8123</v>
      </c>
      <c r="F314">
        <v>6.4</v>
      </c>
      <c r="G314">
        <v>5.2</v>
      </c>
      <c r="H314">
        <v>1.2307693</v>
      </c>
      <c r="I314">
        <v>-0.23076928999999999</v>
      </c>
      <c r="J314">
        <v>0.44827582999999999</v>
      </c>
    </row>
    <row r="315" spans="1:10" x14ac:dyDescent="0.3">
      <c r="A315">
        <v>313</v>
      </c>
      <c r="B315">
        <v>4982</v>
      </c>
      <c r="C315" t="b">
        <v>1</v>
      </c>
      <c r="D315">
        <v>8048</v>
      </c>
      <c r="E315">
        <v>8134</v>
      </c>
      <c r="F315">
        <v>6</v>
      </c>
      <c r="G315">
        <v>5.2</v>
      </c>
      <c r="H315">
        <v>1.1538461</v>
      </c>
      <c r="I315">
        <v>-0.15384618999999999</v>
      </c>
      <c r="J315">
        <v>0.46428570000000002</v>
      </c>
    </row>
    <row r="316" spans="1:10" x14ac:dyDescent="0.3">
      <c r="A316">
        <v>314</v>
      </c>
      <c r="B316">
        <v>4998</v>
      </c>
      <c r="C316" t="b">
        <v>1</v>
      </c>
      <c r="D316">
        <v>8054</v>
      </c>
      <c r="E316">
        <v>8123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5014</v>
      </c>
      <c r="C317" t="b">
        <v>1</v>
      </c>
      <c r="D317">
        <v>8048</v>
      </c>
      <c r="E317">
        <v>8123</v>
      </c>
      <c r="F317">
        <v>6</v>
      </c>
      <c r="G317">
        <v>6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5030</v>
      </c>
      <c r="C318" t="b">
        <v>1</v>
      </c>
      <c r="D318">
        <v>8048</v>
      </c>
      <c r="E318">
        <v>8129</v>
      </c>
      <c r="F318">
        <v>6</v>
      </c>
      <c r="G318">
        <v>6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5046</v>
      </c>
      <c r="C319" t="b">
        <v>1</v>
      </c>
      <c r="D319">
        <v>8048</v>
      </c>
      <c r="E319">
        <v>8123</v>
      </c>
      <c r="F319">
        <v>6</v>
      </c>
      <c r="G319">
        <v>6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5062</v>
      </c>
      <c r="C320" t="b">
        <v>1</v>
      </c>
      <c r="D320">
        <v>8048</v>
      </c>
      <c r="E320">
        <v>8123</v>
      </c>
      <c r="F320">
        <v>6</v>
      </c>
      <c r="G320">
        <v>6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5078</v>
      </c>
      <c r="C321" t="b">
        <v>1</v>
      </c>
      <c r="D321">
        <v>8042</v>
      </c>
      <c r="E321">
        <v>8123</v>
      </c>
      <c r="F321">
        <v>6</v>
      </c>
      <c r="G321">
        <v>5.6</v>
      </c>
      <c r="H321">
        <v>1.0714284999999999</v>
      </c>
      <c r="I321">
        <v>-7.142859E-2</v>
      </c>
      <c r="J321">
        <v>0.48275859999999998</v>
      </c>
    </row>
    <row r="322" spans="1:10" x14ac:dyDescent="0.3">
      <c r="A322">
        <v>320</v>
      </c>
      <c r="B322">
        <v>5094</v>
      </c>
      <c r="C322" t="b">
        <v>1</v>
      </c>
      <c r="D322">
        <v>8048</v>
      </c>
      <c r="E322">
        <v>8123</v>
      </c>
      <c r="F322">
        <v>6</v>
      </c>
      <c r="G322">
        <v>5.6</v>
      </c>
      <c r="H322">
        <v>1.0714284999999999</v>
      </c>
      <c r="I322">
        <v>-7.142859E-2</v>
      </c>
      <c r="J322">
        <v>0.48275859999999998</v>
      </c>
    </row>
    <row r="323" spans="1:10" x14ac:dyDescent="0.3">
      <c r="A323">
        <v>321</v>
      </c>
      <c r="B323">
        <v>5110</v>
      </c>
      <c r="C323" t="b">
        <v>1</v>
      </c>
      <c r="D323">
        <v>8042</v>
      </c>
      <c r="E323">
        <v>8123</v>
      </c>
      <c r="F323">
        <v>6</v>
      </c>
      <c r="G323">
        <v>5.6</v>
      </c>
      <c r="H323">
        <v>1.0714284999999999</v>
      </c>
      <c r="I323">
        <v>-7.142859E-2</v>
      </c>
      <c r="J323">
        <v>0.48275859999999998</v>
      </c>
    </row>
    <row r="324" spans="1:10" x14ac:dyDescent="0.3">
      <c r="A324">
        <v>322</v>
      </c>
      <c r="B324">
        <v>5126</v>
      </c>
      <c r="C324" t="b">
        <v>1</v>
      </c>
      <c r="D324">
        <v>8042</v>
      </c>
      <c r="E324">
        <v>8123</v>
      </c>
      <c r="F324">
        <v>5.6</v>
      </c>
      <c r="G324">
        <v>5.6</v>
      </c>
      <c r="H324">
        <v>1</v>
      </c>
      <c r="I324">
        <v>0</v>
      </c>
      <c r="J324">
        <v>0.5</v>
      </c>
    </row>
    <row r="325" spans="1:10" x14ac:dyDescent="0.3">
      <c r="A325">
        <v>323</v>
      </c>
      <c r="B325">
        <v>5142</v>
      </c>
      <c r="C325" t="b">
        <v>1</v>
      </c>
      <c r="D325">
        <v>8042</v>
      </c>
      <c r="E325">
        <v>8129</v>
      </c>
      <c r="F325">
        <v>5.2</v>
      </c>
      <c r="G325">
        <v>6</v>
      </c>
      <c r="H325">
        <v>0.86666659999999995</v>
      </c>
      <c r="I325">
        <v>0.13333337000000001</v>
      </c>
      <c r="J325">
        <v>0.53571427000000005</v>
      </c>
    </row>
    <row r="326" spans="1:10" x14ac:dyDescent="0.3">
      <c r="A326">
        <v>324</v>
      </c>
      <c r="B326">
        <v>5158</v>
      </c>
      <c r="C326" t="b">
        <v>1</v>
      </c>
      <c r="D326">
        <v>8042</v>
      </c>
      <c r="E326">
        <v>8123</v>
      </c>
      <c r="F326">
        <v>5.2</v>
      </c>
      <c r="G326">
        <v>6.4</v>
      </c>
      <c r="H326">
        <v>0.81249994000000003</v>
      </c>
      <c r="I326">
        <v>0.18750004000000001</v>
      </c>
      <c r="J326">
        <v>0.55172414000000003</v>
      </c>
    </row>
    <row r="327" spans="1:10" x14ac:dyDescent="0.3">
      <c r="A327">
        <v>325</v>
      </c>
      <c r="B327">
        <v>5174</v>
      </c>
      <c r="C327" t="b">
        <v>1</v>
      </c>
      <c r="D327">
        <v>8037</v>
      </c>
      <c r="E327">
        <v>8129</v>
      </c>
      <c r="F327">
        <v>5.2</v>
      </c>
      <c r="G327">
        <v>6.8</v>
      </c>
      <c r="H327">
        <v>0.76470583999999997</v>
      </c>
      <c r="I327">
        <v>0.23529416</v>
      </c>
      <c r="J327">
        <v>0.56666665999999999</v>
      </c>
    </row>
    <row r="328" spans="1:10" x14ac:dyDescent="0.3">
      <c r="A328">
        <v>326</v>
      </c>
      <c r="B328">
        <v>5189</v>
      </c>
      <c r="C328" t="b">
        <v>1</v>
      </c>
      <c r="D328">
        <v>8048</v>
      </c>
      <c r="E328">
        <v>8123</v>
      </c>
      <c r="F328">
        <v>5.2</v>
      </c>
      <c r="G328">
        <v>7.2</v>
      </c>
      <c r="H328">
        <v>0.72222220000000004</v>
      </c>
      <c r="I328">
        <v>0.27777780000000002</v>
      </c>
      <c r="J328">
        <v>0.58064514</v>
      </c>
    </row>
    <row r="329" spans="1:10" x14ac:dyDescent="0.3">
      <c r="A329">
        <v>327</v>
      </c>
      <c r="B329">
        <v>5205</v>
      </c>
      <c r="C329" t="b">
        <v>1</v>
      </c>
      <c r="D329">
        <v>8048</v>
      </c>
      <c r="E329">
        <v>8123</v>
      </c>
      <c r="F329">
        <v>5.2</v>
      </c>
      <c r="G329">
        <v>7.6</v>
      </c>
      <c r="H329">
        <v>0.68421054000000003</v>
      </c>
      <c r="I329">
        <v>0.3157895</v>
      </c>
      <c r="J329">
        <v>0.59375</v>
      </c>
    </row>
    <row r="330" spans="1:10" x14ac:dyDescent="0.3">
      <c r="A330">
        <v>328</v>
      </c>
      <c r="B330">
        <v>5221</v>
      </c>
      <c r="C330" t="b">
        <v>1</v>
      </c>
      <c r="D330">
        <v>8048</v>
      </c>
      <c r="E330">
        <v>8123</v>
      </c>
      <c r="F330">
        <v>5.6</v>
      </c>
      <c r="G330">
        <v>8</v>
      </c>
      <c r="H330">
        <v>0.7</v>
      </c>
      <c r="I330">
        <v>0.3</v>
      </c>
      <c r="J330">
        <v>0.58823526000000004</v>
      </c>
    </row>
    <row r="331" spans="1:10" x14ac:dyDescent="0.3">
      <c r="A331">
        <v>329</v>
      </c>
      <c r="B331">
        <v>5237</v>
      </c>
      <c r="C331" t="b">
        <v>1</v>
      </c>
      <c r="D331">
        <v>8054</v>
      </c>
      <c r="E331">
        <v>8129</v>
      </c>
      <c r="F331">
        <v>5.6</v>
      </c>
      <c r="G331">
        <v>8</v>
      </c>
      <c r="H331">
        <v>0.7</v>
      </c>
      <c r="I331">
        <v>0.3</v>
      </c>
      <c r="J331">
        <v>0.58823526000000004</v>
      </c>
    </row>
    <row r="332" spans="1:10" x14ac:dyDescent="0.3">
      <c r="A332">
        <v>330</v>
      </c>
      <c r="B332">
        <v>5253</v>
      </c>
      <c r="C332" t="b">
        <v>1</v>
      </c>
      <c r="D332">
        <v>8054</v>
      </c>
      <c r="E332">
        <v>8117</v>
      </c>
      <c r="F332">
        <v>5.6</v>
      </c>
      <c r="G332">
        <v>8</v>
      </c>
      <c r="H332">
        <v>0.7</v>
      </c>
      <c r="I332">
        <v>0.3</v>
      </c>
      <c r="J332">
        <v>0.58823526000000004</v>
      </c>
    </row>
    <row r="333" spans="1:10" x14ac:dyDescent="0.3">
      <c r="A333">
        <v>331</v>
      </c>
      <c r="B333">
        <v>5269</v>
      </c>
      <c r="C333" t="b">
        <v>1</v>
      </c>
      <c r="D333">
        <v>8048</v>
      </c>
      <c r="E333">
        <v>8117</v>
      </c>
      <c r="F333">
        <v>5.6</v>
      </c>
      <c r="G333">
        <v>8</v>
      </c>
      <c r="H333">
        <v>0.7</v>
      </c>
      <c r="I333">
        <v>0.3</v>
      </c>
      <c r="J333">
        <v>0.58823526000000004</v>
      </c>
    </row>
    <row r="334" spans="1:10" x14ac:dyDescent="0.3">
      <c r="A334">
        <v>332</v>
      </c>
      <c r="B334">
        <v>5285</v>
      </c>
      <c r="C334" t="b">
        <v>1</v>
      </c>
      <c r="D334">
        <v>8048</v>
      </c>
      <c r="E334">
        <v>8129</v>
      </c>
      <c r="F334">
        <v>5.6</v>
      </c>
      <c r="G334">
        <v>8</v>
      </c>
      <c r="H334">
        <v>0.7</v>
      </c>
      <c r="I334">
        <v>0.3</v>
      </c>
      <c r="J334">
        <v>0.58823526000000004</v>
      </c>
    </row>
    <row r="335" spans="1:10" x14ac:dyDescent="0.3">
      <c r="A335">
        <v>333</v>
      </c>
      <c r="B335">
        <v>5301</v>
      </c>
      <c r="C335" t="b">
        <v>1</v>
      </c>
      <c r="D335">
        <v>8048</v>
      </c>
      <c r="E335">
        <v>8123</v>
      </c>
      <c r="F335">
        <v>5.6</v>
      </c>
      <c r="G335">
        <v>8</v>
      </c>
      <c r="H335">
        <v>0.7</v>
      </c>
      <c r="I335">
        <v>0.3</v>
      </c>
      <c r="J335">
        <v>0.58823526000000004</v>
      </c>
    </row>
    <row r="336" spans="1:10" x14ac:dyDescent="0.3">
      <c r="A336">
        <v>334</v>
      </c>
      <c r="B336">
        <v>5317</v>
      </c>
      <c r="C336" t="b">
        <v>1</v>
      </c>
      <c r="D336">
        <v>8048</v>
      </c>
      <c r="E336">
        <v>8123</v>
      </c>
      <c r="F336">
        <v>5.6</v>
      </c>
      <c r="G336">
        <v>8</v>
      </c>
      <c r="H336">
        <v>0.7</v>
      </c>
      <c r="I336">
        <v>0.3</v>
      </c>
      <c r="J336">
        <v>0.58823526000000004</v>
      </c>
    </row>
    <row r="337" spans="1:10" x14ac:dyDescent="0.3">
      <c r="A337">
        <v>335</v>
      </c>
      <c r="B337">
        <v>5333</v>
      </c>
      <c r="C337" t="b">
        <v>1</v>
      </c>
      <c r="D337">
        <v>8048</v>
      </c>
      <c r="E337">
        <v>8123</v>
      </c>
      <c r="F337">
        <v>5.6</v>
      </c>
      <c r="G337">
        <v>8</v>
      </c>
      <c r="H337">
        <v>0.7</v>
      </c>
      <c r="I337">
        <v>0.3</v>
      </c>
      <c r="J337">
        <v>0.58823526000000004</v>
      </c>
    </row>
    <row r="338" spans="1:10" x14ac:dyDescent="0.3">
      <c r="A338">
        <v>336</v>
      </c>
      <c r="B338">
        <v>5349</v>
      </c>
      <c r="C338" t="b">
        <v>1</v>
      </c>
      <c r="D338">
        <v>8048</v>
      </c>
      <c r="E338">
        <v>8117</v>
      </c>
      <c r="F338">
        <v>5.6</v>
      </c>
      <c r="G338">
        <v>8</v>
      </c>
      <c r="H338">
        <v>0.7</v>
      </c>
      <c r="I338">
        <v>0.3</v>
      </c>
      <c r="J338">
        <v>0.58823526000000004</v>
      </c>
    </row>
    <row r="339" spans="1:10" x14ac:dyDescent="0.3">
      <c r="A339">
        <v>337</v>
      </c>
      <c r="B339">
        <v>5364</v>
      </c>
      <c r="C339" t="b">
        <v>1</v>
      </c>
      <c r="D339">
        <v>8048</v>
      </c>
      <c r="E339">
        <v>8123</v>
      </c>
      <c r="F339">
        <v>6</v>
      </c>
      <c r="G339">
        <v>8</v>
      </c>
      <c r="H339">
        <v>0.75</v>
      </c>
      <c r="I339">
        <v>0.25</v>
      </c>
      <c r="J339">
        <v>0.57142859999999995</v>
      </c>
    </row>
    <row r="340" spans="1:10" x14ac:dyDescent="0.3">
      <c r="A340">
        <v>338</v>
      </c>
      <c r="B340">
        <v>5381</v>
      </c>
      <c r="C340" t="b">
        <v>1</v>
      </c>
      <c r="D340">
        <v>8048</v>
      </c>
      <c r="E340">
        <v>8123</v>
      </c>
      <c r="F340">
        <v>6.4</v>
      </c>
      <c r="G340">
        <v>8</v>
      </c>
      <c r="H340">
        <v>0.8</v>
      </c>
      <c r="I340">
        <v>0.19999998999999999</v>
      </c>
      <c r="J340">
        <v>0.55555560000000004</v>
      </c>
    </row>
    <row r="341" spans="1:10" x14ac:dyDescent="0.3">
      <c r="A341">
        <v>339</v>
      </c>
      <c r="B341">
        <v>5396</v>
      </c>
      <c r="C341" t="b">
        <v>1</v>
      </c>
      <c r="D341">
        <v>8048</v>
      </c>
      <c r="E341">
        <v>8129</v>
      </c>
      <c r="F341">
        <v>6.8</v>
      </c>
      <c r="G341">
        <v>8</v>
      </c>
      <c r="H341">
        <v>0.85</v>
      </c>
      <c r="I341">
        <v>0.14999998</v>
      </c>
      <c r="J341">
        <v>0.54054049999999998</v>
      </c>
    </row>
    <row r="342" spans="1:10" x14ac:dyDescent="0.3">
      <c r="A342">
        <v>340</v>
      </c>
      <c r="B342">
        <v>5412</v>
      </c>
      <c r="C342" t="b">
        <v>1</v>
      </c>
      <c r="D342">
        <v>8054</v>
      </c>
      <c r="E342">
        <v>8129</v>
      </c>
      <c r="F342">
        <v>7.2</v>
      </c>
      <c r="G342">
        <v>8</v>
      </c>
      <c r="H342">
        <v>0.9</v>
      </c>
      <c r="I342">
        <v>0.10000002400000001</v>
      </c>
      <c r="J342">
        <v>0.5263158</v>
      </c>
    </row>
    <row r="343" spans="1:10" x14ac:dyDescent="0.3">
      <c r="A343">
        <v>341</v>
      </c>
      <c r="B343">
        <v>5428</v>
      </c>
      <c r="C343" t="b">
        <v>1</v>
      </c>
      <c r="D343">
        <v>8048</v>
      </c>
      <c r="E343">
        <v>8123</v>
      </c>
      <c r="F343">
        <v>7.6</v>
      </c>
      <c r="G343">
        <v>8</v>
      </c>
      <c r="H343">
        <v>0.95</v>
      </c>
      <c r="I343">
        <v>5.0000012000000003E-2</v>
      </c>
      <c r="J343">
        <v>0.51282050000000001</v>
      </c>
    </row>
    <row r="344" spans="1:10" x14ac:dyDescent="0.3">
      <c r="A344">
        <v>342</v>
      </c>
      <c r="B344">
        <v>5444</v>
      </c>
      <c r="C344" t="b">
        <v>1</v>
      </c>
      <c r="D344">
        <v>8048</v>
      </c>
      <c r="E344">
        <v>8123</v>
      </c>
      <c r="F344">
        <v>8</v>
      </c>
      <c r="G344">
        <v>8</v>
      </c>
      <c r="H344">
        <v>1</v>
      </c>
      <c r="I344">
        <v>0</v>
      </c>
      <c r="J344">
        <v>0.5</v>
      </c>
    </row>
    <row r="345" spans="1:10" x14ac:dyDescent="0.3">
      <c r="A345">
        <v>343</v>
      </c>
      <c r="B345">
        <v>5460</v>
      </c>
      <c r="C345" t="b">
        <v>1</v>
      </c>
      <c r="D345">
        <v>8048</v>
      </c>
      <c r="E345">
        <v>8123</v>
      </c>
      <c r="F345">
        <v>8</v>
      </c>
      <c r="G345">
        <v>8</v>
      </c>
      <c r="H345">
        <v>1</v>
      </c>
      <c r="I345">
        <v>0</v>
      </c>
      <c r="J345">
        <v>0.5</v>
      </c>
    </row>
    <row r="346" spans="1:10" x14ac:dyDescent="0.3">
      <c r="A346">
        <v>344</v>
      </c>
      <c r="B346">
        <v>5475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5491</v>
      </c>
      <c r="C347" t="b">
        <v>1</v>
      </c>
      <c r="D347">
        <v>8048</v>
      </c>
      <c r="E347">
        <v>8129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5507</v>
      </c>
      <c r="C348" t="b">
        <v>1</v>
      </c>
      <c r="D348">
        <v>8048</v>
      </c>
      <c r="E348">
        <v>8129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5523</v>
      </c>
      <c r="C349" t="b">
        <v>1</v>
      </c>
      <c r="D349">
        <v>8048</v>
      </c>
      <c r="E349">
        <v>8129</v>
      </c>
      <c r="F349">
        <v>8</v>
      </c>
      <c r="G349">
        <v>8.4</v>
      </c>
      <c r="H349">
        <v>0.95238100000000003</v>
      </c>
      <c r="I349">
        <v>4.7619003999999999E-2</v>
      </c>
      <c r="J349">
        <v>0.51219510000000001</v>
      </c>
    </row>
    <row r="350" spans="1:10" x14ac:dyDescent="0.3">
      <c r="A350">
        <v>348</v>
      </c>
      <c r="B350">
        <v>5539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5555</v>
      </c>
      <c r="C351" t="b">
        <v>1</v>
      </c>
      <c r="D351">
        <v>8048</v>
      </c>
      <c r="E351">
        <v>8129</v>
      </c>
      <c r="F351">
        <v>8</v>
      </c>
      <c r="G351">
        <v>9.1999999999999993</v>
      </c>
      <c r="H351">
        <v>0.86956524999999996</v>
      </c>
      <c r="I351">
        <v>0.13043477000000001</v>
      </c>
      <c r="J351">
        <v>0.53488369999999996</v>
      </c>
    </row>
    <row r="352" spans="1:10" x14ac:dyDescent="0.3">
      <c r="A352">
        <v>350</v>
      </c>
      <c r="B352">
        <v>5571</v>
      </c>
      <c r="C352" t="b">
        <v>1</v>
      </c>
      <c r="D352">
        <v>8048</v>
      </c>
      <c r="E352">
        <v>8129</v>
      </c>
      <c r="F352">
        <v>8</v>
      </c>
      <c r="G352">
        <v>9.6</v>
      </c>
      <c r="H352">
        <v>0.83333330000000005</v>
      </c>
      <c r="I352">
        <v>0.1666667</v>
      </c>
      <c r="J352">
        <v>0.54545456000000003</v>
      </c>
    </row>
    <row r="353" spans="1:10" x14ac:dyDescent="0.3">
      <c r="A353">
        <v>351</v>
      </c>
      <c r="B353">
        <v>5586</v>
      </c>
      <c r="C353" t="b">
        <v>1</v>
      </c>
      <c r="D353">
        <v>8048</v>
      </c>
      <c r="E353">
        <v>8129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5602</v>
      </c>
      <c r="C354" t="b">
        <v>1</v>
      </c>
      <c r="D354">
        <v>8042</v>
      </c>
      <c r="E354">
        <v>8134</v>
      </c>
      <c r="F354">
        <v>8</v>
      </c>
      <c r="G354">
        <v>10.4</v>
      </c>
      <c r="H354">
        <v>0.76923079999999999</v>
      </c>
      <c r="I354">
        <v>0.23076920000000001</v>
      </c>
      <c r="J354">
        <v>0.56521739999999998</v>
      </c>
    </row>
    <row r="355" spans="1:10" x14ac:dyDescent="0.3">
      <c r="A355">
        <v>353</v>
      </c>
      <c r="B355">
        <v>5618</v>
      </c>
      <c r="C355" t="b">
        <v>1</v>
      </c>
      <c r="D355">
        <v>8048</v>
      </c>
      <c r="E355">
        <v>8129</v>
      </c>
      <c r="F355">
        <v>8</v>
      </c>
      <c r="G355">
        <v>10.8</v>
      </c>
      <c r="H355">
        <v>0.74074070000000003</v>
      </c>
      <c r="I355">
        <v>0.25925927999999998</v>
      </c>
      <c r="J355">
        <v>0.57446814000000002</v>
      </c>
    </row>
    <row r="356" spans="1:10" x14ac:dyDescent="0.3">
      <c r="A356">
        <v>354</v>
      </c>
      <c r="B356">
        <v>5635</v>
      </c>
      <c r="C356" t="b">
        <v>1</v>
      </c>
      <c r="D356">
        <v>8048</v>
      </c>
      <c r="E356">
        <v>8123</v>
      </c>
      <c r="F356">
        <v>8</v>
      </c>
      <c r="G356">
        <v>11.2</v>
      </c>
      <c r="H356">
        <v>0.71428572999999995</v>
      </c>
      <c r="I356">
        <v>0.28571426999999999</v>
      </c>
      <c r="J356">
        <v>0.58333330000000005</v>
      </c>
    </row>
    <row r="357" spans="1:10" x14ac:dyDescent="0.3">
      <c r="A357">
        <v>355</v>
      </c>
      <c r="B357">
        <v>5651</v>
      </c>
      <c r="C357" t="b">
        <v>1</v>
      </c>
      <c r="D357">
        <v>8048</v>
      </c>
      <c r="E357">
        <v>8117</v>
      </c>
      <c r="F357">
        <v>8</v>
      </c>
      <c r="G357">
        <v>11.6</v>
      </c>
      <c r="H357">
        <v>0.68965509999999997</v>
      </c>
      <c r="I357">
        <v>0.31034485000000001</v>
      </c>
      <c r="J357">
        <v>0.59183675000000002</v>
      </c>
    </row>
    <row r="358" spans="1:10" x14ac:dyDescent="0.3">
      <c r="A358">
        <v>356</v>
      </c>
      <c r="B358">
        <v>5666</v>
      </c>
      <c r="C358" t="b">
        <v>1</v>
      </c>
      <c r="D358">
        <v>8048</v>
      </c>
      <c r="E358">
        <v>8123</v>
      </c>
      <c r="F358">
        <v>8</v>
      </c>
      <c r="G358">
        <v>11.6</v>
      </c>
      <c r="H358">
        <v>0.68965509999999997</v>
      </c>
      <c r="I358">
        <v>0.31034485000000001</v>
      </c>
      <c r="J358">
        <v>0.59183675000000002</v>
      </c>
    </row>
    <row r="359" spans="1:10" x14ac:dyDescent="0.3">
      <c r="A359">
        <v>357</v>
      </c>
      <c r="B359">
        <v>5683</v>
      </c>
      <c r="C359" t="b">
        <v>1</v>
      </c>
      <c r="D359">
        <v>8048</v>
      </c>
      <c r="E359">
        <v>8123</v>
      </c>
      <c r="F359">
        <v>8</v>
      </c>
      <c r="G359">
        <v>11.6</v>
      </c>
      <c r="H359">
        <v>0.68965509999999997</v>
      </c>
      <c r="I359">
        <v>0.31034485000000001</v>
      </c>
      <c r="J359">
        <v>0.59183675000000002</v>
      </c>
    </row>
    <row r="360" spans="1:10" x14ac:dyDescent="0.3">
      <c r="A360">
        <v>358</v>
      </c>
      <c r="B360">
        <v>5698</v>
      </c>
      <c r="C360" t="b">
        <v>1</v>
      </c>
      <c r="D360">
        <v>8048</v>
      </c>
      <c r="E360">
        <v>8123</v>
      </c>
      <c r="F360">
        <v>8</v>
      </c>
      <c r="G360">
        <v>11.6</v>
      </c>
      <c r="H360">
        <v>0.68965509999999997</v>
      </c>
      <c r="I360">
        <v>0.31034485000000001</v>
      </c>
      <c r="J360">
        <v>0.59183675000000002</v>
      </c>
    </row>
    <row r="361" spans="1:10" x14ac:dyDescent="0.3">
      <c r="A361">
        <v>359</v>
      </c>
      <c r="B361">
        <v>5714</v>
      </c>
      <c r="C361" t="b">
        <v>1</v>
      </c>
      <c r="D361">
        <v>8048</v>
      </c>
      <c r="E361">
        <v>8123</v>
      </c>
      <c r="F361">
        <v>8</v>
      </c>
      <c r="G361">
        <v>11.6</v>
      </c>
      <c r="H361">
        <v>0.68965509999999997</v>
      </c>
      <c r="I361">
        <v>0.31034485000000001</v>
      </c>
      <c r="J361">
        <v>0.59183675000000002</v>
      </c>
    </row>
    <row r="362" spans="1:10" x14ac:dyDescent="0.3">
      <c r="A362">
        <v>360</v>
      </c>
      <c r="B362">
        <v>5730</v>
      </c>
      <c r="C362" t="b">
        <v>1</v>
      </c>
      <c r="D362">
        <v>8048</v>
      </c>
      <c r="E362">
        <v>8123</v>
      </c>
      <c r="F362">
        <v>8</v>
      </c>
      <c r="G362">
        <v>11.6</v>
      </c>
      <c r="H362">
        <v>0.68965509999999997</v>
      </c>
      <c r="I362">
        <v>0.31034485000000001</v>
      </c>
      <c r="J362">
        <v>0.59183675000000002</v>
      </c>
    </row>
    <row r="363" spans="1:10" x14ac:dyDescent="0.3">
      <c r="A363">
        <v>361</v>
      </c>
      <c r="B363">
        <v>5746</v>
      </c>
      <c r="C363" t="b">
        <v>1</v>
      </c>
      <c r="D363">
        <v>8048</v>
      </c>
      <c r="E363">
        <v>8134</v>
      </c>
      <c r="F363">
        <v>8</v>
      </c>
      <c r="G363">
        <v>11.6</v>
      </c>
      <c r="H363">
        <v>0.68965509999999997</v>
      </c>
      <c r="I363">
        <v>0.31034485000000001</v>
      </c>
      <c r="J363">
        <v>0.59183675000000002</v>
      </c>
    </row>
    <row r="364" spans="1:10" x14ac:dyDescent="0.3">
      <c r="A364">
        <v>362</v>
      </c>
      <c r="B364">
        <v>5762</v>
      </c>
      <c r="C364" t="b">
        <v>1</v>
      </c>
      <c r="D364">
        <v>8048</v>
      </c>
      <c r="E364">
        <v>8129</v>
      </c>
      <c r="F364">
        <v>8</v>
      </c>
      <c r="G364">
        <v>11.2</v>
      </c>
      <c r="H364">
        <v>0.71428572999999995</v>
      </c>
      <c r="I364">
        <v>0.28571426999999999</v>
      </c>
      <c r="J364">
        <v>0.58333330000000005</v>
      </c>
    </row>
    <row r="365" spans="1:10" x14ac:dyDescent="0.3">
      <c r="A365">
        <v>363</v>
      </c>
      <c r="B365">
        <v>5777</v>
      </c>
      <c r="C365" t="b">
        <v>1</v>
      </c>
      <c r="D365">
        <v>8042</v>
      </c>
      <c r="E365">
        <v>8129</v>
      </c>
      <c r="F365">
        <v>8</v>
      </c>
      <c r="G365">
        <v>11.2</v>
      </c>
      <c r="H365">
        <v>0.71428572999999995</v>
      </c>
      <c r="I365">
        <v>0.28571426999999999</v>
      </c>
      <c r="J365">
        <v>0.58333330000000005</v>
      </c>
    </row>
    <row r="366" spans="1:10" x14ac:dyDescent="0.3">
      <c r="A366">
        <v>364</v>
      </c>
      <c r="B366">
        <v>5793</v>
      </c>
      <c r="C366" t="b">
        <v>1</v>
      </c>
      <c r="D366">
        <v>8054</v>
      </c>
      <c r="E366">
        <v>8129</v>
      </c>
      <c r="F366">
        <v>8</v>
      </c>
      <c r="G366">
        <v>11.2</v>
      </c>
      <c r="H366">
        <v>0.71428572999999995</v>
      </c>
      <c r="I366">
        <v>0.28571426999999999</v>
      </c>
      <c r="J366">
        <v>0.58333330000000005</v>
      </c>
    </row>
    <row r="367" spans="1:10" x14ac:dyDescent="0.3">
      <c r="A367">
        <v>365</v>
      </c>
      <c r="B367">
        <v>5809</v>
      </c>
      <c r="C367" t="b">
        <v>1</v>
      </c>
      <c r="D367">
        <v>8054</v>
      </c>
      <c r="E367">
        <v>8129</v>
      </c>
      <c r="F367">
        <v>8</v>
      </c>
      <c r="G367">
        <v>11.2</v>
      </c>
      <c r="H367">
        <v>0.71428572999999995</v>
      </c>
      <c r="I367">
        <v>0.28571426999999999</v>
      </c>
      <c r="J367">
        <v>0.58333330000000005</v>
      </c>
    </row>
    <row r="368" spans="1:10" x14ac:dyDescent="0.3">
      <c r="A368">
        <v>366</v>
      </c>
      <c r="B368">
        <v>5825</v>
      </c>
      <c r="C368" t="b">
        <v>1</v>
      </c>
      <c r="D368">
        <v>8054</v>
      </c>
      <c r="E368">
        <v>8134</v>
      </c>
      <c r="F368">
        <v>8.4</v>
      </c>
      <c r="G368">
        <v>11.2</v>
      </c>
      <c r="H368">
        <v>0.75</v>
      </c>
      <c r="I368">
        <v>0.25000002999999998</v>
      </c>
      <c r="J368">
        <v>0.57142859999999995</v>
      </c>
    </row>
    <row r="369" spans="1:10" x14ac:dyDescent="0.3">
      <c r="A369">
        <v>367</v>
      </c>
      <c r="B369">
        <v>5841</v>
      </c>
      <c r="C369" t="b">
        <v>1</v>
      </c>
      <c r="D369">
        <v>8054</v>
      </c>
      <c r="E369">
        <v>8134</v>
      </c>
      <c r="F369">
        <v>8.8000000000000007</v>
      </c>
      <c r="G369">
        <v>11.2</v>
      </c>
      <c r="H369">
        <v>0.78571429999999998</v>
      </c>
      <c r="I369">
        <v>0.21428569</v>
      </c>
      <c r="J369">
        <v>0.56000000000000005</v>
      </c>
    </row>
    <row r="370" spans="1:10" x14ac:dyDescent="0.3">
      <c r="A370">
        <v>368</v>
      </c>
      <c r="B370">
        <v>5857</v>
      </c>
      <c r="C370" t="b">
        <v>1</v>
      </c>
      <c r="D370">
        <v>8054</v>
      </c>
      <c r="E370">
        <v>8123</v>
      </c>
      <c r="F370">
        <v>9.1999999999999993</v>
      </c>
      <c r="G370">
        <v>11.2</v>
      </c>
      <c r="H370">
        <v>0.82142859999999995</v>
      </c>
      <c r="I370">
        <v>0.17857143</v>
      </c>
      <c r="J370">
        <v>0.54901962999999998</v>
      </c>
    </row>
    <row r="371" spans="1:10" x14ac:dyDescent="0.3">
      <c r="A371">
        <v>369</v>
      </c>
      <c r="B371">
        <v>5872</v>
      </c>
      <c r="C371" t="b">
        <v>1</v>
      </c>
      <c r="D371">
        <v>8054</v>
      </c>
      <c r="E371">
        <v>8129</v>
      </c>
      <c r="F371">
        <v>9.6</v>
      </c>
      <c r="G371">
        <v>11.2</v>
      </c>
      <c r="H371">
        <v>0.85714290000000004</v>
      </c>
      <c r="I371">
        <v>0.14285708999999999</v>
      </c>
      <c r="J371">
        <v>0.53846156999999994</v>
      </c>
    </row>
    <row r="372" spans="1:10" x14ac:dyDescent="0.3">
      <c r="A372">
        <v>370</v>
      </c>
      <c r="B372">
        <v>5889</v>
      </c>
      <c r="C372" t="b">
        <v>1</v>
      </c>
      <c r="D372">
        <v>8048</v>
      </c>
      <c r="E372">
        <v>8123</v>
      </c>
      <c r="F372">
        <v>10</v>
      </c>
      <c r="G372">
        <v>11.2</v>
      </c>
      <c r="H372">
        <v>0.89285713</v>
      </c>
      <c r="I372">
        <v>0.10714284</v>
      </c>
      <c r="J372">
        <v>0.52830184000000002</v>
      </c>
    </row>
    <row r="373" spans="1:10" x14ac:dyDescent="0.3">
      <c r="A373">
        <v>371</v>
      </c>
      <c r="B373">
        <v>5904</v>
      </c>
      <c r="C373" t="b">
        <v>1</v>
      </c>
      <c r="D373">
        <v>8048</v>
      </c>
      <c r="E373">
        <v>8123</v>
      </c>
      <c r="F373">
        <v>10.4</v>
      </c>
      <c r="G373">
        <v>11.2</v>
      </c>
      <c r="H373">
        <v>0.92857140000000005</v>
      </c>
      <c r="I373">
        <v>7.142859E-2</v>
      </c>
      <c r="J373">
        <v>0.51851857000000001</v>
      </c>
    </row>
    <row r="374" spans="1:10" x14ac:dyDescent="0.3">
      <c r="A374">
        <v>372</v>
      </c>
      <c r="B374">
        <v>5920</v>
      </c>
      <c r="C374" t="b">
        <v>1</v>
      </c>
      <c r="D374">
        <v>8048</v>
      </c>
      <c r="E374">
        <v>8129</v>
      </c>
      <c r="F374">
        <v>10.4</v>
      </c>
      <c r="G374">
        <v>11.2</v>
      </c>
      <c r="H374">
        <v>0.92857140000000005</v>
      </c>
      <c r="I374">
        <v>7.142859E-2</v>
      </c>
      <c r="J374">
        <v>0.51851857000000001</v>
      </c>
    </row>
    <row r="375" spans="1:10" x14ac:dyDescent="0.3">
      <c r="A375">
        <v>373</v>
      </c>
      <c r="B375">
        <v>5936</v>
      </c>
      <c r="C375" t="b">
        <v>1</v>
      </c>
      <c r="D375">
        <v>8048</v>
      </c>
      <c r="E375">
        <v>8123</v>
      </c>
      <c r="F375">
        <v>10.4</v>
      </c>
      <c r="G375">
        <v>11.2</v>
      </c>
      <c r="H375">
        <v>0.92857140000000005</v>
      </c>
      <c r="I375">
        <v>7.142859E-2</v>
      </c>
      <c r="J375">
        <v>0.51851857000000001</v>
      </c>
    </row>
    <row r="376" spans="1:10" x14ac:dyDescent="0.3">
      <c r="A376">
        <v>374</v>
      </c>
      <c r="B376">
        <v>5952</v>
      </c>
      <c r="C376" t="b">
        <v>1</v>
      </c>
      <c r="D376">
        <v>8048</v>
      </c>
      <c r="E376">
        <v>8117</v>
      </c>
      <c r="F376">
        <v>10.4</v>
      </c>
      <c r="G376">
        <v>11.2</v>
      </c>
      <c r="H376">
        <v>0.92857140000000005</v>
      </c>
      <c r="I376">
        <v>7.142859E-2</v>
      </c>
      <c r="J376">
        <v>0.51851857000000001</v>
      </c>
    </row>
    <row r="377" spans="1:10" x14ac:dyDescent="0.3">
      <c r="A377">
        <v>375</v>
      </c>
      <c r="B377">
        <v>5968</v>
      </c>
      <c r="C377" t="b">
        <v>1</v>
      </c>
      <c r="D377">
        <v>8048</v>
      </c>
      <c r="E377">
        <v>8123</v>
      </c>
      <c r="F377">
        <v>10.4</v>
      </c>
      <c r="G377">
        <v>11.2</v>
      </c>
      <c r="H377">
        <v>0.92857140000000005</v>
      </c>
      <c r="I377">
        <v>7.142859E-2</v>
      </c>
      <c r="J377">
        <v>0.51851857000000001</v>
      </c>
    </row>
    <row r="378" spans="1:10" x14ac:dyDescent="0.3">
      <c r="A378">
        <v>376</v>
      </c>
      <c r="B378">
        <v>5984</v>
      </c>
      <c r="C378" t="b">
        <v>1</v>
      </c>
      <c r="D378">
        <v>8048</v>
      </c>
      <c r="E378">
        <v>8129</v>
      </c>
      <c r="F378">
        <v>10.4</v>
      </c>
      <c r="G378">
        <v>11.2</v>
      </c>
      <c r="H378">
        <v>0.92857140000000005</v>
      </c>
      <c r="I378">
        <v>7.142859E-2</v>
      </c>
      <c r="J378">
        <v>0.51851857000000001</v>
      </c>
    </row>
    <row r="379" spans="1:10" x14ac:dyDescent="0.3">
      <c r="A379">
        <v>377</v>
      </c>
      <c r="B379">
        <v>6000</v>
      </c>
      <c r="C379" t="b">
        <v>1</v>
      </c>
      <c r="D379">
        <v>8048</v>
      </c>
      <c r="E379">
        <v>8123</v>
      </c>
      <c r="F379">
        <v>10.4</v>
      </c>
      <c r="G379">
        <v>11.2</v>
      </c>
      <c r="H379">
        <v>0.92857140000000005</v>
      </c>
      <c r="I379">
        <v>7.142859E-2</v>
      </c>
      <c r="J379">
        <v>0.51851857000000001</v>
      </c>
    </row>
    <row r="380" spans="1:10" x14ac:dyDescent="0.3">
      <c r="A380">
        <v>378</v>
      </c>
      <c r="B380">
        <v>6016</v>
      </c>
      <c r="C380" t="b">
        <v>1</v>
      </c>
      <c r="D380">
        <v>8048</v>
      </c>
      <c r="E380">
        <v>8117</v>
      </c>
      <c r="F380">
        <v>10.4</v>
      </c>
      <c r="G380">
        <v>10.8</v>
      </c>
      <c r="H380">
        <v>0.96296289999999996</v>
      </c>
      <c r="I380">
        <v>3.7037090000000002E-2</v>
      </c>
      <c r="J380">
        <v>0.5094339</v>
      </c>
    </row>
    <row r="381" spans="1:10" x14ac:dyDescent="0.3">
      <c r="A381">
        <v>379</v>
      </c>
      <c r="B381">
        <v>6032</v>
      </c>
      <c r="C381" t="b">
        <v>1</v>
      </c>
      <c r="D381">
        <v>8042</v>
      </c>
      <c r="E381">
        <v>8129</v>
      </c>
      <c r="F381">
        <v>10.4</v>
      </c>
      <c r="G381">
        <v>10.4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6048</v>
      </c>
      <c r="C382" t="b">
        <v>1</v>
      </c>
      <c r="D382">
        <v>8048</v>
      </c>
      <c r="E382">
        <v>8123</v>
      </c>
      <c r="F382">
        <v>10.4</v>
      </c>
      <c r="G382">
        <v>10</v>
      </c>
      <c r="H382">
        <v>1.04</v>
      </c>
      <c r="I382">
        <v>-3.9999960000000001E-2</v>
      </c>
      <c r="J382">
        <v>0.49019607999999998</v>
      </c>
    </row>
    <row r="383" spans="1:10" x14ac:dyDescent="0.3">
      <c r="A383">
        <v>381</v>
      </c>
      <c r="B383">
        <v>6064</v>
      </c>
      <c r="C383" t="b">
        <v>1</v>
      </c>
      <c r="D383">
        <v>8048</v>
      </c>
      <c r="E383">
        <v>8134</v>
      </c>
      <c r="F383">
        <v>10</v>
      </c>
      <c r="G383">
        <v>9.6</v>
      </c>
      <c r="H383">
        <v>1.0416666000000001</v>
      </c>
      <c r="I383">
        <v>-4.1666626999999998E-2</v>
      </c>
      <c r="J383">
        <v>0.48979592</v>
      </c>
    </row>
    <row r="384" spans="1:10" x14ac:dyDescent="0.3">
      <c r="A384">
        <v>382</v>
      </c>
      <c r="B384">
        <v>6079</v>
      </c>
      <c r="C384" t="b">
        <v>1</v>
      </c>
      <c r="D384">
        <v>8048</v>
      </c>
      <c r="E384">
        <v>8123</v>
      </c>
      <c r="F384">
        <v>9.6</v>
      </c>
      <c r="G384">
        <v>9.1999999999999993</v>
      </c>
      <c r="H384">
        <v>1.0434783999999999</v>
      </c>
      <c r="I384">
        <v>-4.3478324999999998E-2</v>
      </c>
      <c r="J384">
        <v>0.48936170000000001</v>
      </c>
    </row>
    <row r="385" spans="1:10" x14ac:dyDescent="0.3">
      <c r="A385">
        <v>383</v>
      </c>
      <c r="B385">
        <v>6095</v>
      </c>
      <c r="C385" t="b">
        <v>1</v>
      </c>
      <c r="D385">
        <v>8048</v>
      </c>
      <c r="E385">
        <v>8123</v>
      </c>
      <c r="F385">
        <v>9.1999999999999993</v>
      </c>
      <c r="G385">
        <v>8.8000000000000007</v>
      </c>
      <c r="H385">
        <v>1.0454545</v>
      </c>
      <c r="I385">
        <v>-4.5454502000000001E-2</v>
      </c>
      <c r="J385">
        <v>0.48888890000000002</v>
      </c>
    </row>
    <row r="386" spans="1:10" x14ac:dyDescent="0.3">
      <c r="A386">
        <v>384</v>
      </c>
      <c r="B386">
        <v>6111</v>
      </c>
      <c r="C386" t="b">
        <v>1</v>
      </c>
      <c r="D386">
        <v>8042</v>
      </c>
      <c r="E386">
        <v>8129</v>
      </c>
      <c r="F386">
        <v>8.8000000000000007</v>
      </c>
      <c r="G386">
        <v>8.4</v>
      </c>
      <c r="H386">
        <v>1.0476190999999999</v>
      </c>
      <c r="I386">
        <v>-4.7619120000000001E-2</v>
      </c>
      <c r="J386">
        <v>0.48837206</v>
      </c>
    </row>
    <row r="387" spans="1:10" x14ac:dyDescent="0.3">
      <c r="A387">
        <v>385</v>
      </c>
      <c r="B387">
        <v>6127</v>
      </c>
      <c r="C387" t="b">
        <v>1</v>
      </c>
      <c r="D387">
        <v>8042</v>
      </c>
      <c r="E387">
        <v>8129</v>
      </c>
      <c r="F387">
        <v>8.4</v>
      </c>
      <c r="G387">
        <v>8.4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6143</v>
      </c>
      <c r="C388" t="b">
        <v>1</v>
      </c>
      <c r="D388">
        <v>8048</v>
      </c>
      <c r="E388">
        <v>8129</v>
      </c>
      <c r="F388">
        <v>8</v>
      </c>
      <c r="G388">
        <v>8.8000000000000007</v>
      </c>
      <c r="H388">
        <v>0.90909090000000004</v>
      </c>
      <c r="I388">
        <v>9.0909110000000001E-2</v>
      </c>
      <c r="J388">
        <v>0.52380954999999996</v>
      </c>
    </row>
    <row r="389" spans="1:10" x14ac:dyDescent="0.3">
      <c r="A389">
        <v>387</v>
      </c>
      <c r="B389">
        <v>6158</v>
      </c>
      <c r="C389" t="b">
        <v>1</v>
      </c>
      <c r="D389">
        <v>8048</v>
      </c>
      <c r="E389">
        <v>8117</v>
      </c>
      <c r="F389">
        <v>8</v>
      </c>
      <c r="G389">
        <v>9.1999999999999993</v>
      </c>
      <c r="H389">
        <v>0.86956524999999996</v>
      </c>
      <c r="I389">
        <v>0.13043477000000001</v>
      </c>
      <c r="J389">
        <v>0.53488369999999996</v>
      </c>
    </row>
    <row r="390" spans="1:10" x14ac:dyDescent="0.3">
      <c r="A390">
        <v>388</v>
      </c>
      <c r="B390">
        <v>6174</v>
      </c>
      <c r="C390" t="b">
        <v>1</v>
      </c>
      <c r="D390">
        <v>8048</v>
      </c>
      <c r="E390">
        <v>8123</v>
      </c>
      <c r="F390">
        <v>8</v>
      </c>
      <c r="G390">
        <v>9.6</v>
      </c>
      <c r="H390">
        <v>0.83333330000000005</v>
      </c>
      <c r="I390">
        <v>0.1666667</v>
      </c>
      <c r="J390">
        <v>0.54545456000000003</v>
      </c>
    </row>
    <row r="391" spans="1:10" x14ac:dyDescent="0.3">
      <c r="A391">
        <v>389</v>
      </c>
      <c r="B391">
        <v>6190</v>
      </c>
      <c r="C391" t="b">
        <v>1</v>
      </c>
      <c r="D391">
        <v>8048</v>
      </c>
      <c r="E391">
        <v>8117</v>
      </c>
      <c r="F391">
        <v>8</v>
      </c>
      <c r="G391">
        <v>9.6</v>
      </c>
      <c r="H391">
        <v>0.83333330000000005</v>
      </c>
      <c r="I391">
        <v>0.1666667</v>
      </c>
      <c r="J391">
        <v>0.54545456000000003</v>
      </c>
    </row>
    <row r="392" spans="1:10" x14ac:dyDescent="0.3">
      <c r="A392">
        <v>390</v>
      </c>
      <c r="B392">
        <v>6205</v>
      </c>
      <c r="C392" t="b">
        <v>1</v>
      </c>
      <c r="D392">
        <v>8048</v>
      </c>
      <c r="E392">
        <v>8117</v>
      </c>
      <c r="F392">
        <v>8</v>
      </c>
      <c r="G392">
        <v>9.1999999999999993</v>
      </c>
      <c r="H392">
        <v>0.86956524999999996</v>
      </c>
      <c r="I392">
        <v>0.13043477000000001</v>
      </c>
      <c r="J392">
        <v>0.53488369999999996</v>
      </c>
    </row>
    <row r="393" spans="1:10" x14ac:dyDescent="0.3">
      <c r="A393">
        <v>391</v>
      </c>
      <c r="B393">
        <v>6221</v>
      </c>
      <c r="C393" t="b">
        <v>1</v>
      </c>
      <c r="D393">
        <v>8042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6237</v>
      </c>
      <c r="C394" t="b">
        <v>1</v>
      </c>
      <c r="D394">
        <v>8048</v>
      </c>
      <c r="E394">
        <v>8134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6252</v>
      </c>
      <c r="C395" t="b">
        <v>1</v>
      </c>
      <c r="D395">
        <v>8048</v>
      </c>
      <c r="E395">
        <v>8129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6268</v>
      </c>
      <c r="C396" t="b">
        <v>1</v>
      </c>
      <c r="D396">
        <v>8042</v>
      </c>
      <c r="E396">
        <v>8134</v>
      </c>
      <c r="F396">
        <v>8</v>
      </c>
      <c r="G396">
        <v>9.1999999999999993</v>
      </c>
      <c r="H396">
        <v>0.86956524999999996</v>
      </c>
      <c r="I396">
        <v>0.13043477000000001</v>
      </c>
      <c r="J396">
        <v>0.53488369999999996</v>
      </c>
    </row>
    <row r="397" spans="1:10" x14ac:dyDescent="0.3">
      <c r="A397">
        <v>395</v>
      </c>
      <c r="B397">
        <v>6284</v>
      </c>
      <c r="C397" t="b">
        <v>1</v>
      </c>
      <c r="D397">
        <v>8048</v>
      </c>
      <c r="E397">
        <v>8129</v>
      </c>
      <c r="F397">
        <v>8</v>
      </c>
      <c r="G397">
        <v>9.6</v>
      </c>
      <c r="H397">
        <v>0.83333330000000005</v>
      </c>
      <c r="I397">
        <v>0.1666667</v>
      </c>
      <c r="J397">
        <v>0.54545456000000003</v>
      </c>
    </row>
    <row r="398" spans="1:10" x14ac:dyDescent="0.3">
      <c r="A398">
        <v>396</v>
      </c>
      <c r="B398">
        <v>6300</v>
      </c>
      <c r="C398" t="b">
        <v>1</v>
      </c>
      <c r="D398">
        <v>8048</v>
      </c>
      <c r="E398">
        <v>8123</v>
      </c>
      <c r="F398">
        <v>8</v>
      </c>
      <c r="G398">
        <v>10</v>
      </c>
      <c r="H398">
        <v>0.8</v>
      </c>
      <c r="I398">
        <v>0.2</v>
      </c>
      <c r="J398">
        <v>0.55555560000000004</v>
      </c>
    </row>
    <row r="399" spans="1:10" x14ac:dyDescent="0.3">
      <c r="A399">
        <v>397</v>
      </c>
      <c r="B399">
        <v>6316</v>
      </c>
      <c r="C399" t="b">
        <v>1</v>
      </c>
      <c r="D399">
        <v>8048</v>
      </c>
      <c r="E399">
        <v>8123</v>
      </c>
      <c r="F399">
        <v>8</v>
      </c>
      <c r="G399">
        <v>10.4</v>
      </c>
      <c r="H399">
        <v>0.76923079999999999</v>
      </c>
      <c r="I399">
        <v>0.23076920000000001</v>
      </c>
      <c r="J399">
        <v>0.56521739999999998</v>
      </c>
    </row>
    <row r="400" spans="1:10" x14ac:dyDescent="0.3">
      <c r="A400">
        <v>398</v>
      </c>
      <c r="B400">
        <v>6333</v>
      </c>
      <c r="C400" t="b">
        <v>1</v>
      </c>
      <c r="D400">
        <v>8054</v>
      </c>
      <c r="E400">
        <v>8129</v>
      </c>
      <c r="F400">
        <v>8</v>
      </c>
      <c r="G400">
        <v>10.8</v>
      </c>
      <c r="H400">
        <v>0.74074070000000003</v>
      </c>
      <c r="I400">
        <v>0.25925927999999998</v>
      </c>
      <c r="J400">
        <v>0.57446814000000002</v>
      </c>
    </row>
    <row r="401" spans="1:10" x14ac:dyDescent="0.3">
      <c r="A401">
        <v>399</v>
      </c>
      <c r="B401">
        <v>6349</v>
      </c>
      <c r="C401" t="b">
        <v>1</v>
      </c>
      <c r="D401">
        <v>8048</v>
      </c>
      <c r="E401">
        <v>8123</v>
      </c>
      <c r="F401">
        <v>8</v>
      </c>
      <c r="G401">
        <v>10.8</v>
      </c>
      <c r="H401">
        <v>0.74074070000000003</v>
      </c>
      <c r="I401">
        <v>0.25925927999999998</v>
      </c>
      <c r="J401">
        <v>0.57446814000000002</v>
      </c>
    </row>
    <row r="402" spans="1:10" x14ac:dyDescent="0.3">
      <c r="A402">
        <v>400</v>
      </c>
      <c r="B402">
        <v>6364</v>
      </c>
      <c r="C402" t="b">
        <v>1</v>
      </c>
      <c r="D402">
        <v>8048</v>
      </c>
      <c r="E402">
        <v>8123</v>
      </c>
      <c r="F402">
        <v>8</v>
      </c>
      <c r="G402">
        <v>10.4</v>
      </c>
      <c r="H402">
        <v>0.76923079999999999</v>
      </c>
      <c r="I402">
        <v>0.23076920000000001</v>
      </c>
      <c r="J402">
        <v>0.56521739999999998</v>
      </c>
    </row>
    <row r="403" spans="1:10" x14ac:dyDescent="0.3">
      <c r="A403">
        <v>401</v>
      </c>
      <c r="B403">
        <v>6380</v>
      </c>
      <c r="C403" t="b">
        <v>1</v>
      </c>
      <c r="D403">
        <v>8048</v>
      </c>
      <c r="E403">
        <v>8129</v>
      </c>
      <c r="F403">
        <v>8</v>
      </c>
      <c r="G403">
        <v>10</v>
      </c>
      <c r="H403">
        <v>0.8</v>
      </c>
      <c r="I403">
        <v>0.2</v>
      </c>
      <c r="J403">
        <v>0.55555560000000004</v>
      </c>
    </row>
    <row r="404" spans="1:10" x14ac:dyDescent="0.3">
      <c r="A404">
        <v>402</v>
      </c>
      <c r="B404">
        <v>6396</v>
      </c>
      <c r="C404" t="b">
        <v>1</v>
      </c>
      <c r="D404">
        <v>8048</v>
      </c>
      <c r="E404">
        <v>8123</v>
      </c>
      <c r="F404">
        <v>8</v>
      </c>
      <c r="G404">
        <v>9.6</v>
      </c>
      <c r="H404">
        <v>0.83333330000000005</v>
      </c>
      <c r="I404">
        <v>0.1666667</v>
      </c>
      <c r="J404">
        <v>0.54545456000000003</v>
      </c>
    </row>
    <row r="405" spans="1:10" x14ac:dyDescent="0.3">
      <c r="A405">
        <v>403</v>
      </c>
      <c r="B405">
        <v>6412</v>
      </c>
      <c r="C405" t="b">
        <v>1</v>
      </c>
      <c r="D405">
        <v>8048</v>
      </c>
      <c r="E405">
        <v>8129</v>
      </c>
      <c r="F405">
        <v>8</v>
      </c>
      <c r="G405">
        <v>9.1999999999999993</v>
      </c>
      <c r="H405">
        <v>0.86956524999999996</v>
      </c>
      <c r="I405">
        <v>0.13043477000000001</v>
      </c>
      <c r="J405">
        <v>0.53488369999999996</v>
      </c>
    </row>
    <row r="406" spans="1:10" x14ac:dyDescent="0.3">
      <c r="A406">
        <v>404</v>
      </c>
      <c r="B406">
        <v>6428</v>
      </c>
      <c r="C406" t="b">
        <v>1</v>
      </c>
      <c r="D406">
        <v>8048</v>
      </c>
      <c r="E406">
        <v>8123</v>
      </c>
      <c r="F406">
        <v>8</v>
      </c>
      <c r="G406">
        <v>9.1999999999999993</v>
      </c>
      <c r="H406">
        <v>0.86956524999999996</v>
      </c>
      <c r="I406">
        <v>0.13043477000000001</v>
      </c>
      <c r="J406">
        <v>0.53488369999999996</v>
      </c>
    </row>
    <row r="407" spans="1:10" x14ac:dyDescent="0.3">
      <c r="A407">
        <v>405</v>
      </c>
      <c r="B407">
        <v>6444</v>
      </c>
      <c r="C407" t="b">
        <v>1</v>
      </c>
      <c r="D407">
        <v>8042</v>
      </c>
      <c r="E407">
        <v>8117</v>
      </c>
      <c r="F407">
        <v>8</v>
      </c>
      <c r="G407">
        <v>9.6</v>
      </c>
      <c r="H407">
        <v>0.83333330000000005</v>
      </c>
      <c r="I407">
        <v>0.1666667</v>
      </c>
      <c r="J407">
        <v>0.54545456000000003</v>
      </c>
    </row>
    <row r="408" spans="1:10" x14ac:dyDescent="0.3">
      <c r="A408">
        <v>406</v>
      </c>
      <c r="B408">
        <v>6460</v>
      </c>
      <c r="C408" t="b">
        <v>1</v>
      </c>
      <c r="D408">
        <v>8042</v>
      </c>
      <c r="E408">
        <v>8123</v>
      </c>
      <c r="F408">
        <v>8</v>
      </c>
      <c r="G408">
        <v>10</v>
      </c>
      <c r="H408">
        <v>0.8</v>
      </c>
      <c r="I408">
        <v>0.2</v>
      </c>
      <c r="J408">
        <v>0.55555560000000004</v>
      </c>
    </row>
    <row r="409" spans="1:10" x14ac:dyDescent="0.3">
      <c r="A409">
        <v>407</v>
      </c>
      <c r="B409">
        <v>6475</v>
      </c>
      <c r="C409" t="b">
        <v>1</v>
      </c>
      <c r="D409">
        <v>8048</v>
      </c>
      <c r="E409">
        <v>8117</v>
      </c>
      <c r="F409">
        <v>8</v>
      </c>
      <c r="G409">
        <v>10</v>
      </c>
      <c r="H409">
        <v>0.8</v>
      </c>
      <c r="I409">
        <v>0.2</v>
      </c>
      <c r="J409">
        <v>0.55555560000000004</v>
      </c>
    </row>
    <row r="410" spans="1:10" x14ac:dyDescent="0.3">
      <c r="A410">
        <v>408</v>
      </c>
      <c r="B410">
        <v>6491</v>
      </c>
      <c r="C410" t="b">
        <v>1</v>
      </c>
      <c r="D410">
        <v>8048</v>
      </c>
      <c r="E410">
        <v>8117</v>
      </c>
      <c r="F410">
        <v>8</v>
      </c>
      <c r="G410">
        <v>9.6</v>
      </c>
      <c r="H410">
        <v>0.83333330000000005</v>
      </c>
      <c r="I410">
        <v>0.1666667</v>
      </c>
      <c r="J410">
        <v>0.54545456000000003</v>
      </c>
    </row>
    <row r="411" spans="1:10" x14ac:dyDescent="0.3">
      <c r="A411">
        <v>409</v>
      </c>
      <c r="B411">
        <v>6507</v>
      </c>
      <c r="C411" t="b">
        <v>1</v>
      </c>
      <c r="D411">
        <v>8048</v>
      </c>
      <c r="E411">
        <v>8123</v>
      </c>
      <c r="F411">
        <v>8</v>
      </c>
      <c r="G411">
        <v>8.8000000000000007</v>
      </c>
      <c r="H411">
        <v>0.90909090000000004</v>
      </c>
      <c r="I411">
        <v>9.0909110000000001E-2</v>
      </c>
      <c r="J411">
        <v>0.52380954999999996</v>
      </c>
    </row>
    <row r="412" spans="1:10" x14ac:dyDescent="0.3">
      <c r="A412">
        <v>410</v>
      </c>
      <c r="B412">
        <v>6523</v>
      </c>
      <c r="C412" t="b">
        <v>1</v>
      </c>
      <c r="D412">
        <v>8048</v>
      </c>
      <c r="E412">
        <v>8123</v>
      </c>
      <c r="F412">
        <v>8</v>
      </c>
      <c r="G412">
        <v>8.4</v>
      </c>
      <c r="H412">
        <v>0.95238100000000003</v>
      </c>
      <c r="I412">
        <v>4.7619003999999999E-2</v>
      </c>
      <c r="J412">
        <v>0.51219510000000001</v>
      </c>
    </row>
    <row r="413" spans="1:10" x14ac:dyDescent="0.3">
      <c r="A413">
        <v>411</v>
      </c>
      <c r="B413">
        <v>6539</v>
      </c>
      <c r="C413" t="b">
        <v>1</v>
      </c>
      <c r="D413">
        <v>8048</v>
      </c>
      <c r="E413">
        <v>8117</v>
      </c>
      <c r="F413">
        <v>8</v>
      </c>
      <c r="G413">
        <v>7.6</v>
      </c>
      <c r="H413">
        <v>1.0526316</v>
      </c>
      <c r="I413">
        <v>-5.2631589999999999E-2</v>
      </c>
      <c r="J413">
        <v>0.48717946000000001</v>
      </c>
    </row>
    <row r="414" spans="1:10" x14ac:dyDescent="0.3">
      <c r="A414">
        <v>412</v>
      </c>
      <c r="B414">
        <v>6555</v>
      </c>
      <c r="C414" t="b">
        <v>1</v>
      </c>
      <c r="D414">
        <v>8048</v>
      </c>
      <c r="E414">
        <v>8123</v>
      </c>
      <c r="F414">
        <v>8</v>
      </c>
      <c r="G414">
        <v>7.2</v>
      </c>
      <c r="H414">
        <v>1.1111112000000001</v>
      </c>
      <c r="I414">
        <v>-0.11111114</v>
      </c>
      <c r="J414">
        <v>0.4736842</v>
      </c>
    </row>
    <row r="415" spans="1:10" x14ac:dyDescent="0.3">
      <c r="A415">
        <v>413</v>
      </c>
      <c r="B415">
        <v>6571</v>
      </c>
      <c r="C415" t="b">
        <v>1</v>
      </c>
      <c r="D415">
        <v>8048</v>
      </c>
      <c r="E415">
        <v>8117</v>
      </c>
      <c r="F415">
        <v>8</v>
      </c>
      <c r="G415">
        <v>6.8</v>
      </c>
      <c r="H415">
        <v>1.1764705</v>
      </c>
      <c r="I415">
        <v>-0.17647055</v>
      </c>
      <c r="J415">
        <v>0.45945944999999999</v>
      </c>
    </row>
    <row r="416" spans="1:10" x14ac:dyDescent="0.3">
      <c r="A416">
        <v>414</v>
      </c>
      <c r="B416">
        <v>6587</v>
      </c>
      <c r="C416" t="b">
        <v>1</v>
      </c>
      <c r="D416">
        <v>8048</v>
      </c>
      <c r="E416">
        <v>8123</v>
      </c>
      <c r="F416">
        <v>8</v>
      </c>
      <c r="G416">
        <v>6.8</v>
      </c>
      <c r="H416">
        <v>1.1764705</v>
      </c>
      <c r="I416">
        <v>-0.17647055</v>
      </c>
      <c r="J416">
        <v>0.45945944999999999</v>
      </c>
    </row>
    <row r="417" spans="1:10" x14ac:dyDescent="0.3">
      <c r="A417">
        <v>415</v>
      </c>
      <c r="B417">
        <v>6603</v>
      </c>
      <c r="C417" t="b">
        <v>1</v>
      </c>
      <c r="D417">
        <v>8048</v>
      </c>
      <c r="E417">
        <v>8117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6619</v>
      </c>
      <c r="C418" t="b">
        <v>1</v>
      </c>
      <c r="D418">
        <v>8048</v>
      </c>
      <c r="E418">
        <v>8123</v>
      </c>
      <c r="F418">
        <v>8</v>
      </c>
      <c r="G418">
        <v>6.4</v>
      </c>
      <c r="H418">
        <v>1.25</v>
      </c>
      <c r="I418">
        <v>-0.24999999000000001</v>
      </c>
      <c r="J418">
        <v>0.44444447999999998</v>
      </c>
    </row>
    <row r="419" spans="1:10" x14ac:dyDescent="0.3">
      <c r="A419">
        <v>417</v>
      </c>
      <c r="B419">
        <v>6635</v>
      </c>
      <c r="C419" t="b">
        <v>1</v>
      </c>
      <c r="D419">
        <v>8048</v>
      </c>
      <c r="E419">
        <v>8117</v>
      </c>
      <c r="F419">
        <v>8</v>
      </c>
      <c r="G419">
        <v>6</v>
      </c>
      <c r="H419">
        <v>1.3333333999999999</v>
      </c>
      <c r="I419">
        <v>-0.33333333999999998</v>
      </c>
      <c r="J419">
        <v>0.42857142999999998</v>
      </c>
    </row>
    <row r="420" spans="1:10" x14ac:dyDescent="0.3">
      <c r="A420">
        <v>418</v>
      </c>
      <c r="B420">
        <v>6651</v>
      </c>
      <c r="C420" t="b">
        <v>1</v>
      </c>
      <c r="D420">
        <v>8042</v>
      </c>
      <c r="E420">
        <v>8117</v>
      </c>
      <c r="F420">
        <v>8</v>
      </c>
      <c r="G420">
        <v>5.6</v>
      </c>
      <c r="H420">
        <v>1.4285715000000001</v>
      </c>
      <c r="I420">
        <v>-0.42857146000000002</v>
      </c>
      <c r="J420">
        <v>0.41176467999999999</v>
      </c>
    </row>
    <row r="421" spans="1:10" x14ac:dyDescent="0.3">
      <c r="A421">
        <v>419</v>
      </c>
      <c r="B421">
        <v>6667</v>
      </c>
      <c r="C421" t="b">
        <v>1</v>
      </c>
      <c r="D421">
        <v>8048</v>
      </c>
      <c r="E421">
        <v>8123</v>
      </c>
      <c r="F421">
        <v>8</v>
      </c>
      <c r="G421">
        <v>5.2</v>
      </c>
      <c r="H421">
        <v>1.5384616</v>
      </c>
      <c r="I421">
        <v>-0.53846156999999994</v>
      </c>
      <c r="J421">
        <v>0.39393938000000001</v>
      </c>
    </row>
    <row r="422" spans="1:10" x14ac:dyDescent="0.3">
      <c r="A422">
        <v>420</v>
      </c>
      <c r="B422">
        <v>6682</v>
      </c>
      <c r="C422" t="b">
        <v>1</v>
      </c>
      <c r="D422">
        <v>8048</v>
      </c>
      <c r="E422">
        <v>8129</v>
      </c>
      <c r="F422">
        <v>8</v>
      </c>
      <c r="G422">
        <v>5.2</v>
      </c>
      <c r="H422">
        <v>1.5384616</v>
      </c>
      <c r="I422">
        <v>-0.53846156999999994</v>
      </c>
      <c r="J422">
        <v>0.39393938000000001</v>
      </c>
    </row>
    <row r="423" spans="1:10" x14ac:dyDescent="0.3">
      <c r="A423">
        <v>421</v>
      </c>
      <c r="B423">
        <v>6698</v>
      </c>
      <c r="C423" t="b">
        <v>1</v>
      </c>
      <c r="D423">
        <v>8042</v>
      </c>
      <c r="E423">
        <v>8123</v>
      </c>
      <c r="F423">
        <v>8</v>
      </c>
      <c r="G423">
        <v>5.2</v>
      </c>
      <c r="H423">
        <v>1.5384616</v>
      </c>
      <c r="I423">
        <v>-0.53846156999999994</v>
      </c>
      <c r="J423">
        <v>0.39393938000000001</v>
      </c>
    </row>
    <row r="424" spans="1:10" x14ac:dyDescent="0.3">
      <c r="A424">
        <v>422</v>
      </c>
      <c r="B424">
        <v>6714</v>
      </c>
      <c r="C424" t="b">
        <v>1</v>
      </c>
      <c r="D424">
        <v>8048</v>
      </c>
      <c r="E424">
        <v>8123</v>
      </c>
      <c r="F424">
        <v>8</v>
      </c>
      <c r="G424">
        <v>5.2</v>
      </c>
      <c r="H424">
        <v>1.5384616</v>
      </c>
      <c r="I424">
        <v>-0.53846156999999994</v>
      </c>
      <c r="J424">
        <v>0.39393938000000001</v>
      </c>
    </row>
    <row r="425" spans="1:10" x14ac:dyDescent="0.3">
      <c r="A425">
        <v>423</v>
      </c>
      <c r="B425">
        <v>6730</v>
      </c>
      <c r="C425" t="b">
        <v>1</v>
      </c>
      <c r="D425">
        <v>8048</v>
      </c>
      <c r="E425">
        <v>8117</v>
      </c>
      <c r="F425">
        <v>8</v>
      </c>
      <c r="G425">
        <v>5.6</v>
      </c>
      <c r="H425">
        <v>1.4285715000000001</v>
      </c>
      <c r="I425">
        <v>-0.42857146000000002</v>
      </c>
      <c r="J425">
        <v>0.41176467999999999</v>
      </c>
    </row>
    <row r="426" spans="1:10" x14ac:dyDescent="0.3">
      <c r="A426">
        <v>424</v>
      </c>
      <c r="B426">
        <v>6746</v>
      </c>
      <c r="C426" t="b">
        <v>1</v>
      </c>
      <c r="D426">
        <v>8048</v>
      </c>
      <c r="E426">
        <v>8123</v>
      </c>
      <c r="F426">
        <v>8</v>
      </c>
      <c r="G426">
        <v>6</v>
      </c>
      <c r="H426">
        <v>1.3333333999999999</v>
      </c>
      <c r="I426">
        <v>-0.33333333999999998</v>
      </c>
      <c r="J426">
        <v>0.42857142999999998</v>
      </c>
    </row>
    <row r="427" spans="1:10" x14ac:dyDescent="0.3">
      <c r="A427">
        <v>425</v>
      </c>
      <c r="B427">
        <v>6761</v>
      </c>
      <c r="C427" t="b">
        <v>1</v>
      </c>
      <c r="D427">
        <v>8048</v>
      </c>
      <c r="E427">
        <v>8123</v>
      </c>
      <c r="F427">
        <v>8</v>
      </c>
      <c r="G427">
        <v>6</v>
      </c>
      <c r="H427">
        <v>1.3333333999999999</v>
      </c>
      <c r="I427">
        <v>-0.33333333999999998</v>
      </c>
      <c r="J427">
        <v>0.42857142999999998</v>
      </c>
    </row>
    <row r="428" spans="1:10" x14ac:dyDescent="0.3">
      <c r="A428">
        <v>426</v>
      </c>
      <c r="B428">
        <v>6777</v>
      </c>
      <c r="C428" t="b">
        <v>1</v>
      </c>
      <c r="D428">
        <v>8048</v>
      </c>
      <c r="E428">
        <v>8117</v>
      </c>
      <c r="F428">
        <v>8</v>
      </c>
      <c r="G428">
        <v>6.4</v>
      </c>
      <c r="H428">
        <v>1.25</v>
      </c>
      <c r="I428">
        <v>-0.24999999000000001</v>
      </c>
      <c r="J428">
        <v>0.44444447999999998</v>
      </c>
    </row>
    <row r="429" spans="1:10" x14ac:dyDescent="0.3">
      <c r="A429">
        <v>427</v>
      </c>
      <c r="B429">
        <v>6793</v>
      </c>
      <c r="C429" t="b">
        <v>1</v>
      </c>
      <c r="D429">
        <v>8048</v>
      </c>
      <c r="E429">
        <v>8117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6809</v>
      </c>
      <c r="C430" t="b">
        <v>1</v>
      </c>
      <c r="D430">
        <v>8048</v>
      </c>
      <c r="E430">
        <v>8117</v>
      </c>
      <c r="F430">
        <v>8</v>
      </c>
      <c r="G430">
        <v>5.6</v>
      </c>
      <c r="H430">
        <v>1.4285715000000001</v>
      </c>
      <c r="I430">
        <v>-0.42857146000000002</v>
      </c>
      <c r="J430">
        <v>0.41176467999999999</v>
      </c>
    </row>
    <row r="431" spans="1:10" x14ac:dyDescent="0.3">
      <c r="A431">
        <v>429</v>
      </c>
      <c r="B431">
        <v>6824</v>
      </c>
      <c r="C431" t="b">
        <v>1</v>
      </c>
      <c r="D431">
        <v>8054</v>
      </c>
      <c r="E431">
        <v>8123</v>
      </c>
      <c r="F431">
        <v>8</v>
      </c>
      <c r="G431">
        <v>5.2</v>
      </c>
      <c r="H431">
        <v>1.5384616</v>
      </c>
      <c r="I431">
        <v>-0.53846156999999994</v>
      </c>
      <c r="J431">
        <v>0.39393938000000001</v>
      </c>
    </row>
    <row r="432" spans="1:10" x14ac:dyDescent="0.3">
      <c r="A432">
        <v>430</v>
      </c>
      <c r="B432">
        <v>6840</v>
      </c>
      <c r="C432" t="b">
        <v>1</v>
      </c>
      <c r="D432">
        <v>8048</v>
      </c>
      <c r="E432">
        <v>8123</v>
      </c>
      <c r="F432">
        <v>8</v>
      </c>
      <c r="G432">
        <v>5.2</v>
      </c>
      <c r="H432">
        <v>1.5384616</v>
      </c>
      <c r="I432">
        <v>-0.53846156999999994</v>
      </c>
      <c r="J432">
        <v>0.39393938000000001</v>
      </c>
    </row>
    <row r="433" spans="1:10" x14ac:dyDescent="0.3">
      <c r="A433">
        <v>431</v>
      </c>
      <c r="B433">
        <v>6856</v>
      </c>
      <c r="C433" t="b">
        <v>1</v>
      </c>
      <c r="D433">
        <v>8048</v>
      </c>
      <c r="E433">
        <v>8123</v>
      </c>
      <c r="F433">
        <v>8</v>
      </c>
      <c r="G433">
        <v>5.2</v>
      </c>
      <c r="H433">
        <v>1.5384616</v>
      </c>
      <c r="I433">
        <v>-0.53846156999999994</v>
      </c>
      <c r="J433">
        <v>0.39393938000000001</v>
      </c>
    </row>
    <row r="434" spans="1:10" x14ac:dyDescent="0.3">
      <c r="A434">
        <v>432</v>
      </c>
      <c r="B434">
        <v>6872</v>
      </c>
      <c r="C434" t="b">
        <v>1</v>
      </c>
      <c r="D434">
        <v>8048</v>
      </c>
      <c r="E434">
        <v>8123</v>
      </c>
      <c r="F434">
        <v>8</v>
      </c>
      <c r="G434">
        <v>5.6</v>
      </c>
      <c r="H434">
        <v>1.4285715000000001</v>
      </c>
      <c r="I434">
        <v>-0.42857146000000002</v>
      </c>
      <c r="J434">
        <v>0.41176467999999999</v>
      </c>
    </row>
    <row r="435" spans="1:10" x14ac:dyDescent="0.3">
      <c r="A435">
        <v>433</v>
      </c>
      <c r="B435">
        <v>6888</v>
      </c>
      <c r="C435" t="b">
        <v>1</v>
      </c>
      <c r="D435">
        <v>8048</v>
      </c>
      <c r="E435">
        <v>8123</v>
      </c>
      <c r="F435">
        <v>8</v>
      </c>
      <c r="G435">
        <v>6</v>
      </c>
      <c r="H435">
        <v>1.3333333999999999</v>
      </c>
      <c r="I435">
        <v>-0.33333333999999998</v>
      </c>
      <c r="J435">
        <v>0.42857142999999998</v>
      </c>
    </row>
    <row r="436" spans="1:10" x14ac:dyDescent="0.3">
      <c r="A436">
        <v>434</v>
      </c>
      <c r="B436">
        <v>6903</v>
      </c>
      <c r="C436" t="b">
        <v>1</v>
      </c>
      <c r="D436">
        <v>8048</v>
      </c>
      <c r="E436">
        <v>8134</v>
      </c>
      <c r="F436">
        <v>8</v>
      </c>
      <c r="G436">
        <v>6.4</v>
      </c>
      <c r="H436">
        <v>1.25</v>
      </c>
      <c r="I436">
        <v>-0.24999999000000001</v>
      </c>
      <c r="J436">
        <v>0.44444447999999998</v>
      </c>
    </row>
    <row r="437" spans="1:10" x14ac:dyDescent="0.3">
      <c r="A437">
        <v>435</v>
      </c>
      <c r="B437">
        <v>6919</v>
      </c>
      <c r="C437" t="b">
        <v>1</v>
      </c>
      <c r="D437">
        <v>8048</v>
      </c>
      <c r="E437">
        <v>8123</v>
      </c>
      <c r="F437">
        <v>8</v>
      </c>
      <c r="G437">
        <v>6.4</v>
      </c>
      <c r="H437">
        <v>1.25</v>
      </c>
      <c r="I437">
        <v>-0.24999999000000001</v>
      </c>
      <c r="J437">
        <v>0.44444447999999998</v>
      </c>
    </row>
    <row r="438" spans="1:10" x14ac:dyDescent="0.3">
      <c r="A438">
        <v>436</v>
      </c>
      <c r="B438">
        <v>6935</v>
      </c>
      <c r="C438" t="b">
        <v>1</v>
      </c>
      <c r="D438">
        <v>8048</v>
      </c>
      <c r="E438">
        <v>8117</v>
      </c>
      <c r="F438">
        <v>8</v>
      </c>
      <c r="G438">
        <v>6.4</v>
      </c>
      <c r="H438">
        <v>1.25</v>
      </c>
      <c r="I438">
        <v>-0.24999999000000001</v>
      </c>
      <c r="J438">
        <v>0.44444447999999998</v>
      </c>
    </row>
    <row r="439" spans="1:10" x14ac:dyDescent="0.3">
      <c r="A439">
        <v>437</v>
      </c>
      <c r="B439">
        <v>6951</v>
      </c>
      <c r="C439" t="b">
        <v>1</v>
      </c>
      <c r="D439">
        <v>8048</v>
      </c>
      <c r="E439">
        <v>8129</v>
      </c>
      <c r="F439">
        <v>8</v>
      </c>
      <c r="G439">
        <v>6.4</v>
      </c>
      <c r="H439">
        <v>1.25</v>
      </c>
      <c r="I439">
        <v>-0.24999999000000001</v>
      </c>
      <c r="J439">
        <v>0.44444447999999998</v>
      </c>
    </row>
    <row r="440" spans="1:10" x14ac:dyDescent="0.3">
      <c r="A440">
        <v>438</v>
      </c>
      <c r="B440">
        <v>6967</v>
      </c>
      <c r="C440" t="b">
        <v>1</v>
      </c>
      <c r="D440">
        <v>8048</v>
      </c>
      <c r="E440">
        <v>8117</v>
      </c>
      <c r="F440">
        <v>8</v>
      </c>
      <c r="G440">
        <v>6.4</v>
      </c>
      <c r="H440">
        <v>1.25</v>
      </c>
      <c r="I440">
        <v>-0.24999999000000001</v>
      </c>
      <c r="J440">
        <v>0.44444447999999998</v>
      </c>
    </row>
    <row r="441" spans="1:10" x14ac:dyDescent="0.3">
      <c r="A441">
        <v>439</v>
      </c>
      <c r="B441">
        <v>6983</v>
      </c>
      <c r="C441" t="b">
        <v>1</v>
      </c>
      <c r="D441">
        <v>8054</v>
      </c>
      <c r="E441">
        <v>8117</v>
      </c>
      <c r="F441">
        <v>8</v>
      </c>
      <c r="G441">
        <v>6</v>
      </c>
      <c r="H441">
        <v>1.3333333999999999</v>
      </c>
      <c r="I441">
        <v>-0.33333333999999998</v>
      </c>
      <c r="J441">
        <v>0.42857142999999998</v>
      </c>
    </row>
    <row r="442" spans="1:10" x14ac:dyDescent="0.3">
      <c r="A442">
        <v>440</v>
      </c>
      <c r="B442">
        <v>6999</v>
      </c>
      <c r="C442" t="b">
        <v>1</v>
      </c>
      <c r="D442">
        <v>8048</v>
      </c>
      <c r="E442">
        <v>8117</v>
      </c>
      <c r="F442">
        <v>8</v>
      </c>
      <c r="G442">
        <v>5.6</v>
      </c>
      <c r="H442">
        <v>1.4285715000000001</v>
      </c>
      <c r="I442">
        <v>-0.42857146000000002</v>
      </c>
      <c r="J442">
        <v>0.41176467999999999</v>
      </c>
    </row>
    <row r="443" spans="1:10" x14ac:dyDescent="0.3">
      <c r="A443">
        <v>441</v>
      </c>
      <c r="B443">
        <v>7015</v>
      </c>
      <c r="C443" t="b">
        <v>1</v>
      </c>
      <c r="D443">
        <v>8042</v>
      </c>
      <c r="E443">
        <v>8117</v>
      </c>
      <c r="F443">
        <v>8</v>
      </c>
      <c r="G443">
        <v>5.2</v>
      </c>
      <c r="H443">
        <v>1.5384616</v>
      </c>
      <c r="I443">
        <v>-0.53846156999999994</v>
      </c>
      <c r="J443">
        <v>0.39393938000000001</v>
      </c>
    </row>
    <row r="444" spans="1:10" x14ac:dyDescent="0.3">
      <c r="A444">
        <v>442</v>
      </c>
      <c r="B444">
        <v>7031</v>
      </c>
      <c r="C444" t="b">
        <v>1</v>
      </c>
      <c r="D444">
        <v>8048</v>
      </c>
      <c r="E444">
        <v>8129</v>
      </c>
      <c r="F444">
        <v>8</v>
      </c>
      <c r="G444">
        <v>5.2</v>
      </c>
      <c r="H444">
        <v>1.5384616</v>
      </c>
      <c r="I444">
        <v>-0.53846156999999994</v>
      </c>
      <c r="J444">
        <v>0.39393938000000001</v>
      </c>
    </row>
    <row r="445" spans="1:10" x14ac:dyDescent="0.3">
      <c r="A445">
        <v>443</v>
      </c>
      <c r="B445">
        <v>7046</v>
      </c>
      <c r="C445" t="b">
        <v>1</v>
      </c>
      <c r="D445">
        <v>8042</v>
      </c>
      <c r="E445">
        <v>8123</v>
      </c>
      <c r="F445">
        <v>8</v>
      </c>
      <c r="G445">
        <v>5.2</v>
      </c>
      <c r="H445">
        <v>1.5384616</v>
      </c>
      <c r="I445">
        <v>-0.53846156999999994</v>
      </c>
      <c r="J445">
        <v>0.39393938000000001</v>
      </c>
    </row>
    <row r="446" spans="1:10" x14ac:dyDescent="0.3">
      <c r="A446">
        <v>444</v>
      </c>
      <c r="B446">
        <v>7062</v>
      </c>
      <c r="C446" t="b">
        <v>1</v>
      </c>
      <c r="D446">
        <v>8048</v>
      </c>
      <c r="E446">
        <v>8129</v>
      </c>
      <c r="F446">
        <v>8</v>
      </c>
      <c r="G446">
        <v>5.6</v>
      </c>
      <c r="H446">
        <v>1.4285715000000001</v>
      </c>
      <c r="I446">
        <v>-0.42857146000000002</v>
      </c>
      <c r="J446">
        <v>0.41176467999999999</v>
      </c>
    </row>
    <row r="447" spans="1:10" x14ac:dyDescent="0.3">
      <c r="A447">
        <v>445</v>
      </c>
      <c r="B447">
        <v>7078</v>
      </c>
      <c r="C447" t="b">
        <v>1</v>
      </c>
      <c r="D447">
        <v>8048</v>
      </c>
      <c r="E447">
        <v>8123</v>
      </c>
      <c r="F447">
        <v>8</v>
      </c>
      <c r="G447">
        <v>6</v>
      </c>
      <c r="H447">
        <v>1.3333333999999999</v>
      </c>
      <c r="I447">
        <v>-0.33333333999999998</v>
      </c>
      <c r="J447">
        <v>0.42857142999999998</v>
      </c>
    </row>
    <row r="448" spans="1:10" x14ac:dyDescent="0.3">
      <c r="A448">
        <v>446</v>
      </c>
      <c r="B448">
        <v>7094</v>
      </c>
      <c r="C448" t="b">
        <v>1</v>
      </c>
      <c r="D448">
        <v>8048</v>
      </c>
      <c r="E448">
        <v>8123</v>
      </c>
      <c r="F448">
        <v>8</v>
      </c>
      <c r="G448">
        <v>6</v>
      </c>
      <c r="H448">
        <v>1.3333333999999999</v>
      </c>
      <c r="I448">
        <v>-0.33333333999999998</v>
      </c>
      <c r="J448">
        <v>0.42857142999999998</v>
      </c>
    </row>
    <row r="449" spans="1:10" x14ac:dyDescent="0.3">
      <c r="A449">
        <v>447</v>
      </c>
      <c r="B449">
        <v>7110</v>
      </c>
      <c r="C449" t="b">
        <v>1</v>
      </c>
      <c r="D449">
        <v>8048</v>
      </c>
      <c r="E449">
        <v>8123</v>
      </c>
      <c r="F449">
        <v>8</v>
      </c>
      <c r="G449">
        <v>6</v>
      </c>
      <c r="H449">
        <v>1.3333333999999999</v>
      </c>
      <c r="I449">
        <v>-0.33333333999999998</v>
      </c>
      <c r="J449">
        <v>0.42857142999999998</v>
      </c>
    </row>
    <row r="450" spans="1:10" x14ac:dyDescent="0.3">
      <c r="A450">
        <v>448</v>
      </c>
      <c r="B450">
        <v>7126</v>
      </c>
      <c r="C450" t="b">
        <v>1</v>
      </c>
      <c r="D450">
        <v>8048</v>
      </c>
      <c r="E450">
        <v>8123</v>
      </c>
      <c r="F450">
        <v>8</v>
      </c>
      <c r="G450">
        <v>6</v>
      </c>
      <c r="H450">
        <v>1.3333333999999999</v>
      </c>
      <c r="I450">
        <v>-0.33333333999999998</v>
      </c>
      <c r="J450">
        <v>0.42857142999999998</v>
      </c>
    </row>
    <row r="451" spans="1:10" x14ac:dyDescent="0.3">
      <c r="A451">
        <v>449</v>
      </c>
      <c r="B451">
        <v>7141</v>
      </c>
      <c r="C451" t="b">
        <v>1</v>
      </c>
      <c r="D451">
        <v>8048</v>
      </c>
      <c r="E451">
        <v>8129</v>
      </c>
      <c r="F451">
        <v>8</v>
      </c>
      <c r="G451">
        <v>6</v>
      </c>
      <c r="H451">
        <v>1.3333333999999999</v>
      </c>
      <c r="I451">
        <v>-0.33333333999999998</v>
      </c>
      <c r="J451">
        <v>0.42857142999999998</v>
      </c>
    </row>
    <row r="452" spans="1:10" x14ac:dyDescent="0.3">
      <c r="A452">
        <v>450</v>
      </c>
      <c r="B452">
        <v>7157</v>
      </c>
      <c r="C452" t="b">
        <v>1</v>
      </c>
      <c r="D452">
        <v>8042</v>
      </c>
      <c r="E452">
        <v>8123</v>
      </c>
      <c r="F452">
        <v>8</v>
      </c>
      <c r="G452">
        <v>6</v>
      </c>
      <c r="H452">
        <v>1.3333333999999999</v>
      </c>
      <c r="I452">
        <v>-0.33333333999999998</v>
      </c>
      <c r="J452">
        <v>0.42857142999999998</v>
      </c>
    </row>
    <row r="453" spans="1:10" x14ac:dyDescent="0.3">
      <c r="A453">
        <v>451</v>
      </c>
      <c r="B453">
        <v>7173</v>
      </c>
      <c r="C453" t="b">
        <v>1</v>
      </c>
      <c r="D453">
        <v>8048</v>
      </c>
      <c r="E453">
        <v>8123</v>
      </c>
      <c r="F453">
        <v>8</v>
      </c>
      <c r="G453">
        <v>6</v>
      </c>
      <c r="H453">
        <v>1.3333333999999999</v>
      </c>
      <c r="I453">
        <v>-0.33333333999999998</v>
      </c>
      <c r="J453">
        <v>0.42857142999999998</v>
      </c>
    </row>
    <row r="454" spans="1:10" x14ac:dyDescent="0.3">
      <c r="A454">
        <v>452</v>
      </c>
      <c r="B454">
        <v>7189</v>
      </c>
      <c r="C454" t="b">
        <v>1</v>
      </c>
      <c r="D454">
        <v>8048</v>
      </c>
      <c r="E454">
        <v>8129</v>
      </c>
      <c r="F454">
        <v>8</v>
      </c>
      <c r="G454">
        <v>6</v>
      </c>
      <c r="H454">
        <v>1.3333333999999999</v>
      </c>
      <c r="I454">
        <v>-0.33333333999999998</v>
      </c>
      <c r="J454">
        <v>0.42857142999999998</v>
      </c>
    </row>
    <row r="455" spans="1:10" x14ac:dyDescent="0.3">
      <c r="A455">
        <v>453</v>
      </c>
      <c r="B455">
        <v>7204</v>
      </c>
      <c r="C455" t="b">
        <v>1</v>
      </c>
      <c r="D455">
        <v>8042</v>
      </c>
      <c r="E455">
        <v>8129</v>
      </c>
      <c r="F455">
        <v>8</v>
      </c>
      <c r="G455">
        <v>6.4</v>
      </c>
      <c r="H455">
        <v>1.25</v>
      </c>
      <c r="I455">
        <v>-0.24999999000000001</v>
      </c>
      <c r="J455">
        <v>0.44444447999999998</v>
      </c>
    </row>
    <row r="456" spans="1:10" x14ac:dyDescent="0.3">
      <c r="A456">
        <v>454</v>
      </c>
      <c r="B456">
        <v>7220</v>
      </c>
      <c r="C456" t="b">
        <v>1</v>
      </c>
      <c r="D456">
        <v>8048</v>
      </c>
      <c r="E456">
        <v>8134</v>
      </c>
      <c r="F456">
        <v>8</v>
      </c>
      <c r="G456">
        <v>7.2</v>
      </c>
      <c r="H456">
        <v>1.1111112000000001</v>
      </c>
      <c r="I456">
        <v>-0.11111114</v>
      </c>
      <c r="J456">
        <v>0.4736842</v>
      </c>
    </row>
    <row r="457" spans="1:10" x14ac:dyDescent="0.3">
      <c r="A457">
        <v>455</v>
      </c>
      <c r="B457">
        <v>7236</v>
      </c>
      <c r="C457" t="b">
        <v>1</v>
      </c>
      <c r="D457">
        <v>8048</v>
      </c>
      <c r="E457">
        <v>8134</v>
      </c>
      <c r="F457">
        <v>8</v>
      </c>
      <c r="G457">
        <v>8</v>
      </c>
      <c r="H457">
        <v>1</v>
      </c>
      <c r="I457">
        <v>0</v>
      </c>
      <c r="J457">
        <v>0.5</v>
      </c>
    </row>
    <row r="458" spans="1:10" x14ac:dyDescent="0.3">
      <c r="A458">
        <v>456</v>
      </c>
      <c r="B458">
        <v>7252</v>
      </c>
      <c r="C458" t="b">
        <v>1</v>
      </c>
      <c r="D458">
        <v>8048</v>
      </c>
      <c r="E458">
        <v>8129</v>
      </c>
      <c r="F458">
        <v>8</v>
      </c>
      <c r="G458">
        <v>8.8000000000000007</v>
      </c>
      <c r="H458">
        <v>0.90909090000000004</v>
      </c>
      <c r="I458">
        <v>9.0909110000000001E-2</v>
      </c>
      <c r="J458">
        <v>0.52380954999999996</v>
      </c>
    </row>
    <row r="459" spans="1:10" x14ac:dyDescent="0.3">
      <c r="A459">
        <v>457</v>
      </c>
      <c r="B459">
        <v>7268</v>
      </c>
      <c r="C459" t="b">
        <v>1</v>
      </c>
      <c r="D459">
        <v>8048</v>
      </c>
      <c r="E459">
        <v>8129</v>
      </c>
      <c r="F459">
        <v>8</v>
      </c>
      <c r="G459">
        <v>9.6</v>
      </c>
      <c r="H459">
        <v>0.83333330000000005</v>
      </c>
      <c r="I459">
        <v>0.1666667</v>
      </c>
      <c r="J459">
        <v>0.54545456000000003</v>
      </c>
    </row>
    <row r="460" spans="1:10" x14ac:dyDescent="0.3">
      <c r="A460">
        <v>458</v>
      </c>
      <c r="B460">
        <v>7284</v>
      </c>
      <c r="C460" t="b">
        <v>1</v>
      </c>
      <c r="D460">
        <v>8042</v>
      </c>
      <c r="E460">
        <v>8129</v>
      </c>
      <c r="F460">
        <v>8</v>
      </c>
      <c r="G460">
        <v>10.4</v>
      </c>
      <c r="H460">
        <v>0.76923079999999999</v>
      </c>
      <c r="I460">
        <v>0.23076920000000001</v>
      </c>
      <c r="J460">
        <v>0.56521739999999998</v>
      </c>
    </row>
    <row r="461" spans="1:10" x14ac:dyDescent="0.3">
      <c r="A461">
        <v>459</v>
      </c>
      <c r="B461">
        <v>7300</v>
      </c>
      <c r="C461" t="b">
        <v>1</v>
      </c>
      <c r="D461">
        <v>8048</v>
      </c>
      <c r="E461">
        <v>8129</v>
      </c>
      <c r="F461">
        <v>8</v>
      </c>
      <c r="G461">
        <v>10.8</v>
      </c>
      <c r="H461">
        <v>0.74074070000000003</v>
      </c>
      <c r="I461">
        <v>0.25925927999999998</v>
      </c>
      <c r="J461">
        <v>0.57446814000000002</v>
      </c>
    </row>
    <row r="462" spans="1:10" x14ac:dyDescent="0.3">
      <c r="A462">
        <v>460</v>
      </c>
      <c r="B462">
        <v>7316</v>
      </c>
      <c r="C462" t="b">
        <v>1</v>
      </c>
      <c r="D462">
        <v>8054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7332</v>
      </c>
      <c r="C463" t="b">
        <v>1</v>
      </c>
      <c r="D463">
        <v>8054</v>
      </c>
      <c r="E463">
        <v>8129</v>
      </c>
      <c r="F463">
        <v>8</v>
      </c>
      <c r="G463">
        <v>11.6</v>
      </c>
      <c r="H463">
        <v>0.68965509999999997</v>
      </c>
      <c r="I463">
        <v>0.31034485000000001</v>
      </c>
      <c r="J463">
        <v>0.59183675000000002</v>
      </c>
    </row>
    <row r="464" spans="1:10" x14ac:dyDescent="0.3">
      <c r="A464">
        <v>462</v>
      </c>
      <c r="B464">
        <v>7348</v>
      </c>
      <c r="C464" t="b">
        <v>1</v>
      </c>
      <c r="D464">
        <v>8054</v>
      </c>
      <c r="E464">
        <v>8129</v>
      </c>
      <c r="F464">
        <v>8.4</v>
      </c>
      <c r="G464">
        <v>12</v>
      </c>
      <c r="H464">
        <v>0.7</v>
      </c>
      <c r="I464">
        <v>0.30000004000000002</v>
      </c>
      <c r="J464">
        <v>0.58823530000000002</v>
      </c>
    </row>
    <row r="465" spans="1:10" x14ac:dyDescent="0.3">
      <c r="A465">
        <v>463</v>
      </c>
      <c r="B465">
        <v>7364</v>
      </c>
      <c r="C465" t="b">
        <v>1</v>
      </c>
      <c r="D465">
        <v>8054</v>
      </c>
      <c r="E465">
        <v>8129</v>
      </c>
      <c r="F465">
        <v>8.8000000000000007</v>
      </c>
      <c r="G465">
        <v>12.4</v>
      </c>
      <c r="H465">
        <v>0.70967745999999998</v>
      </c>
      <c r="I465">
        <v>0.29032254000000002</v>
      </c>
      <c r="J465">
        <v>0.58490560000000003</v>
      </c>
    </row>
    <row r="466" spans="1:10" x14ac:dyDescent="0.3">
      <c r="A466">
        <v>464</v>
      </c>
      <c r="B466">
        <v>7380</v>
      </c>
      <c r="C466" t="b">
        <v>1</v>
      </c>
      <c r="D466">
        <v>8054</v>
      </c>
      <c r="E466">
        <v>8123</v>
      </c>
      <c r="F466">
        <v>9.1999999999999993</v>
      </c>
      <c r="G466">
        <v>12.8</v>
      </c>
      <c r="H466">
        <v>0.71875</v>
      </c>
      <c r="I466">
        <v>0.28125002999999998</v>
      </c>
      <c r="J466">
        <v>0.58181815999999997</v>
      </c>
    </row>
    <row r="467" spans="1:10" x14ac:dyDescent="0.3">
      <c r="A467">
        <v>465</v>
      </c>
      <c r="B467">
        <v>7396</v>
      </c>
      <c r="C467" t="b">
        <v>1</v>
      </c>
      <c r="D467">
        <v>8054</v>
      </c>
      <c r="E467">
        <v>8129</v>
      </c>
      <c r="F467">
        <v>9.6</v>
      </c>
      <c r="G467">
        <v>13.2</v>
      </c>
      <c r="H467">
        <v>0.72727275000000002</v>
      </c>
      <c r="I467">
        <v>0.27272721999999999</v>
      </c>
      <c r="J467">
        <v>0.57894736999999996</v>
      </c>
    </row>
    <row r="468" spans="1:10" x14ac:dyDescent="0.3">
      <c r="A468">
        <v>466</v>
      </c>
      <c r="B468">
        <v>7411</v>
      </c>
      <c r="C468" t="b">
        <v>1</v>
      </c>
      <c r="D468">
        <v>8048</v>
      </c>
      <c r="E468">
        <v>8123</v>
      </c>
      <c r="F468">
        <v>10</v>
      </c>
      <c r="G468">
        <v>13.6</v>
      </c>
      <c r="H468">
        <v>0.73529409999999995</v>
      </c>
      <c r="I468">
        <v>0.26470589999999999</v>
      </c>
      <c r="J468">
        <v>0.57627119999999998</v>
      </c>
    </row>
    <row r="469" spans="1:10" x14ac:dyDescent="0.3">
      <c r="A469">
        <v>467</v>
      </c>
      <c r="B469">
        <v>7427</v>
      </c>
      <c r="C469" t="b">
        <v>1</v>
      </c>
      <c r="D469">
        <v>8048</v>
      </c>
      <c r="E469">
        <v>8134</v>
      </c>
      <c r="F469">
        <v>10.4</v>
      </c>
      <c r="G469">
        <v>14</v>
      </c>
      <c r="H469">
        <v>0.74285710000000005</v>
      </c>
      <c r="I469">
        <v>0.25714287000000002</v>
      </c>
      <c r="J469">
        <v>0.57377049999999996</v>
      </c>
    </row>
    <row r="470" spans="1:10" x14ac:dyDescent="0.3">
      <c r="A470">
        <v>468</v>
      </c>
      <c r="B470">
        <v>7443</v>
      </c>
      <c r="C470" t="b">
        <v>1</v>
      </c>
      <c r="D470">
        <v>8048</v>
      </c>
      <c r="E470">
        <v>8134</v>
      </c>
      <c r="F470">
        <v>10.4</v>
      </c>
      <c r="G470">
        <v>14</v>
      </c>
      <c r="H470">
        <v>0.74285710000000005</v>
      </c>
      <c r="I470">
        <v>0.25714287000000002</v>
      </c>
      <c r="J470">
        <v>0.57377049999999996</v>
      </c>
    </row>
    <row r="471" spans="1:10" x14ac:dyDescent="0.3">
      <c r="A471">
        <v>469</v>
      </c>
      <c r="B471">
        <v>7459</v>
      </c>
      <c r="C471" t="b">
        <v>1</v>
      </c>
      <c r="D471">
        <v>8048</v>
      </c>
      <c r="E471">
        <v>8134</v>
      </c>
      <c r="F471">
        <v>10.4</v>
      </c>
      <c r="G471">
        <v>14.333333</v>
      </c>
      <c r="H471">
        <v>0.72558140000000004</v>
      </c>
      <c r="I471">
        <v>0.27441862</v>
      </c>
      <c r="J471">
        <v>0.5795148</v>
      </c>
    </row>
    <row r="472" spans="1:10" x14ac:dyDescent="0.3">
      <c r="A472">
        <v>470</v>
      </c>
      <c r="B472">
        <v>7475</v>
      </c>
      <c r="C472" t="b">
        <v>1</v>
      </c>
      <c r="D472">
        <v>8042</v>
      </c>
      <c r="E472">
        <v>8134</v>
      </c>
      <c r="F472">
        <v>10.4</v>
      </c>
      <c r="G472">
        <v>14.666667</v>
      </c>
      <c r="H472">
        <v>0.70909089999999997</v>
      </c>
      <c r="I472">
        <v>0.29090914000000001</v>
      </c>
      <c r="J472">
        <v>0.58510642999999996</v>
      </c>
    </row>
    <row r="473" spans="1:10" x14ac:dyDescent="0.3">
      <c r="A473">
        <v>471</v>
      </c>
      <c r="B473">
        <v>7491</v>
      </c>
      <c r="C473" t="b">
        <v>1</v>
      </c>
      <c r="D473">
        <v>8042</v>
      </c>
      <c r="E473">
        <v>8129</v>
      </c>
      <c r="F473">
        <v>10.4</v>
      </c>
      <c r="G473">
        <v>15</v>
      </c>
      <c r="H473">
        <v>0.69333330000000004</v>
      </c>
      <c r="I473">
        <v>0.30666670000000001</v>
      </c>
      <c r="J473">
        <v>0.59055120000000005</v>
      </c>
    </row>
    <row r="474" spans="1:10" x14ac:dyDescent="0.3">
      <c r="A474">
        <v>472</v>
      </c>
      <c r="B474">
        <v>7506</v>
      </c>
      <c r="C474" t="b">
        <v>1</v>
      </c>
      <c r="D474">
        <v>8048</v>
      </c>
      <c r="E474">
        <v>8123</v>
      </c>
      <c r="F474">
        <v>10.4</v>
      </c>
      <c r="G474">
        <v>15.333333</v>
      </c>
      <c r="H474">
        <v>0.67826085999999997</v>
      </c>
      <c r="I474">
        <v>0.32173913999999998</v>
      </c>
      <c r="J474">
        <v>0.59585489999999997</v>
      </c>
    </row>
    <row r="475" spans="1:10" x14ac:dyDescent="0.3">
      <c r="A475">
        <v>473</v>
      </c>
      <c r="B475">
        <v>7522</v>
      </c>
      <c r="C475" t="b">
        <v>1</v>
      </c>
      <c r="D475">
        <v>8042</v>
      </c>
      <c r="E475">
        <v>8123</v>
      </c>
      <c r="F475">
        <v>10</v>
      </c>
      <c r="G475">
        <v>15.333333</v>
      </c>
      <c r="H475">
        <v>0.65217393999999995</v>
      </c>
      <c r="I475">
        <v>0.34782605999999999</v>
      </c>
      <c r="J475">
        <v>0.6052632</v>
      </c>
    </row>
    <row r="476" spans="1:10" x14ac:dyDescent="0.3">
      <c r="A476">
        <v>474</v>
      </c>
      <c r="B476">
        <v>7538</v>
      </c>
      <c r="C476" t="b">
        <v>1</v>
      </c>
      <c r="D476">
        <v>8048</v>
      </c>
      <c r="E476">
        <v>8117</v>
      </c>
      <c r="F476">
        <v>9.6</v>
      </c>
      <c r="G476">
        <v>14.933332999999999</v>
      </c>
      <c r="H476">
        <v>0.64285720000000002</v>
      </c>
      <c r="I476">
        <v>0.35714284000000002</v>
      </c>
      <c r="J476">
        <v>0.60869569999999995</v>
      </c>
    </row>
    <row r="477" spans="1:10" x14ac:dyDescent="0.3">
      <c r="A477">
        <v>475</v>
      </c>
      <c r="B477">
        <v>7554</v>
      </c>
      <c r="C477" t="b">
        <v>1</v>
      </c>
      <c r="D477">
        <v>8048</v>
      </c>
      <c r="E477">
        <v>8123</v>
      </c>
      <c r="F477">
        <v>9.6</v>
      </c>
      <c r="G477">
        <v>14.533334</v>
      </c>
      <c r="H477">
        <v>0.66055050000000004</v>
      </c>
      <c r="I477">
        <v>0.33944952</v>
      </c>
      <c r="J477">
        <v>0.60220989999999996</v>
      </c>
    </row>
    <row r="478" spans="1:10" x14ac:dyDescent="0.3">
      <c r="A478">
        <v>476</v>
      </c>
      <c r="B478">
        <v>7570</v>
      </c>
      <c r="C478" t="b">
        <v>1</v>
      </c>
      <c r="D478">
        <v>8048</v>
      </c>
      <c r="E478">
        <v>8117</v>
      </c>
      <c r="F478">
        <v>9.6</v>
      </c>
      <c r="G478">
        <v>14.133333</v>
      </c>
      <c r="H478">
        <v>0.67924530000000005</v>
      </c>
      <c r="I478">
        <v>0.32075468000000001</v>
      </c>
      <c r="J478">
        <v>0.59550559999999997</v>
      </c>
    </row>
    <row r="479" spans="1:10" x14ac:dyDescent="0.3">
      <c r="A479">
        <v>477</v>
      </c>
      <c r="B479">
        <v>7586</v>
      </c>
      <c r="C479" t="b">
        <v>1</v>
      </c>
      <c r="D479">
        <v>8054</v>
      </c>
      <c r="E479">
        <v>8117</v>
      </c>
      <c r="F479">
        <v>9.1999999999999993</v>
      </c>
      <c r="G479">
        <v>13.333333</v>
      </c>
      <c r="H479">
        <v>0.69</v>
      </c>
      <c r="I479">
        <v>0.31</v>
      </c>
      <c r="J479">
        <v>0.59171600000000002</v>
      </c>
    </row>
    <row r="480" spans="1:10" x14ac:dyDescent="0.3">
      <c r="A480">
        <v>478</v>
      </c>
      <c r="B480">
        <v>7602</v>
      </c>
      <c r="C480" t="b">
        <v>1</v>
      </c>
      <c r="D480">
        <v>8048</v>
      </c>
      <c r="E480">
        <v>8123</v>
      </c>
      <c r="F480">
        <v>8.8000000000000007</v>
      </c>
      <c r="G480">
        <v>12.533334</v>
      </c>
      <c r="H480">
        <v>0.70212764000000005</v>
      </c>
      <c r="I480">
        <v>0.29787236</v>
      </c>
      <c r="J480">
        <v>0.58750000000000002</v>
      </c>
    </row>
    <row r="481" spans="1:10" x14ac:dyDescent="0.3">
      <c r="A481">
        <v>479</v>
      </c>
      <c r="B481">
        <v>7618</v>
      </c>
      <c r="C481" t="b">
        <v>1</v>
      </c>
      <c r="D481">
        <v>8048</v>
      </c>
      <c r="E481">
        <v>8123</v>
      </c>
      <c r="F481">
        <v>8.4</v>
      </c>
      <c r="G481">
        <v>12.133333</v>
      </c>
      <c r="H481">
        <v>0.69230765000000005</v>
      </c>
      <c r="I481">
        <v>0.30769232000000002</v>
      </c>
      <c r="J481">
        <v>0.59090909999999996</v>
      </c>
    </row>
    <row r="482" spans="1:10" x14ac:dyDescent="0.3">
      <c r="A482">
        <v>480</v>
      </c>
      <c r="B482">
        <v>7633</v>
      </c>
      <c r="C482" t="b">
        <v>1</v>
      </c>
      <c r="D482">
        <v>8048</v>
      </c>
      <c r="E482">
        <v>8134</v>
      </c>
      <c r="F482">
        <v>8</v>
      </c>
      <c r="G482">
        <v>11.733333999999999</v>
      </c>
      <c r="H482">
        <v>0.68181820000000004</v>
      </c>
      <c r="I482">
        <v>0.31818183999999999</v>
      </c>
      <c r="J482">
        <v>0.59459459999999997</v>
      </c>
    </row>
    <row r="483" spans="1:10" x14ac:dyDescent="0.3">
      <c r="A483">
        <v>481</v>
      </c>
      <c r="B483">
        <v>7650</v>
      </c>
      <c r="C483" t="b">
        <v>1</v>
      </c>
      <c r="D483">
        <v>8048</v>
      </c>
      <c r="E483">
        <v>8123</v>
      </c>
      <c r="F483">
        <v>7.6</v>
      </c>
      <c r="G483">
        <v>11.333333</v>
      </c>
      <c r="H483">
        <v>0.67058825</v>
      </c>
      <c r="I483">
        <v>0.32941175</v>
      </c>
      <c r="J483">
        <v>0.59859156999999996</v>
      </c>
    </row>
    <row r="484" spans="1:10" x14ac:dyDescent="0.3">
      <c r="A484">
        <v>482</v>
      </c>
      <c r="B484">
        <v>7665</v>
      </c>
      <c r="C484" t="b">
        <v>1</v>
      </c>
      <c r="D484">
        <v>8042</v>
      </c>
      <c r="E484">
        <v>8129</v>
      </c>
      <c r="F484">
        <v>7.2</v>
      </c>
      <c r="G484">
        <v>10.933332999999999</v>
      </c>
      <c r="H484">
        <v>0.65853655</v>
      </c>
      <c r="I484">
        <v>0.34146345</v>
      </c>
      <c r="J484">
        <v>0.60294115999999998</v>
      </c>
    </row>
    <row r="485" spans="1:10" x14ac:dyDescent="0.3">
      <c r="A485">
        <v>483</v>
      </c>
      <c r="B485">
        <v>7681</v>
      </c>
      <c r="C485" t="b">
        <v>1</v>
      </c>
      <c r="D485">
        <v>8054</v>
      </c>
      <c r="E485">
        <v>8123</v>
      </c>
      <c r="F485">
        <v>7.2</v>
      </c>
      <c r="G485">
        <v>10.533334</v>
      </c>
      <c r="H485">
        <v>0.68354429999999999</v>
      </c>
      <c r="I485">
        <v>0.31645574999999998</v>
      </c>
      <c r="J485">
        <v>0.59398496000000001</v>
      </c>
    </row>
    <row r="486" spans="1:10" x14ac:dyDescent="0.3">
      <c r="A486">
        <v>484</v>
      </c>
      <c r="B486">
        <v>7697</v>
      </c>
      <c r="C486" t="b">
        <v>1</v>
      </c>
      <c r="D486">
        <v>8048</v>
      </c>
      <c r="E486">
        <v>8134</v>
      </c>
      <c r="F486">
        <v>7.2</v>
      </c>
      <c r="G486">
        <v>10.199999999999999</v>
      </c>
      <c r="H486">
        <v>0.70588240000000002</v>
      </c>
      <c r="I486">
        <v>0.29411766</v>
      </c>
      <c r="J486">
        <v>0.58620689999999998</v>
      </c>
    </row>
    <row r="487" spans="1:10" x14ac:dyDescent="0.3">
      <c r="A487">
        <v>485</v>
      </c>
      <c r="B487">
        <v>7713</v>
      </c>
      <c r="C487" t="b">
        <v>1</v>
      </c>
      <c r="D487">
        <v>8048</v>
      </c>
      <c r="E487">
        <v>8129</v>
      </c>
      <c r="F487">
        <v>7.2</v>
      </c>
      <c r="G487">
        <v>9.8666669999999996</v>
      </c>
      <c r="H487">
        <v>0.72972970000000004</v>
      </c>
      <c r="I487">
        <v>0.27027030000000002</v>
      </c>
      <c r="J487">
        <v>0.57812505999999997</v>
      </c>
    </row>
    <row r="488" spans="1:10" x14ac:dyDescent="0.3">
      <c r="A488">
        <v>486</v>
      </c>
      <c r="B488">
        <v>7729</v>
      </c>
      <c r="C488" t="b">
        <v>1</v>
      </c>
      <c r="D488">
        <v>8048</v>
      </c>
      <c r="E488">
        <v>8123</v>
      </c>
      <c r="F488">
        <v>7.2</v>
      </c>
      <c r="G488">
        <v>9.533334</v>
      </c>
      <c r="H488">
        <v>0.75524469999999999</v>
      </c>
      <c r="I488">
        <v>0.24475530000000001</v>
      </c>
      <c r="J488">
        <v>0.56972115999999995</v>
      </c>
    </row>
    <row r="489" spans="1:10" x14ac:dyDescent="0.3">
      <c r="A489">
        <v>487</v>
      </c>
      <c r="B489">
        <v>7744</v>
      </c>
      <c r="C489" t="b">
        <v>1</v>
      </c>
      <c r="D489">
        <v>8042</v>
      </c>
      <c r="E489">
        <v>8123</v>
      </c>
      <c r="F489">
        <v>7.2</v>
      </c>
      <c r="G489">
        <v>8.8000000000000007</v>
      </c>
      <c r="H489">
        <v>0.81818175000000004</v>
      </c>
      <c r="I489">
        <v>0.18181822</v>
      </c>
      <c r="J489">
        <v>0.55000000000000004</v>
      </c>
    </row>
    <row r="490" spans="1:10" x14ac:dyDescent="0.3">
      <c r="A490">
        <v>488</v>
      </c>
      <c r="B490">
        <v>7760</v>
      </c>
      <c r="C490" t="b">
        <v>1</v>
      </c>
      <c r="D490">
        <v>8048</v>
      </c>
      <c r="E490">
        <v>8123</v>
      </c>
      <c r="F490">
        <v>7.6</v>
      </c>
      <c r="G490">
        <v>8.4</v>
      </c>
      <c r="H490">
        <v>0.90476190000000001</v>
      </c>
      <c r="I490">
        <v>9.5238069999999994E-2</v>
      </c>
      <c r="J490">
        <v>0.52500000000000002</v>
      </c>
    </row>
    <row r="491" spans="1:10" x14ac:dyDescent="0.3">
      <c r="A491">
        <v>489</v>
      </c>
      <c r="B491">
        <v>7776</v>
      </c>
      <c r="C491" t="b">
        <v>1</v>
      </c>
      <c r="D491">
        <v>8048</v>
      </c>
      <c r="E491">
        <v>8134</v>
      </c>
      <c r="F491">
        <v>8</v>
      </c>
      <c r="G491">
        <v>8.4</v>
      </c>
      <c r="H491">
        <v>0.95238100000000003</v>
      </c>
      <c r="I491">
        <v>4.7619003999999999E-2</v>
      </c>
      <c r="J491">
        <v>0.51219510000000001</v>
      </c>
    </row>
    <row r="492" spans="1:10" x14ac:dyDescent="0.3">
      <c r="A492">
        <v>490</v>
      </c>
      <c r="B492">
        <v>7792</v>
      </c>
      <c r="C492" t="b">
        <v>1</v>
      </c>
      <c r="D492">
        <v>8042</v>
      </c>
      <c r="E492">
        <v>8117</v>
      </c>
      <c r="F492">
        <v>8</v>
      </c>
      <c r="G492">
        <v>8.4</v>
      </c>
      <c r="H492">
        <v>0.95238100000000003</v>
      </c>
      <c r="I492">
        <v>4.7619003999999999E-2</v>
      </c>
      <c r="J492">
        <v>0.51219510000000001</v>
      </c>
    </row>
    <row r="493" spans="1:10" x14ac:dyDescent="0.3">
      <c r="A493">
        <v>491</v>
      </c>
      <c r="B493">
        <v>7808</v>
      </c>
      <c r="C493" t="b">
        <v>1</v>
      </c>
      <c r="D493">
        <v>8048</v>
      </c>
      <c r="E493">
        <v>8129</v>
      </c>
      <c r="F493">
        <v>8</v>
      </c>
      <c r="G493">
        <v>8.4</v>
      </c>
      <c r="H493">
        <v>0.95238100000000003</v>
      </c>
      <c r="I493">
        <v>4.7619003999999999E-2</v>
      </c>
      <c r="J493">
        <v>0.51219510000000001</v>
      </c>
    </row>
    <row r="494" spans="1:10" x14ac:dyDescent="0.3">
      <c r="A494">
        <v>492</v>
      </c>
      <c r="B494">
        <v>7823</v>
      </c>
      <c r="C494" t="b">
        <v>1</v>
      </c>
      <c r="D494">
        <v>8042</v>
      </c>
      <c r="E494">
        <v>8129</v>
      </c>
      <c r="F494">
        <v>8</v>
      </c>
      <c r="G494">
        <v>9.1999999999999993</v>
      </c>
      <c r="H494">
        <v>0.86956524999999996</v>
      </c>
      <c r="I494">
        <v>0.13043477000000001</v>
      </c>
      <c r="J494">
        <v>0.53488369999999996</v>
      </c>
    </row>
    <row r="495" spans="1:10" x14ac:dyDescent="0.3">
      <c r="A495">
        <v>493</v>
      </c>
      <c r="B495">
        <v>7839</v>
      </c>
      <c r="C495" t="b">
        <v>1</v>
      </c>
      <c r="D495">
        <v>8048</v>
      </c>
      <c r="E495">
        <v>8117</v>
      </c>
      <c r="F495">
        <v>8</v>
      </c>
      <c r="G495">
        <v>10</v>
      </c>
      <c r="H495">
        <v>0.8</v>
      </c>
      <c r="I495">
        <v>0.2</v>
      </c>
      <c r="J495">
        <v>0.55555560000000004</v>
      </c>
    </row>
    <row r="496" spans="1:10" x14ac:dyDescent="0.3">
      <c r="A496">
        <v>494</v>
      </c>
      <c r="B496">
        <v>7855</v>
      </c>
      <c r="C496" t="b">
        <v>1</v>
      </c>
      <c r="D496">
        <v>8048</v>
      </c>
      <c r="E496">
        <v>8123</v>
      </c>
      <c r="F496">
        <v>8</v>
      </c>
      <c r="G496">
        <v>10</v>
      </c>
      <c r="H496">
        <v>0.8</v>
      </c>
      <c r="I496">
        <v>0.2</v>
      </c>
      <c r="J496">
        <v>0.55555560000000004</v>
      </c>
    </row>
    <row r="497" spans="1:10" x14ac:dyDescent="0.3">
      <c r="A497">
        <v>495</v>
      </c>
      <c r="B497">
        <v>7872</v>
      </c>
      <c r="C497" t="b">
        <v>1</v>
      </c>
      <c r="D497">
        <v>8048</v>
      </c>
      <c r="E497">
        <v>8117</v>
      </c>
      <c r="F497">
        <v>8</v>
      </c>
      <c r="G497">
        <v>10</v>
      </c>
      <c r="H497">
        <v>0.8</v>
      </c>
      <c r="I497">
        <v>0.2</v>
      </c>
      <c r="J497">
        <v>0.55555560000000004</v>
      </c>
    </row>
    <row r="498" spans="1:10" x14ac:dyDescent="0.3">
      <c r="A498">
        <v>496</v>
      </c>
      <c r="B498">
        <v>7888</v>
      </c>
      <c r="C498" t="b">
        <v>1</v>
      </c>
      <c r="D498">
        <v>8048</v>
      </c>
      <c r="E498">
        <v>8117</v>
      </c>
      <c r="F498">
        <v>8</v>
      </c>
      <c r="G498">
        <v>9.6</v>
      </c>
      <c r="H498">
        <v>0.83333330000000005</v>
      </c>
      <c r="I498">
        <v>0.1666667</v>
      </c>
      <c r="J498">
        <v>0.54545456000000003</v>
      </c>
    </row>
    <row r="499" spans="1:10" x14ac:dyDescent="0.3">
      <c r="A499">
        <v>497</v>
      </c>
      <c r="B499">
        <v>7903</v>
      </c>
      <c r="C499" t="b">
        <v>1</v>
      </c>
      <c r="D499">
        <v>8048</v>
      </c>
      <c r="E499">
        <v>8129</v>
      </c>
      <c r="F499">
        <v>8</v>
      </c>
      <c r="G499">
        <v>9.1999999999999993</v>
      </c>
      <c r="H499">
        <v>0.86956524999999996</v>
      </c>
      <c r="I499">
        <v>0.13043477000000001</v>
      </c>
      <c r="J499">
        <v>0.53488369999999996</v>
      </c>
    </row>
    <row r="500" spans="1:10" x14ac:dyDescent="0.3">
      <c r="A500">
        <v>498</v>
      </c>
      <c r="B500">
        <v>7919</v>
      </c>
      <c r="C500" t="b">
        <v>1</v>
      </c>
      <c r="D500">
        <v>8042</v>
      </c>
      <c r="E500">
        <v>8123</v>
      </c>
      <c r="F500">
        <v>8</v>
      </c>
      <c r="G500">
        <v>9.1999999999999993</v>
      </c>
      <c r="H500">
        <v>0.86956524999999996</v>
      </c>
      <c r="I500">
        <v>0.13043477000000001</v>
      </c>
      <c r="J500">
        <v>0.53488369999999996</v>
      </c>
    </row>
    <row r="501" spans="1:10" x14ac:dyDescent="0.3">
      <c r="A501">
        <v>499</v>
      </c>
      <c r="B501">
        <v>7935</v>
      </c>
      <c r="C501" t="b">
        <v>1</v>
      </c>
      <c r="D501">
        <v>8048</v>
      </c>
      <c r="E501">
        <v>8134</v>
      </c>
      <c r="F501">
        <v>8</v>
      </c>
      <c r="G501">
        <v>8.8000000000000007</v>
      </c>
      <c r="H501">
        <v>0.90909090000000004</v>
      </c>
      <c r="I501">
        <v>9.0909110000000001E-2</v>
      </c>
      <c r="J501">
        <v>0.52380954999999996</v>
      </c>
    </row>
    <row r="502" spans="1:10" x14ac:dyDescent="0.3">
      <c r="A502">
        <v>500</v>
      </c>
      <c r="B502">
        <v>7951</v>
      </c>
      <c r="C502" t="b">
        <v>1</v>
      </c>
      <c r="D502">
        <v>8048</v>
      </c>
      <c r="E502">
        <v>8134</v>
      </c>
      <c r="F502">
        <v>8</v>
      </c>
      <c r="G502">
        <v>8.8000000000000007</v>
      </c>
      <c r="H502">
        <v>0.90909090000000004</v>
      </c>
      <c r="I502">
        <v>9.0909110000000001E-2</v>
      </c>
      <c r="J502">
        <v>0.52380954999999996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62E5-6C21-4DEE-A949-D353122586BA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8087</v>
      </c>
      <c r="F2">
        <v>208</v>
      </c>
      <c r="G2">
        <v>172</v>
      </c>
      <c r="H2">
        <v>1.2093023000000001</v>
      </c>
      <c r="I2">
        <v>-0.20930231999999999</v>
      </c>
      <c r="J2">
        <v>0.45263160000000002</v>
      </c>
    </row>
    <row r="3" spans="1:10" x14ac:dyDescent="0.3">
      <c r="A3">
        <v>1</v>
      </c>
      <c r="B3">
        <v>29</v>
      </c>
      <c r="C3" t="b">
        <v>1</v>
      </c>
      <c r="D3">
        <v>8060</v>
      </c>
      <c r="E3">
        <v>8099</v>
      </c>
      <c r="F3">
        <v>214</v>
      </c>
      <c r="G3">
        <v>178</v>
      </c>
      <c r="H3">
        <v>1.2022470999999999</v>
      </c>
      <c r="I3">
        <v>-0.20224718999999999</v>
      </c>
      <c r="J3">
        <v>0.45408162000000002</v>
      </c>
    </row>
    <row r="4" spans="1:10" x14ac:dyDescent="0.3">
      <c r="A4">
        <v>2</v>
      </c>
      <c r="B4">
        <v>44</v>
      </c>
      <c r="C4" t="b">
        <v>1</v>
      </c>
      <c r="D4">
        <v>8060</v>
      </c>
      <c r="E4">
        <v>8117</v>
      </c>
      <c r="F4">
        <v>216</v>
      </c>
      <c r="G4">
        <v>180</v>
      </c>
      <c r="H4">
        <v>1.2</v>
      </c>
      <c r="I4">
        <v>-0.2</v>
      </c>
      <c r="J4">
        <v>0.45454547000000001</v>
      </c>
    </row>
    <row r="5" spans="1:10" x14ac:dyDescent="0.3">
      <c r="A5">
        <v>3</v>
      </c>
      <c r="B5">
        <v>76</v>
      </c>
      <c r="C5" t="b">
        <v>1</v>
      </c>
      <c r="D5">
        <v>8054</v>
      </c>
      <c r="E5">
        <v>8087</v>
      </c>
      <c r="F5">
        <v>217</v>
      </c>
      <c r="G5">
        <v>181</v>
      </c>
      <c r="H5">
        <v>1.198895</v>
      </c>
      <c r="I5">
        <v>-0.19889502000000001</v>
      </c>
      <c r="J5">
        <v>0.45477387000000002</v>
      </c>
    </row>
    <row r="6" spans="1:10" x14ac:dyDescent="0.3">
      <c r="A6">
        <v>4</v>
      </c>
      <c r="B6">
        <v>91</v>
      </c>
      <c r="C6" t="b">
        <v>1</v>
      </c>
      <c r="D6">
        <v>8060</v>
      </c>
      <c r="E6">
        <v>8099</v>
      </c>
      <c r="F6">
        <v>217.6</v>
      </c>
      <c r="G6">
        <v>181.6</v>
      </c>
      <c r="H6">
        <v>1.1982379000000001</v>
      </c>
      <c r="I6">
        <v>-0.19823788000000001</v>
      </c>
      <c r="J6">
        <v>0.45490983000000002</v>
      </c>
    </row>
    <row r="7" spans="1:10" x14ac:dyDescent="0.3">
      <c r="A7">
        <v>5</v>
      </c>
      <c r="B7">
        <v>107</v>
      </c>
      <c r="C7" t="b">
        <v>1</v>
      </c>
      <c r="D7">
        <v>8042</v>
      </c>
      <c r="E7">
        <v>8105</v>
      </c>
      <c r="F7">
        <v>218</v>
      </c>
      <c r="G7">
        <v>182</v>
      </c>
      <c r="H7">
        <v>1.1978021999999999</v>
      </c>
      <c r="I7">
        <v>-0.19780220000000001</v>
      </c>
      <c r="J7">
        <v>0.45500000000000002</v>
      </c>
    </row>
    <row r="8" spans="1:10" x14ac:dyDescent="0.3">
      <c r="A8">
        <v>6</v>
      </c>
      <c r="B8">
        <v>123</v>
      </c>
      <c r="C8" t="b">
        <v>1</v>
      </c>
      <c r="D8">
        <v>8065</v>
      </c>
      <c r="E8">
        <v>8111</v>
      </c>
      <c r="F8">
        <v>218.28572</v>
      </c>
      <c r="G8">
        <v>183.14285000000001</v>
      </c>
      <c r="H8">
        <v>1.1918877000000001</v>
      </c>
      <c r="I8">
        <v>-0.19188774</v>
      </c>
      <c r="J8">
        <v>0.45622772</v>
      </c>
    </row>
    <row r="9" spans="1:10" x14ac:dyDescent="0.3">
      <c r="A9">
        <v>7</v>
      </c>
      <c r="B9">
        <v>139</v>
      </c>
      <c r="C9" t="b">
        <v>1</v>
      </c>
      <c r="D9">
        <v>8071</v>
      </c>
      <c r="E9">
        <v>8123</v>
      </c>
      <c r="F9">
        <v>218.5</v>
      </c>
      <c r="G9">
        <v>184</v>
      </c>
      <c r="H9">
        <v>1.1875</v>
      </c>
      <c r="I9">
        <v>-0.1875</v>
      </c>
      <c r="J9">
        <v>0.45714285999999998</v>
      </c>
    </row>
    <row r="10" spans="1:10" x14ac:dyDescent="0.3">
      <c r="A10">
        <v>8</v>
      </c>
      <c r="B10">
        <v>154</v>
      </c>
      <c r="C10" t="b">
        <v>1</v>
      </c>
      <c r="D10">
        <v>8071</v>
      </c>
      <c r="E10">
        <v>8093</v>
      </c>
      <c r="F10">
        <v>219.22223</v>
      </c>
      <c r="G10">
        <v>184.66667000000001</v>
      </c>
      <c r="H10">
        <v>1.1871239</v>
      </c>
      <c r="I10">
        <v>-0.18712395000000001</v>
      </c>
      <c r="J10">
        <v>0.45722144999999997</v>
      </c>
    </row>
    <row r="11" spans="1:10" x14ac:dyDescent="0.3">
      <c r="A11">
        <v>9</v>
      </c>
      <c r="B11">
        <v>170</v>
      </c>
      <c r="C11" t="b">
        <v>1</v>
      </c>
      <c r="D11">
        <v>8065</v>
      </c>
      <c r="E11">
        <v>8117</v>
      </c>
      <c r="F11">
        <v>219.8</v>
      </c>
      <c r="G11">
        <v>185.8</v>
      </c>
      <c r="H11">
        <v>1.1829924999999999</v>
      </c>
      <c r="I11">
        <v>-0.18299246</v>
      </c>
      <c r="J11">
        <v>0.45808680000000002</v>
      </c>
    </row>
    <row r="12" spans="1:10" x14ac:dyDescent="0.3">
      <c r="A12">
        <v>10</v>
      </c>
      <c r="B12">
        <v>186</v>
      </c>
      <c r="C12" t="b">
        <v>1</v>
      </c>
      <c r="D12">
        <v>8048</v>
      </c>
      <c r="E12">
        <v>8129</v>
      </c>
      <c r="F12">
        <v>220.27271999999999</v>
      </c>
      <c r="G12">
        <v>187.27271999999999</v>
      </c>
      <c r="H12">
        <v>1.1762136000000001</v>
      </c>
      <c r="I12">
        <v>-0.17621359</v>
      </c>
      <c r="J12">
        <v>0.45951372000000001</v>
      </c>
    </row>
    <row r="13" spans="1:10" x14ac:dyDescent="0.3">
      <c r="A13">
        <v>11</v>
      </c>
      <c r="B13">
        <v>201</v>
      </c>
      <c r="C13" t="b">
        <v>1</v>
      </c>
      <c r="D13">
        <v>8065</v>
      </c>
      <c r="E13">
        <v>8105</v>
      </c>
      <c r="F13">
        <v>220.66667000000001</v>
      </c>
      <c r="G13">
        <v>188.5</v>
      </c>
      <c r="H13">
        <v>1.1706455</v>
      </c>
      <c r="I13">
        <v>-0.17064547999999999</v>
      </c>
      <c r="J13">
        <v>0.46069243999999998</v>
      </c>
    </row>
    <row r="14" spans="1:10" x14ac:dyDescent="0.3">
      <c r="A14">
        <v>12</v>
      </c>
      <c r="B14">
        <v>217</v>
      </c>
      <c r="C14" t="b">
        <v>1</v>
      </c>
      <c r="D14">
        <v>8065</v>
      </c>
      <c r="E14">
        <v>8111</v>
      </c>
      <c r="F14">
        <v>221</v>
      </c>
      <c r="G14">
        <v>189.07692</v>
      </c>
      <c r="H14">
        <v>1.1688365000000001</v>
      </c>
      <c r="I14">
        <v>-0.16883646999999999</v>
      </c>
      <c r="J14">
        <v>0.46107673999999998</v>
      </c>
    </row>
    <row r="15" spans="1:10" x14ac:dyDescent="0.3">
      <c r="A15">
        <v>13</v>
      </c>
      <c r="B15">
        <v>233</v>
      </c>
      <c r="C15" t="b">
        <v>1</v>
      </c>
      <c r="D15">
        <v>8060</v>
      </c>
      <c r="E15">
        <v>8105</v>
      </c>
      <c r="F15">
        <v>221.28572</v>
      </c>
      <c r="G15">
        <v>189.57142999999999</v>
      </c>
      <c r="H15">
        <v>1.1672947</v>
      </c>
      <c r="I15">
        <v>-0.16729469999999999</v>
      </c>
      <c r="J15">
        <v>0.4614047</v>
      </c>
    </row>
    <row r="16" spans="1:10" x14ac:dyDescent="0.3">
      <c r="A16">
        <v>14</v>
      </c>
      <c r="B16">
        <v>249</v>
      </c>
      <c r="C16" t="b">
        <v>1</v>
      </c>
      <c r="D16">
        <v>8054</v>
      </c>
      <c r="E16">
        <v>8105</v>
      </c>
      <c r="F16">
        <v>221.2</v>
      </c>
      <c r="G16">
        <v>189.6</v>
      </c>
      <c r="H16">
        <v>1.1666666000000001</v>
      </c>
      <c r="I16">
        <v>-0.16666660999999999</v>
      </c>
      <c r="J16">
        <v>0.46153850000000002</v>
      </c>
    </row>
    <row r="17" spans="1:10" x14ac:dyDescent="0.3">
      <c r="A17">
        <v>15</v>
      </c>
      <c r="B17">
        <v>265</v>
      </c>
      <c r="C17" t="b">
        <v>1</v>
      </c>
      <c r="D17">
        <v>8060</v>
      </c>
      <c r="E17">
        <v>8117</v>
      </c>
      <c r="F17">
        <v>222</v>
      </c>
      <c r="G17">
        <v>190.8</v>
      </c>
      <c r="H17">
        <v>1.1635219999999999</v>
      </c>
      <c r="I17">
        <v>-0.16352199000000001</v>
      </c>
      <c r="J17">
        <v>0.46220929999999999</v>
      </c>
    </row>
    <row r="18" spans="1:10" x14ac:dyDescent="0.3">
      <c r="A18">
        <v>16</v>
      </c>
      <c r="B18">
        <v>281</v>
      </c>
      <c r="C18" t="b">
        <v>1</v>
      </c>
      <c r="D18">
        <v>8042</v>
      </c>
      <c r="E18">
        <v>8117</v>
      </c>
      <c r="F18">
        <v>222</v>
      </c>
      <c r="G18">
        <v>191.6</v>
      </c>
      <c r="H18">
        <v>1.1586639000000001</v>
      </c>
      <c r="I18">
        <v>-0.15866384</v>
      </c>
      <c r="J18">
        <v>0.46324953000000002</v>
      </c>
    </row>
    <row r="19" spans="1:10" x14ac:dyDescent="0.3">
      <c r="A19">
        <v>17</v>
      </c>
      <c r="B19">
        <v>312</v>
      </c>
      <c r="C19" t="b">
        <v>1</v>
      </c>
      <c r="D19">
        <v>8083</v>
      </c>
      <c r="E19">
        <v>8099</v>
      </c>
      <c r="F19">
        <v>222</v>
      </c>
      <c r="G19">
        <v>192</v>
      </c>
      <c r="H19">
        <v>1.15625</v>
      </c>
      <c r="I19">
        <v>-0.15625</v>
      </c>
      <c r="J19">
        <v>0.46376812000000001</v>
      </c>
    </row>
    <row r="20" spans="1:10" x14ac:dyDescent="0.3">
      <c r="A20">
        <v>18</v>
      </c>
      <c r="B20">
        <v>327</v>
      </c>
      <c r="C20" t="b">
        <v>1</v>
      </c>
      <c r="D20">
        <v>8042</v>
      </c>
      <c r="E20">
        <v>8111</v>
      </c>
      <c r="F20">
        <v>221.6</v>
      </c>
      <c r="G20">
        <v>192.8</v>
      </c>
      <c r="H20">
        <v>1.1493776</v>
      </c>
      <c r="I20">
        <v>-0.14937760999999999</v>
      </c>
      <c r="J20">
        <v>0.46525094</v>
      </c>
    </row>
    <row r="21" spans="1:10" x14ac:dyDescent="0.3">
      <c r="A21">
        <v>19</v>
      </c>
      <c r="B21">
        <v>343</v>
      </c>
      <c r="C21" t="b">
        <v>1</v>
      </c>
      <c r="D21">
        <v>8042</v>
      </c>
      <c r="E21">
        <v>8117</v>
      </c>
      <c r="F21">
        <v>220.4</v>
      </c>
      <c r="G21">
        <v>194</v>
      </c>
      <c r="H21">
        <v>1.1360824</v>
      </c>
      <c r="I21">
        <v>-0.13608244</v>
      </c>
      <c r="J21">
        <v>0.46814670000000003</v>
      </c>
    </row>
    <row r="22" spans="1:10" x14ac:dyDescent="0.3">
      <c r="A22">
        <v>20</v>
      </c>
      <c r="B22">
        <v>375</v>
      </c>
      <c r="C22" t="b">
        <v>1</v>
      </c>
      <c r="D22">
        <v>8060</v>
      </c>
      <c r="E22">
        <v>8075</v>
      </c>
      <c r="F22">
        <v>219.2</v>
      </c>
      <c r="G22">
        <v>194.8</v>
      </c>
      <c r="H22">
        <v>1.1252567</v>
      </c>
      <c r="I22">
        <v>-0.12525664</v>
      </c>
      <c r="J22">
        <v>0.47053139999999999</v>
      </c>
    </row>
    <row r="23" spans="1:10" x14ac:dyDescent="0.3">
      <c r="A23">
        <v>21</v>
      </c>
      <c r="B23">
        <v>407</v>
      </c>
      <c r="C23" t="b">
        <v>1</v>
      </c>
      <c r="D23">
        <v>8060</v>
      </c>
      <c r="E23">
        <v>8105</v>
      </c>
      <c r="F23">
        <v>219.2</v>
      </c>
      <c r="G23">
        <v>194.8</v>
      </c>
      <c r="H23">
        <v>1.1252567</v>
      </c>
      <c r="I23">
        <v>-0.12525664</v>
      </c>
      <c r="J23">
        <v>0.47053139999999999</v>
      </c>
    </row>
    <row r="24" spans="1:10" x14ac:dyDescent="0.3">
      <c r="A24">
        <v>22</v>
      </c>
      <c r="B24">
        <v>423</v>
      </c>
      <c r="C24" t="b">
        <v>1</v>
      </c>
      <c r="D24">
        <v>8060</v>
      </c>
      <c r="E24">
        <v>8093</v>
      </c>
      <c r="F24">
        <v>219.2</v>
      </c>
      <c r="G24">
        <v>194.8</v>
      </c>
      <c r="H24">
        <v>1.1252567</v>
      </c>
      <c r="I24">
        <v>-0.12525664</v>
      </c>
      <c r="J24">
        <v>0.47053139999999999</v>
      </c>
    </row>
    <row r="25" spans="1:10" x14ac:dyDescent="0.3">
      <c r="A25">
        <v>23</v>
      </c>
      <c r="B25">
        <v>455</v>
      </c>
      <c r="C25" t="b">
        <v>1</v>
      </c>
      <c r="D25">
        <v>8060</v>
      </c>
      <c r="E25">
        <v>8123</v>
      </c>
      <c r="F25">
        <v>218.86667</v>
      </c>
      <c r="G25">
        <v>194.8</v>
      </c>
      <c r="H25">
        <v>1.1235455000000001</v>
      </c>
      <c r="I25">
        <v>-0.12354551</v>
      </c>
      <c r="J25">
        <v>0.47091054999999998</v>
      </c>
    </row>
    <row r="26" spans="1:10" x14ac:dyDescent="0.3">
      <c r="A26">
        <v>24</v>
      </c>
      <c r="B26">
        <v>471</v>
      </c>
      <c r="C26" t="b">
        <v>1</v>
      </c>
      <c r="D26">
        <v>8054</v>
      </c>
      <c r="E26">
        <v>8099</v>
      </c>
      <c r="F26">
        <v>218.53334000000001</v>
      </c>
      <c r="G26">
        <v>194</v>
      </c>
      <c r="H26">
        <v>1.1264605999999999</v>
      </c>
      <c r="I26">
        <v>-0.12646051999999999</v>
      </c>
      <c r="J26">
        <v>0.47026502999999997</v>
      </c>
    </row>
    <row r="27" spans="1:10" x14ac:dyDescent="0.3">
      <c r="A27">
        <v>25</v>
      </c>
      <c r="B27">
        <v>487</v>
      </c>
      <c r="C27" t="b">
        <v>1</v>
      </c>
      <c r="D27">
        <v>8048</v>
      </c>
      <c r="E27">
        <v>8075</v>
      </c>
      <c r="F27">
        <v>218.2</v>
      </c>
      <c r="G27">
        <v>192.8</v>
      </c>
      <c r="H27">
        <v>1.1317427</v>
      </c>
      <c r="I27">
        <v>-0.13174269999999999</v>
      </c>
      <c r="J27">
        <v>0.46909975999999998</v>
      </c>
    </row>
    <row r="28" spans="1:10" x14ac:dyDescent="0.3">
      <c r="A28">
        <v>26</v>
      </c>
      <c r="B28">
        <v>503</v>
      </c>
      <c r="C28" t="b">
        <v>1</v>
      </c>
      <c r="D28">
        <v>8071</v>
      </c>
      <c r="E28">
        <v>8105</v>
      </c>
      <c r="F28">
        <v>217.86667</v>
      </c>
      <c r="G28">
        <v>191.6</v>
      </c>
      <c r="H28">
        <v>1.1370912</v>
      </c>
      <c r="I28">
        <v>-0.13709113000000001</v>
      </c>
      <c r="J28">
        <v>0.46792576000000002</v>
      </c>
    </row>
    <row r="29" spans="1:10" x14ac:dyDescent="0.3">
      <c r="A29">
        <v>27</v>
      </c>
      <c r="B29">
        <v>519</v>
      </c>
      <c r="C29" t="b">
        <v>1</v>
      </c>
      <c r="D29">
        <v>8065</v>
      </c>
      <c r="E29">
        <v>8105</v>
      </c>
      <c r="F29">
        <v>217.53334000000001</v>
      </c>
      <c r="G29">
        <v>191.2</v>
      </c>
      <c r="H29">
        <v>1.1377267</v>
      </c>
      <c r="I29">
        <v>-0.13772670000000001</v>
      </c>
      <c r="J29">
        <v>0.46778663999999998</v>
      </c>
    </row>
    <row r="30" spans="1:10" x14ac:dyDescent="0.3">
      <c r="A30">
        <v>28</v>
      </c>
      <c r="B30">
        <v>535</v>
      </c>
      <c r="C30" t="b">
        <v>1</v>
      </c>
      <c r="D30">
        <v>8060</v>
      </c>
      <c r="E30">
        <v>8087</v>
      </c>
      <c r="F30">
        <v>217.2</v>
      </c>
      <c r="G30">
        <v>190.4</v>
      </c>
      <c r="H30">
        <v>1.1407563999999999</v>
      </c>
      <c r="I30">
        <v>-0.14075631999999999</v>
      </c>
      <c r="J30">
        <v>0.46712463999999998</v>
      </c>
    </row>
    <row r="31" spans="1:10" x14ac:dyDescent="0.3">
      <c r="A31">
        <v>29</v>
      </c>
      <c r="B31">
        <v>565</v>
      </c>
      <c r="C31" t="b">
        <v>1</v>
      </c>
      <c r="D31">
        <v>8060</v>
      </c>
      <c r="E31">
        <v>8105</v>
      </c>
      <c r="F31">
        <v>217.2</v>
      </c>
      <c r="G31">
        <v>190.4</v>
      </c>
      <c r="H31">
        <v>1.1407563999999999</v>
      </c>
      <c r="I31">
        <v>-0.14075631999999999</v>
      </c>
      <c r="J31">
        <v>0.46712463999999998</v>
      </c>
    </row>
    <row r="32" spans="1:10" x14ac:dyDescent="0.3">
      <c r="A32">
        <v>30</v>
      </c>
      <c r="B32">
        <v>596</v>
      </c>
      <c r="C32" t="b">
        <v>1</v>
      </c>
      <c r="D32">
        <v>8060</v>
      </c>
      <c r="E32">
        <v>8111</v>
      </c>
      <c r="F32">
        <v>217.2</v>
      </c>
      <c r="G32">
        <v>190.4</v>
      </c>
      <c r="H32">
        <v>1.1407563999999999</v>
      </c>
      <c r="I32">
        <v>-0.14075631999999999</v>
      </c>
      <c r="J32">
        <v>0.46712463999999998</v>
      </c>
    </row>
    <row r="33" spans="1:10" x14ac:dyDescent="0.3">
      <c r="A33">
        <v>31</v>
      </c>
      <c r="B33">
        <v>627</v>
      </c>
      <c r="C33" t="b">
        <v>1</v>
      </c>
      <c r="D33">
        <v>8054</v>
      </c>
      <c r="E33">
        <v>8111</v>
      </c>
      <c r="F33">
        <v>217.2</v>
      </c>
      <c r="G33">
        <v>190</v>
      </c>
      <c r="H33">
        <v>1.1431578</v>
      </c>
      <c r="I33">
        <v>-0.14315787999999999</v>
      </c>
      <c r="J33">
        <v>0.46660116000000001</v>
      </c>
    </row>
    <row r="34" spans="1:10" x14ac:dyDescent="0.3">
      <c r="A34">
        <v>32</v>
      </c>
      <c r="B34">
        <v>659</v>
      </c>
      <c r="C34" t="b">
        <v>1</v>
      </c>
      <c r="D34">
        <v>8048</v>
      </c>
      <c r="E34">
        <v>8099</v>
      </c>
      <c r="F34">
        <v>217.2</v>
      </c>
      <c r="G34">
        <v>190</v>
      </c>
      <c r="H34">
        <v>1.1431578</v>
      </c>
      <c r="I34">
        <v>-0.14315787999999999</v>
      </c>
      <c r="J34">
        <v>0.46660116000000001</v>
      </c>
    </row>
    <row r="35" spans="1:10" x14ac:dyDescent="0.3">
      <c r="A35">
        <v>33</v>
      </c>
      <c r="B35">
        <v>691</v>
      </c>
      <c r="C35" t="b">
        <v>1</v>
      </c>
      <c r="D35">
        <v>8042</v>
      </c>
      <c r="E35">
        <v>8111</v>
      </c>
      <c r="F35">
        <v>217.2</v>
      </c>
      <c r="G35">
        <v>190</v>
      </c>
      <c r="H35">
        <v>1.1431578</v>
      </c>
      <c r="I35">
        <v>-0.14315787999999999</v>
      </c>
      <c r="J35">
        <v>0.46660116000000001</v>
      </c>
    </row>
    <row r="36" spans="1:10" x14ac:dyDescent="0.3">
      <c r="A36">
        <v>34</v>
      </c>
      <c r="B36">
        <v>722</v>
      </c>
      <c r="C36" t="b">
        <v>1</v>
      </c>
      <c r="D36">
        <v>8054</v>
      </c>
      <c r="E36">
        <v>8099</v>
      </c>
      <c r="F36">
        <v>218</v>
      </c>
      <c r="G36">
        <v>189.6</v>
      </c>
      <c r="H36">
        <v>1.1497889999999999</v>
      </c>
      <c r="I36">
        <v>-0.14978899000000001</v>
      </c>
      <c r="J36">
        <v>0.46516192000000001</v>
      </c>
    </row>
    <row r="37" spans="1:10" x14ac:dyDescent="0.3">
      <c r="A37">
        <v>35</v>
      </c>
      <c r="B37">
        <v>738</v>
      </c>
      <c r="C37" t="b">
        <v>1</v>
      </c>
      <c r="D37">
        <v>8060</v>
      </c>
      <c r="E37">
        <v>8093</v>
      </c>
      <c r="F37">
        <v>218.8</v>
      </c>
      <c r="G37">
        <v>188.8</v>
      </c>
      <c r="H37">
        <v>1.1588984</v>
      </c>
      <c r="I37">
        <v>-0.15889830999999999</v>
      </c>
      <c r="J37">
        <v>0.46319923000000002</v>
      </c>
    </row>
    <row r="38" spans="1:10" x14ac:dyDescent="0.3">
      <c r="A38">
        <v>36</v>
      </c>
      <c r="B38">
        <v>753</v>
      </c>
      <c r="C38" t="b">
        <v>1</v>
      </c>
      <c r="D38">
        <v>8048</v>
      </c>
      <c r="E38">
        <v>8099</v>
      </c>
      <c r="F38">
        <v>218</v>
      </c>
      <c r="G38">
        <v>188.4</v>
      </c>
      <c r="H38">
        <v>1.1571126</v>
      </c>
      <c r="I38">
        <v>-0.15711257000000001</v>
      </c>
      <c r="J38">
        <v>0.46358265999999998</v>
      </c>
    </row>
    <row r="39" spans="1:10" x14ac:dyDescent="0.3">
      <c r="A39">
        <v>37</v>
      </c>
      <c r="B39">
        <v>769</v>
      </c>
      <c r="C39" t="b">
        <v>1</v>
      </c>
      <c r="D39">
        <v>8037</v>
      </c>
      <c r="E39">
        <v>8129</v>
      </c>
      <c r="F39">
        <v>217.2</v>
      </c>
      <c r="G39">
        <v>188</v>
      </c>
      <c r="H39">
        <v>1.1553191</v>
      </c>
      <c r="I39">
        <v>-0.15531913999999999</v>
      </c>
      <c r="J39">
        <v>0.4639684</v>
      </c>
    </row>
    <row r="40" spans="1:10" x14ac:dyDescent="0.3">
      <c r="A40">
        <v>38</v>
      </c>
      <c r="B40">
        <v>801</v>
      </c>
      <c r="C40" t="b">
        <v>1</v>
      </c>
      <c r="D40">
        <v>8065</v>
      </c>
      <c r="E40">
        <v>8099</v>
      </c>
      <c r="F40">
        <v>216.8</v>
      </c>
      <c r="G40">
        <v>187.6</v>
      </c>
      <c r="H40">
        <v>1.1556503</v>
      </c>
      <c r="I40">
        <v>-0.15565029999999999</v>
      </c>
      <c r="J40">
        <v>0.46389710000000001</v>
      </c>
    </row>
    <row r="41" spans="1:10" x14ac:dyDescent="0.3">
      <c r="A41">
        <v>39</v>
      </c>
      <c r="B41">
        <v>817</v>
      </c>
      <c r="C41" t="b">
        <v>1</v>
      </c>
      <c r="D41">
        <v>8071</v>
      </c>
      <c r="E41">
        <v>8093</v>
      </c>
      <c r="F41">
        <v>216.8</v>
      </c>
      <c r="G41">
        <v>187.6</v>
      </c>
      <c r="H41">
        <v>1.1556503</v>
      </c>
      <c r="I41">
        <v>-0.15565029999999999</v>
      </c>
      <c r="J41">
        <v>0.46389710000000001</v>
      </c>
    </row>
    <row r="42" spans="1:10" x14ac:dyDescent="0.3">
      <c r="A42">
        <v>40</v>
      </c>
      <c r="B42">
        <v>832</v>
      </c>
      <c r="C42" t="b">
        <v>1</v>
      </c>
      <c r="D42">
        <v>8037</v>
      </c>
      <c r="E42">
        <v>8129</v>
      </c>
      <c r="F42">
        <v>216</v>
      </c>
      <c r="G42">
        <v>187.6</v>
      </c>
      <c r="H42">
        <v>1.1513859</v>
      </c>
      <c r="I42">
        <v>-0.15138589</v>
      </c>
      <c r="J42">
        <v>0.46481665999999999</v>
      </c>
    </row>
    <row r="43" spans="1:10" x14ac:dyDescent="0.3">
      <c r="A43">
        <v>41</v>
      </c>
      <c r="B43">
        <v>849</v>
      </c>
      <c r="C43" t="b">
        <v>1</v>
      </c>
      <c r="D43">
        <v>8054</v>
      </c>
      <c r="E43">
        <v>8105</v>
      </c>
      <c r="F43">
        <v>215.6</v>
      </c>
      <c r="G43">
        <v>188</v>
      </c>
      <c r="H43">
        <v>1.1468084999999999</v>
      </c>
      <c r="I43">
        <v>-0.14680855000000001</v>
      </c>
      <c r="J43">
        <v>0.46580774000000003</v>
      </c>
    </row>
    <row r="44" spans="1:10" x14ac:dyDescent="0.3">
      <c r="A44">
        <v>42</v>
      </c>
      <c r="B44">
        <v>864</v>
      </c>
      <c r="C44" t="b">
        <v>1</v>
      </c>
      <c r="D44">
        <v>8071</v>
      </c>
      <c r="E44">
        <v>8099</v>
      </c>
      <c r="F44">
        <v>215.93333000000001</v>
      </c>
      <c r="G44">
        <v>187.6</v>
      </c>
      <c r="H44">
        <v>1.1510305000000001</v>
      </c>
      <c r="I44">
        <v>-0.15103053</v>
      </c>
      <c r="J44">
        <v>0.46489345999999998</v>
      </c>
    </row>
    <row r="45" spans="1:10" x14ac:dyDescent="0.3">
      <c r="A45">
        <v>43</v>
      </c>
      <c r="B45">
        <v>896</v>
      </c>
      <c r="C45" t="b">
        <v>1</v>
      </c>
      <c r="D45">
        <v>8071</v>
      </c>
      <c r="E45">
        <v>8117</v>
      </c>
      <c r="F45">
        <v>216.66667000000001</v>
      </c>
      <c r="G45">
        <v>188</v>
      </c>
      <c r="H45">
        <v>1.1524823</v>
      </c>
      <c r="I45">
        <v>-0.15248229999999999</v>
      </c>
      <c r="J45">
        <v>0.46457988</v>
      </c>
    </row>
    <row r="46" spans="1:10" x14ac:dyDescent="0.3">
      <c r="A46">
        <v>44</v>
      </c>
      <c r="B46">
        <v>912</v>
      </c>
      <c r="C46" t="b">
        <v>1</v>
      </c>
      <c r="D46">
        <v>8065</v>
      </c>
      <c r="E46">
        <v>8105</v>
      </c>
      <c r="F46">
        <v>217</v>
      </c>
      <c r="G46">
        <v>188</v>
      </c>
      <c r="H46">
        <v>1.1542553</v>
      </c>
      <c r="I46">
        <v>-0.15425532</v>
      </c>
      <c r="J46">
        <v>0.46419751999999997</v>
      </c>
    </row>
    <row r="47" spans="1:10" x14ac:dyDescent="0.3">
      <c r="A47">
        <v>45</v>
      </c>
      <c r="B47">
        <v>942</v>
      </c>
      <c r="C47" t="b">
        <v>1</v>
      </c>
      <c r="D47">
        <v>8065</v>
      </c>
      <c r="E47">
        <v>8111</v>
      </c>
      <c r="F47">
        <v>217.33332999999999</v>
      </c>
      <c r="G47">
        <v>188</v>
      </c>
      <c r="H47">
        <v>1.1560284000000001</v>
      </c>
      <c r="I47">
        <v>-0.15602835000000001</v>
      </c>
      <c r="J47">
        <v>0.4638158</v>
      </c>
    </row>
    <row r="48" spans="1:10" x14ac:dyDescent="0.3">
      <c r="A48">
        <v>46</v>
      </c>
      <c r="B48">
        <v>974</v>
      </c>
      <c r="C48" t="b">
        <v>1</v>
      </c>
      <c r="D48">
        <v>8054</v>
      </c>
      <c r="E48">
        <v>8111</v>
      </c>
      <c r="F48">
        <v>217.66667000000001</v>
      </c>
      <c r="G48">
        <v>188.4</v>
      </c>
      <c r="H48">
        <v>1.1553433</v>
      </c>
      <c r="I48">
        <v>-0.15534331000000001</v>
      </c>
      <c r="J48">
        <v>0.46396324</v>
      </c>
    </row>
    <row r="49" spans="1:10" x14ac:dyDescent="0.3">
      <c r="A49">
        <v>47</v>
      </c>
      <c r="B49">
        <v>990</v>
      </c>
      <c r="C49" t="b">
        <v>1</v>
      </c>
      <c r="D49">
        <v>8037</v>
      </c>
      <c r="E49">
        <v>8099</v>
      </c>
      <c r="F49">
        <v>218</v>
      </c>
      <c r="G49">
        <v>188.8</v>
      </c>
      <c r="H49">
        <v>1.1546609000000001</v>
      </c>
      <c r="I49">
        <v>-0.15466099999999999</v>
      </c>
      <c r="J49">
        <v>0.46411014</v>
      </c>
    </row>
    <row r="50" spans="1:10" x14ac:dyDescent="0.3">
      <c r="A50">
        <v>48</v>
      </c>
      <c r="B50">
        <v>1005</v>
      </c>
      <c r="C50" t="b">
        <v>1</v>
      </c>
      <c r="D50">
        <v>8048</v>
      </c>
      <c r="E50">
        <v>8117</v>
      </c>
      <c r="F50">
        <v>218</v>
      </c>
      <c r="G50">
        <v>188.8</v>
      </c>
      <c r="H50">
        <v>1.1546609000000001</v>
      </c>
      <c r="I50">
        <v>-0.15466099999999999</v>
      </c>
      <c r="J50">
        <v>0.46411014</v>
      </c>
    </row>
    <row r="51" spans="1:10" x14ac:dyDescent="0.3">
      <c r="A51">
        <v>49</v>
      </c>
      <c r="B51">
        <v>1021</v>
      </c>
      <c r="C51" t="b">
        <v>1</v>
      </c>
      <c r="D51">
        <v>8071</v>
      </c>
      <c r="E51">
        <v>8117</v>
      </c>
      <c r="F51">
        <v>218</v>
      </c>
      <c r="G51">
        <v>188.8</v>
      </c>
      <c r="H51">
        <v>1.1546609000000001</v>
      </c>
      <c r="I51">
        <v>-0.15466099999999999</v>
      </c>
      <c r="J51">
        <v>0.46411014</v>
      </c>
    </row>
    <row r="52" spans="1:10" x14ac:dyDescent="0.3">
      <c r="A52">
        <v>50</v>
      </c>
      <c r="B52">
        <v>1037</v>
      </c>
      <c r="C52" t="b">
        <v>1</v>
      </c>
      <c r="D52">
        <v>8065</v>
      </c>
      <c r="E52">
        <v>8105</v>
      </c>
      <c r="F52">
        <v>218</v>
      </c>
      <c r="G52">
        <v>189.6</v>
      </c>
      <c r="H52">
        <v>1.1497889999999999</v>
      </c>
      <c r="I52">
        <v>-0.14978899000000001</v>
      </c>
      <c r="J52">
        <v>0.46516192000000001</v>
      </c>
    </row>
    <row r="53" spans="1:10" x14ac:dyDescent="0.3">
      <c r="A53">
        <v>51</v>
      </c>
      <c r="B53">
        <v>1068</v>
      </c>
      <c r="C53" t="b">
        <v>1</v>
      </c>
      <c r="D53">
        <v>8042</v>
      </c>
      <c r="E53">
        <v>8111</v>
      </c>
      <c r="F53">
        <v>218</v>
      </c>
      <c r="G53">
        <v>190.4</v>
      </c>
      <c r="H53">
        <v>1.1449579999999999</v>
      </c>
      <c r="I53">
        <v>-0.14495801999999999</v>
      </c>
      <c r="J53">
        <v>0.4662096</v>
      </c>
    </row>
    <row r="54" spans="1:10" x14ac:dyDescent="0.3">
      <c r="A54">
        <v>52</v>
      </c>
      <c r="B54">
        <v>1084</v>
      </c>
      <c r="C54" t="b">
        <v>1</v>
      </c>
      <c r="D54">
        <v>8030</v>
      </c>
      <c r="E54">
        <v>8111</v>
      </c>
      <c r="F54">
        <v>218</v>
      </c>
      <c r="G54">
        <v>191.2</v>
      </c>
      <c r="H54">
        <v>1.1401673999999999</v>
      </c>
      <c r="I54">
        <v>-0.14016739</v>
      </c>
      <c r="J54">
        <v>0.46725315000000001</v>
      </c>
    </row>
    <row r="55" spans="1:10" x14ac:dyDescent="0.3">
      <c r="A55">
        <v>53</v>
      </c>
      <c r="B55">
        <v>1100</v>
      </c>
      <c r="C55" t="b">
        <v>1</v>
      </c>
      <c r="D55">
        <v>8077</v>
      </c>
      <c r="E55">
        <v>8140</v>
      </c>
      <c r="F55">
        <v>218.73334</v>
      </c>
      <c r="G55">
        <v>192</v>
      </c>
      <c r="H55">
        <v>1.1392361</v>
      </c>
      <c r="I55">
        <v>-0.13923614000000001</v>
      </c>
      <c r="J55">
        <v>0.46745658000000001</v>
      </c>
    </row>
    <row r="56" spans="1:10" x14ac:dyDescent="0.3">
      <c r="A56">
        <v>54</v>
      </c>
      <c r="B56">
        <v>1116</v>
      </c>
      <c r="C56" t="b">
        <v>1</v>
      </c>
      <c r="D56">
        <v>8054</v>
      </c>
      <c r="E56">
        <v>8134</v>
      </c>
      <c r="F56">
        <v>218.33332999999999</v>
      </c>
      <c r="G56">
        <v>192.8</v>
      </c>
      <c r="H56">
        <v>1.1324342000000001</v>
      </c>
      <c r="I56">
        <v>-0.13243426</v>
      </c>
      <c r="J56">
        <v>0.46894764999999999</v>
      </c>
    </row>
    <row r="57" spans="1:10" x14ac:dyDescent="0.3">
      <c r="A57">
        <v>55</v>
      </c>
      <c r="B57">
        <v>1132</v>
      </c>
      <c r="C57" t="b">
        <v>1</v>
      </c>
      <c r="D57">
        <v>8060</v>
      </c>
      <c r="E57">
        <v>8117</v>
      </c>
      <c r="F57">
        <v>218.73334</v>
      </c>
      <c r="G57">
        <v>194</v>
      </c>
      <c r="H57">
        <v>1.1274915000000001</v>
      </c>
      <c r="I57">
        <v>-0.12749142999999999</v>
      </c>
      <c r="J57">
        <v>0.47003713000000003</v>
      </c>
    </row>
    <row r="58" spans="1:10" x14ac:dyDescent="0.3">
      <c r="A58">
        <v>56</v>
      </c>
      <c r="B58">
        <v>1148</v>
      </c>
      <c r="C58" t="b">
        <v>1</v>
      </c>
      <c r="D58">
        <v>8060</v>
      </c>
      <c r="E58">
        <v>8140</v>
      </c>
      <c r="F58">
        <v>219.13333</v>
      </c>
      <c r="G58">
        <v>195.93333000000001</v>
      </c>
      <c r="H58">
        <v>1.1184076000000001</v>
      </c>
      <c r="I58">
        <v>-0.11840761</v>
      </c>
      <c r="J58">
        <v>0.47205269999999999</v>
      </c>
    </row>
    <row r="59" spans="1:10" x14ac:dyDescent="0.3">
      <c r="A59">
        <v>57</v>
      </c>
      <c r="B59">
        <v>1180</v>
      </c>
      <c r="C59" t="b">
        <v>1</v>
      </c>
      <c r="D59">
        <v>8065</v>
      </c>
      <c r="E59">
        <v>8105</v>
      </c>
      <c r="F59">
        <v>218.8</v>
      </c>
      <c r="G59">
        <v>198.26666</v>
      </c>
      <c r="H59">
        <v>1.1035642999999999</v>
      </c>
      <c r="I59">
        <v>-0.10356426000000001</v>
      </c>
      <c r="J59">
        <v>0.47538364</v>
      </c>
    </row>
    <row r="60" spans="1:10" x14ac:dyDescent="0.3">
      <c r="A60">
        <v>58</v>
      </c>
      <c r="B60">
        <v>1212</v>
      </c>
      <c r="C60" t="b">
        <v>1</v>
      </c>
      <c r="D60">
        <v>8060</v>
      </c>
      <c r="E60">
        <v>8087</v>
      </c>
      <c r="F60">
        <v>218.06666999999999</v>
      </c>
      <c r="G60">
        <v>199.06666999999999</v>
      </c>
      <c r="H60">
        <v>1.0954454</v>
      </c>
      <c r="I60">
        <v>-9.5445409999999994E-2</v>
      </c>
      <c r="J60">
        <v>0.47722550000000002</v>
      </c>
    </row>
    <row r="61" spans="1:10" x14ac:dyDescent="0.3">
      <c r="A61">
        <v>59</v>
      </c>
      <c r="B61">
        <v>1228</v>
      </c>
      <c r="C61" t="b">
        <v>1</v>
      </c>
      <c r="D61">
        <v>8060</v>
      </c>
      <c r="E61">
        <v>8099</v>
      </c>
      <c r="F61">
        <v>217.73334</v>
      </c>
      <c r="G61">
        <v>199.06666999999999</v>
      </c>
      <c r="H61">
        <v>1.093771</v>
      </c>
      <c r="I61">
        <v>-9.377096E-2</v>
      </c>
      <c r="J61">
        <v>0.47760720000000001</v>
      </c>
    </row>
    <row r="62" spans="1:10" x14ac:dyDescent="0.3">
      <c r="A62">
        <v>60</v>
      </c>
      <c r="B62">
        <v>1259</v>
      </c>
      <c r="C62" t="b">
        <v>1</v>
      </c>
      <c r="D62">
        <v>8060</v>
      </c>
      <c r="E62">
        <v>8105</v>
      </c>
      <c r="F62">
        <v>217.4</v>
      </c>
      <c r="G62">
        <v>199.06666999999999</v>
      </c>
      <c r="H62">
        <v>1.0920964</v>
      </c>
      <c r="I62">
        <v>-9.2096425999999995E-2</v>
      </c>
      <c r="J62">
        <v>0.47798943999999999</v>
      </c>
    </row>
    <row r="63" spans="1:10" x14ac:dyDescent="0.3">
      <c r="A63">
        <v>61</v>
      </c>
      <c r="B63">
        <v>1291</v>
      </c>
      <c r="C63" t="b">
        <v>1</v>
      </c>
      <c r="D63">
        <v>8048</v>
      </c>
      <c r="E63">
        <v>8105</v>
      </c>
      <c r="F63">
        <v>217.06666999999999</v>
      </c>
      <c r="G63">
        <v>198.66667000000001</v>
      </c>
      <c r="H63">
        <v>1.0926174</v>
      </c>
      <c r="I63">
        <v>-9.2617414999999995E-2</v>
      </c>
      <c r="J63">
        <v>0.47787043000000001</v>
      </c>
    </row>
    <row r="64" spans="1:10" x14ac:dyDescent="0.3">
      <c r="A64">
        <v>62</v>
      </c>
      <c r="B64">
        <v>1307</v>
      </c>
      <c r="C64" t="b">
        <v>1</v>
      </c>
      <c r="D64">
        <v>8037</v>
      </c>
      <c r="E64">
        <v>8099</v>
      </c>
      <c r="F64">
        <v>216.73334</v>
      </c>
      <c r="G64">
        <v>197.86667</v>
      </c>
      <c r="H64">
        <v>1.0953504000000001</v>
      </c>
      <c r="I64">
        <v>-9.5350414999999994E-2</v>
      </c>
      <c r="J64">
        <v>0.47724715000000001</v>
      </c>
    </row>
    <row r="65" spans="1:10" x14ac:dyDescent="0.3">
      <c r="A65">
        <v>63</v>
      </c>
      <c r="B65">
        <v>1323</v>
      </c>
      <c r="C65" t="b">
        <v>1</v>
      </c>
      <c r="D65">
        <v>8083</v>
      </c>
      <c r="E65">
        <v>8111</v>
      </c>
      <c r="F65">
        <v>217.13333</v>
      </c>
      <c r="G65">
        <v>197.46665999999999</v>
      </c>
      <c r="H65">
        <v>1.0995950000000001</v>
      </c>
      <c r="I65">
        <v>-9.95949E-2</v>
      </c>
      <c r="J65">
        <v>0.47628236000000002</v>
      </c>
    </row>
    <row r="66" spans="1:10" x14ac:dyDescent="0.3">
      <c r="A66">
        <v>64</v>
      </c>
      <c r="B66">
        <v>1354</v>
      </c>
      <c r="C66" t="b">
        <v>1</v>
      </c>
      <c r="D66">
        <v>8065</v>
      </c>
      <c r="E66">
        <v>8111</v>
      </c>
      <c r="F66">
        <v>217.53334000000001</v>
      </c>
      <c r="G66">
        <v>197.06666999999999</v>
      </c>
      <c r="H66">
        <v>1.1038566000000001</v>
      </c>
      <c r="I66">
        <v>-0.10385661</v>
      </c>
      <c r="J66">
        <v>0.47531757000000002</v>
      </c>
    </row>
    <row r="67" spans="1:10" x14ac:dyDescent="0.3">
      <c r="A67">
        <v>65</v>
      </c>
      <c r="B67">
        <v>1370</v>
      </c>
      <c r="C67" t="b">
        <v>1</v>
      </c>
      <c r="D67">
        <v>8060</v>
      </c>
      <c r="E67">
        <v>8099</v>
      </c>
      <c r="F67">
        <v>217.93333000000001</v>
      </c>
      <c r="G67">
        <v>196.66667000000001</v>
      </c>
      <c r="H67">
        <v>1.1081356</v>
      </c>
      <c r="I67">
        <v>-0.108135566</v>
      </c>
      <c r="J67">
        <v>0.47435280000000002</v>
      </c>
    </row>
    <row r="68" spans="1:10" x14ac:dyDescent="0.3">
      <c r="A68">
        <v>66</v>
      </c>
      <c r="B68">
        <v>1385</v>
      </c>
      <c r="C68" t="b">
        <v>1</v>
      </c>
      <c r="D68">
        <v>8077</v>
      </c>
      <c r="E68">
        <v>8081</v>
      </c>
      <c r="F68">
        <v>219.06666999999999</v>
      </c>
      <c r="G68">
        <v>195.86667</v>
      </c>
      <c r="H68">
        <v>1.1184479000000001</v>
      </c>
      <c r="I68">
        <v>-0.11844791</v>
      </c>
      <c r="J68">
        <v>0.47204370000000001</v>
      </c>
    </row>
    <row r="69" spans="1:10" x14ac:dyDescent="0.3">
      <c r="A69">
        <v>67</v>
      </c>
      <c r="B69">
        <v>1401</v>
      </c>
      <c r="C69" t="b">
        <v>1</v>
      </c>
      <c r="D69">
        <v>8060</v>
      </c>
      <c r="E69">
        <v>8093</v>
      </c>
      <c r="F69">
        <v>220.2</v>
      </c>
      <c r="G69">
        <v>195.06666999999999</v>
      </c>
      <c r="H69">
        <v>1.1288449</v>
      </c>
      <c r="I69">
        <v>-0.12884482999999999</v>
      </c>
      <c r="J69">
        <v>0.46973832999999998</v>
      </c>
    </row>
    <row r="70" spans="1:10" x14ac:dyDescent="0.3">
      <c r="A70">
        <v>68</v>
      </c>
      <c r="B70">
        <v>1417</v>
      </c>
      <c r="C70" t="b">
        <v>1</v>
      </c>
      <c r="D70">
        <v>8060</v>
      </c>
      <c r="E70">
        <v>8105</v>
      </c>
      <c r="F70">
        <v>219.86667</v>
      </c>
      <c r="G70">
        <v>194.26666</v>
      </c>
      <c r="H70">
        <v>1.1317775999999999</v>
      </c>
      <c r="I70">
        <v>-0.13177765999999999</v>
      </c>
      <c r="J70">
        <v>0.46909207000000003</v>
      </c>
    </row>
    <row r="71" spans="1:10" x14ac:dyDescent="0.3">
      <c r="A71">
        <v>69</v>
      </c>
      <c r="B71">
        <v>1433</v>
      </c>
      <c r="C71" t="b">
        <v>1</v>
      </c>
      <c r="D71">
        <v>8042</v>
      </c>
      <c r="E71">
        <v>8087</v>
      </c>
      <c r="F71">
        <v>220.26666</v>
      </c>
      <c r="G71">
        <v>193.06666999999999</v>
      </c>
      <c r="H71">
        <v>1.1408839</v>
      </c>
      <c r="I71">
        <v>-0.14088397</v>
      </c>
      <c r="J71">
        <v>0.46709679999999998</v>
      </c>
    </row>
    <row r="72" spans="1:10" x14ac:dyDescent="0.3">
      <c r="A72">
        <v>70</v>
      </c>
      <c r="B72">
        <v>1449</v>
      </c>
      <c r="C72" t="b">
        <v>1</v>
      </c>
      <c r="D72">
        <v>8054</v>
      </c>
      <c r="E72">
        <v>8123</v>
      </c>
      <c r="F72">
        <v>220.66667000000001</v>
      </c>
      <c r="G72">
        <v>191.46665999999999</v>
      </c>
      <c r="H72">
        <v>1.1525071</v>
      </c>
      <c r="I72">
        <v>-0.15250704000000001</v>
      </c>
      <c r="J72">
        <v>0.46457454999999998</v>
      </c>
    </row>
    <row r="73" spans="1:10" x14ac:dyDescent="0.3">
      <c r="A73">
        <v>71</v>
      </c>
      <c r="B73">
        <v>1464</v>
      </c>
      <c r="C73" t="b">
        <v>1</v>
      </c>
      <c r="D73">
        <v>8065</v>
      </c>
      <c r="E73">
        <v>8093</v>
      </c>
      <c r="F73">
        <v>220.66667000000001</v>
      </c>
      <c r="G73">
        <v>188.73334</v>
      </c>
      <c r="H73">
        <v>1.1691982000000001</v>
      </c>
      <c r="I73">
        <v>-0.16919817000000001</v>
      </c>
      <c r="J73">
        <v>0.46099982</v>
      </c>
    </row>
    <row r="74" spans="1:10" x14ac:dyDescent="0.3">
      <c r="A74">
        <v>72</v>
      </c>
      <c r="B74">
        <v>1496</v>
      </c>
      <c r="C74" t="b">
        <v>1</v>
      </c>
      <c r="D74">
        <v>8048</v>
      </c>
      <c r="E74">
        <v>8129</v>
      </c>
      <c r="F74">
        <v>220.26666</v>
      </c>
      <c r="G74">
        <v>186.8</v>
      </c>
      <c r="H74">
        <v>1.1791577</v>
      </c>
      <c r="I74">
        <v>-0.1791577</v>
      </c>
      <c r="J74">
        <v>0.45889289999999999</v>
      </c>
    </row>
    <row r="75" spans="1:10" x14ac:dyDescent="0.3">
      <c r="A75">
        <v>73</v>
      </c>
      <c r="B75">
        <v>1527</v>
      </c>
      <c r="C75" t="b">
        <v>1</v>
      </c>
      <c r="D75">
        <v>8060</v>
      </c>
      <c r="E75">
        <v>8111</v>
      </c>
      <c r="F75">
        <v>219.86667</v>
      </c>
      <c r="G75">
        <v>186.4</v>
      </c>
      <c r="H75">
        <v>1.1795423</v>
      </c>
      <c r="I75">
        <v>-0.17954226000000001</v>
      </c>
      <c r="J75">
        <v>0.45881193999999997</v>
      </c>
    </row>
    <row r="76" spans="1:10" x14ac:dyDescent="0.3">
      <c r="A76">
        <v>74</v>
      </c>
      <c r="B76">
        <v>1559</v>
      </c>
      <c r="C76" t="b">
        <v>1</v>
      </c>
      <c r="D76">
        <v>8054</v>
      </c>
      <c r="E76">
        <v>8105</v>
      </c>
      <c r="F76">
        <v>219.46665999999999</v>
      </c>
      <c r="G76">
        <v>186.8</v>
      </c>
      <c r="H76">
        <v>1.1748749999999999</v>
      </c>
      <c r="I76">
        <v>-0.17487504000000001</v>
      </c>
      <c r="J76">
        <v>0.45979655000000003</v>
      </c>
    </row>
    <row r="77" spans="1:10" x14ac:dyDescent="0.3">
      <c r="A77">
        <v>75</v>
      </c>
      <c r="B77">
        <v>1591</v>
      </c>
      <c r="C77" t="b">
        <v>1</v>
      </c>
      <c r="D77">
        <v>8048</v>
      </c>
      <c r="E77">
        <v>8105</v>
      </c>
      <c r="F77">
        <v>219.06666999999999</v>
      </c>
      <c r="G77">
        <v>186.8</v>
      </c>
      <c r="H77">
        <v>1.1727338</v>
      </c>
      <c r="I77">
        <v>-0.17273374</v>
      </c>
      <c r="J77">
        <v>0.46024966</v>
      </c>
    </row>
    <row r="78" spans="1:10" x14ac:dyDescent="0.3">
      <c r="A78">
        <v>76</v>
      </c>
      <c r="B78">
        <v>1623</v>
      </c>
      <c r="C78" t="b">
        <v>1</v>
      </c>
      <c r="D78">
        <v>8054</v>
      </c>
      <c r="E78">
        <v>8123</v>
      </c>
      <c r="F78">
        <v>218.66667000000001</v>
      </c>
      <c r="G78">
        <v>187.2</v>
      </c>
      <c r="H78">
        <v>1.1680912000000001</v>
      </c>
      <c r="I78">
        <v>-0.16809120999999999</v>
      </c>
      <c r="J78">
        <v>0.46123520000000001</v>
      </c>
    </row>
    <row r="79" spans="1:10" x14ac:dyDescent="0.3">
      <c r="A79">
        <v>77</v>
      </c>
      <c r="B79">
        <v>1638</v>
      </c>
      <c r="C79" t="b">
        <v>1</v>
      </c>
      <c r="D79">
        <v>8060</v>
      </c>
      <c r="E79">
        <v>8105</v>
      </c>
      <c r="F79">
        <v>218.26666</v>
      </c>
      <c r="G79">
        <v>187.6</v>
      </c>
      <c r="H79">
        <v>1.1634684</v>
      </c>
      <c r="I79">
        <v>-0.16346832</v>
      </c>
      <c r="J79">
        <v>0.46222079999999999</v>
      </c>
    </row>
    <row r="80" spans="1:10" x14ac:dyDescent="0.3">
      <c r="A80">
        <v>78</v>
      </c>
      <c r="B80">
        <v>1654</v>
      </c>
      <c r="C80" t="b">
        <v>1</v>
      </c>
      <c r="D80">
        <v>8054</v>
      </c>
      <c r="E80">
        <v>8093</v>
      </c>
      <c r="F80">
        <v>217.86667</v>
      </c>
      <c r="G80">
        <v>187.6</v>
      </c>
      <c r="H80">
        <v>1.1613362</v>
      </c>
      <c r="I80">
        <v>-0.16133615000000001</v>
      </c>
      <c r="J80">
        <v>0.46267676000000002</v>
      </c>
    </row>
    <row r="81" spans="1:10" x14ac:dyDescent="0.3">
      <c r="A81">
        <v>79</v>
      </c>
      <c r="B81">
        <v>1670</v>
      </c>
      <c r="C81" t="b">
        <v>1</v>
      </c>
      <c r="D81">
        <v>8054</v>
      </c>
      <c r="E81">
        <v>8093</v>
      </c>
      <c r="F81">
        <v>217.46665999999999</v>
      </c>
      <c r="G81">
        <v>187.6</v>
      </c>
      <c r="H81">
        <v>1.1592039000000001</v>
      </c>
      <c r="I81">
        <v>-0.15920390000000001</v>
      </c>
      <c r="J81">
        <v>0.46313366</v>
      </c>
    </row>
    <row r="82" spans="1:10" x14ac:dyDescent="0.3">
      <c r="A82">
        <v>80</v>
      </c>
      <c r="B82">
        <v>1686</v>
      </c>
      <c r="C82" t="b">
        <v>1</v>
      </c>
      <c r="D82">
        <v>8042</v>
      </c>
      <c r="E82">
        <v>8111</v>
      </c>
      <c r="F82">
        <v>217.06666999999999</v>
      </c>
      <c r="G82">
        <v>187.6</v>
      </c>
      <c r="H82">
        <v>1.1570716999999999</v>
      </c>
      <c r="I82">
        <v>-0.15707173999999999</v>
      </c>
      <c r="J82">
        <v>0.46359143000000003</v>
      </c>
    </row>
    <row r="83" spans="1:10" x14ac:dyDescent="0.3">
      <c r="A83">
        <v>81</v>
      </c>
      <c r="B83">
        <v>1702</v>
      </c>
      <c r="C83" t="b">
        <v>1</v>
      </c>
      <c r="D83">
        <v>8048</v>
      </c>
      <c r="E83">
        <v>8099</v>
      </c>
      <c r="F83">
        <v>216.33332999999999</v>
      </c>
      <c r="G83">
        <v>187.6</v>
      </c>
      <c r="H83">
        <v>1.1531627</v>
      </c>
      <c r="I83">
        <v>-0.15316268999999999</v>
      </c>
      <c r="J83">
        <v>0.46443307</v>
      </c>
    </row>
    <row r="84" spans="1:10" x14ac:dyDescent="0.3">
      <c r="A84">
        <v>82</v>
      </c>
      <c r="B84">
        <v>1718</v>
      </c>
      <c r="C84" t="b">
        <v>1</v>
      </c>
      <c r="D84">
        <v>8042</v>
      </c>
      <c r="E84">
        <v>8111</v>
      </c>
      <c r="F84">
        <v>215.2</v>
      </c>
      <c r="G84">
        <v>187.6</v>
      </c>
      <c r="H84">
        <v>1.1471214000000001</v>
      </c>
      <c r="I84">
        <v>-0.14712147</v>
      </c>
      <c r="J84">
        <v>0.46573985000000001</v>
      </c>
    </row>
    <row r="85" spans="1:10" x14ac:dyDescent="0.3">
      <c r="A85">
        <v>83</v>
      </c>
      <c r="B85">
        <v>1750</v>
      </c>
      <c r="C85" t="b">
        <v>1</v>
      </c>
      <c r="D85">
        <v>8054</v>
      </c>
      <c r="E85">
        <v>8099</v>
      </c>
      <c r="F85">
        <v>214.4</v>
      </c>
      <c r="G85">
        <v>187.6</v>
      </c>
      <c r="H85">
        <v>1.1428571000000001</v>
      </c>
      <c r="I85">
        <v>-0.14285707</v>
      </c>
      <c r="J85">
        <v>0.46666667000000001</v>
      </c>
    </row>
    <row r="86" spans="1:10" x14ac:dyDescent="0.3">
      <c r="A86">
        <v>84</v>
      </c>
      <c r="B86">
        <v>1765</v>
      </c>
      <c r="C86" t="b">
        <v>1</v>
      </c>
      <c r="D86">
        <v>8065</v>
      </c>
      <c r="E86">
        <v>8117</v>
      </c>
      <c r="F86">
        <v>213.6</v>
      </c>
      <c r="G86">
        <v>188.8</v>
      </c>
      <c r="H86">
        <v>1.131356</v>
      </c>
      <c r="I86">
        <v>-0.13135594</v>
      </c>
      <c r="J86">
        <v>0.46918488000000003</v>
      </c>
    </row>
    <row r="87" spans="1:10" x14ac:dyDescent="0.3">
      <c r="A87">
        <v>85</v>
      </c>
      <c r="B87">
        <v>1781</v>
      </c>
      <c r="C87" t="b">
        <v>1</v>
      </c>
      <c r="D87">
        <v>8042</v>
      </c>
      <c r="E87">
        <v>8099</v>
      </c>
      <c r="F87">
        <v>212.8</v>
      </c>
      <c r="G87">
        <v>189.2</v>
      </c>
      <c r="H87">
        <v>1.1247357</v>
      </c>
      <c r="I87">
        <v>-0.124735765</v>
      </c>
      <c r="J87">
        <v>0.47064676999999999</v>
      </c>
    </row>
    <row r="88" spans="1:10" x14ac:dyDescent="0.3">
      <c r="A88">
        <v>86</v>
      </c>
      <c r="B88">
        <v>1814</v>
      </c>
      <c r="C88" t="b">
        <v>1</v>
      </c>
      <c r="D88">
        <v>8042</v>
      </c>
      <c r="E88">
        <v>8093</v>
      </c>
      <c r="F88">
        <v>211.6</v>
      </c>
      <c r="G88">
        <v>189.6</v>
      </c>
      <c r="H88">
        <v>1.1160338000000001</v>
      </c>
      <c r="I88">
        <v>-0.116033755</v>
      </c>
      <c r="J88">
        <v>0.47258224999999998</v>
      </c>
    </row>
    <row r="89" spans="1:10" x14ac:dyDescent="0.3">
      <c r="A89">
        <v>87</v>
      </c>
      <c r="B89">
        <v>1844</v>
      </c>
      <c r="C89" t="b">
        <v>1</v>
      </c>
      <c r="D89">
        <v>8054</v>
      </c>
      <c r="E89">
        <v>8099</v>
      </c>
      <c r="F89">
        <v>211.6</v>
      </c>
      <c r="G89">
        <v>189.2</v>
      </c>
      <c r="H89">
        <v>1.1183932999999999</v>
      </c>
      <c r="I89">
        <v>-0.11839329</v>
      </c>
      <c r="J89">
        <v>0.47205587999999998</v>
      </c>
    </row>
    <row r="90" spans="1:10" x14ac:dyDescent="0.3">
      <c r="A90">
        <v>88</v>
      </c>
      <c r="B90">
        <v>1876</v>
      </c>
      <c r="C90" t="b">
        <v>1</v>
      </c>
      <c r="D90">
        <v>8071</v>
      </c>
      <c r="E90">
        <v>8111</v>
      </c>
      <c r="F90">
        <v>211.6</v>
      </c>
      <c r="G90">
        <v>188.4</v>
      </c>
      <c r="H90">
        <v>1.1231424000000001</v>
      </c>
      <c r="I90">
        <v>-0.12314232</v>
      </c>
      <c r="J90">
        <v>0.47099999999999997</v>
      </c>
    </row>
    <row r="91" spans="1:10" x14ac:dyDescent="0.3">
      <c r="A91">
        <v>89</v>
      </c>
      <c r="B91">
        <v>1908</v>
      </c>
      <c r="C91" t="b">
        <v>1</v>
      </c>
      <c r="D91">
        <v>8060</v>
      </c>
      <c r="E91">
        <v>8129</v>
      </c>
      <c r="F91">
        <v>211.6</v>
      </c>
      <c r="G91">
        <v>187.6</v>
      </c>
      <c r="H91">
        <v>1.1279317</v>
      </c>
      <c r="I91">
        <v>-0.12793176000000001</v>
      </c>
      <c r="J91">
        <v>0.46993990000000002</v>
      </c>
    </row>
    <row r="92" spans="1:10" x14ac:dyDescent="0.3">
      <c r="A92">
        <v>90</v>
      </c>
      <c r="B92">
        <v>1940</v>
      </c>
      <c r="C92" t="b">
        <v>1</v>
      </c>
      <c r="D92">
        <v>8060</v>
      </c>
      <c r="E92">
        <v>8111</v>
      </c>
      <c r="F92">
        <v>212</v>
      </c>
      <c r="G92">
        <v>188</v>
      </c>
      <c r="H92">
        <v>1.1276596000000001</v>
      </c>
      <c r="I92">
        <v>-0.12765957</v>
      </c>
      <c r="J92">
        <v>0.47</v>
      </c>
    </row>
    <row r="93" spans="1:10" x14ac:dyDescent="0.3">
      <c r="A93">
        <v>91</v>
      </c>
      <c r="B93">
        <v>1972</v>
      </c>
      <c r="C93" t="b">
        <v>1</v>
      </c>
      <c r="D93">
        <v>8042</v>
      </c>
      <c r="E93">
        <v>8117</v>
      </c>
      <c r="F93">
        <v>212.4</v>
      </c>
      <c r="G93">
        <v>188</v>
      </c>
      <c r="H93">
        <v>1.1297872</v>
      </c>
      <c r="I93">
        <v>-0.12978719999999999</v>
      </c>
      <c r="J93">
        <v>0.46953045999999998</v>
      </c>
    </row>
    <row r="94" spans="1:10" x14ac:dyDescent="0.3">
      <c r="A94">
        <v>92</v>
      </c>
      <c r="B94">
        <v>2003</v>
      </c>
      <c r="C94" t="b">
        <v>1</v>
      </c>
      <c r="D94">
        <v>8065</v>
      </c>
      <c r="E94">
        <v>8087</v>
      </c>
      <c r="F94">
        <v>212.8</v>
      </c>
      <c r="G94">
        <v>188.4</v>
      </c>
      <c r="H94">
        <v>1.1295116999999999</v>
      </c>
      <c r="I94">
        <v>-0.12951172999999999</v>
      </c>
      <c r="J94">
        <v>0.46959119999999999</v>
      </c>
    </row>
    <row r="95" spans="1:10" x14ac:dyDescent="0.3">
      <c r="A95">
        <v>93</v>
      </c>
      <c r="B95">
        <v>2019</v>
      </c>
      <c r="C95" t="b">
        <v>1</v>
      </c>
      <c r="D95">
        <v>8065</v>
      </c>
      <c r="E95">
        <v>8117</v>
      </c>
      <c r="F95">
        <v>213.2</v>
      </c>
      <c r="G95">
        <v>189.2</v>
      </c>
      <c r="H95">
        <v>1.1268499000000001</v>
      </c>
      <c r="I95">
        <v>-0.12684988999999999</v>
      </c>
      <c r="J95">
        <v>0.47017892999999999</v>
      </c>
    </row>
    <row r="96" spans="1:10" x14ac:dyDescent="0.3">
      <c r="A96">
        <v>94</v>
      </c>
      <c r="B96">
        <v>2035</v>
      </c>
      <c r="C96" t="b">
        <v>1</v>
      </c>
      <c r="D96">
        <v>8077</v>
      </c>
      <c r="E96">
        <v>8093</v>
      </c>
      <c r="F96">
        <v>213.93333000000001</v>
      </c>
      <c r="G96">
        <v>189.6</v>
      </c>
      <c r="H96">
        <v>1.1283403999999999</v>
      </c>
      <c r="I96">
        <v>-0.12834033</v>
      </c>
      <c r="J96">
        <v>0.46984967999999999</v>
      </c>
    </row>
    <row r="97" spans="1:10" x14ac:dyDescent="0.3">
      <c r="A97">
        <v>95</v>
      </c>
      <c r="B97">
        <v>2051</v>
      </c>
      <c r="C97" t="b">
        <v>1</v>
      </c>
      <c r="D97">
        <v>8060</v>
      </c>
      <c r="E97">
        <v>8099</v>
      </c>
      <c r="F97">
        <v>214.66667000000001</v>
      </c>
      <c r="G97">
        <v>189.2</v>
      </c>
      <c r="H97">
        <v>1.1346018</v>
      </c>
      <c r="I97">
        <v>-0.13460188000000001</v>
      </c>
      <c r="J97">
        <v>0.46847144000000002</v>
      </c>
    </row>
    <row r="98" spans="1:10" x14ac:dyDescent="0.3">
      <c r="A98">
        <v>96</v>
      </c>
      <c r="B98">
        <v>2082</v>
      </c>
      <c r="C98" t="b">
        <v>1</v>
      </c>
      <c r="D98">
        <v>8054</v>
      </c>
      <c r="E98">
        <v>8099</v>
      </c>
      <c r="F98">
        <v>215.4</v>
      </c>
      <c r="G98">
        <v>189.2</v>
      </c>
      <c r="H98">
        <v>1.1384778</v>
      </c>
      <c r="I98">
        <v>-0.13847778999999999</v>
      </c>
      <c r="J98">
        <v>0.46762237000000001</v>
      </c>
    </row>
    <row r="99" spans="1:10" x14ac:dyDescent="0.3">
      <c r="A99">
        <v>97</v>
      </c>
      <c r="B99">
        <v>2098</v>
      </c>
      <c r="C99" t="b">
        <v>1</v>
      </c>
      <c r="D99">
        <v>8042</v>
      </c>
      <c r="E99">
        <v>8111</v>
      </c>
      <c r="F99">
        <v>216.2</v>
      </c>
      <c r="G99">
        <v>189.2</v>
      </c>
      <c r="H99">
        <v>1.1427061999999999</v>
      </c>
      <c r="I99">
        <v>-0.14270612999999999</v>
      </c>
      <c r="J99">
        <v>0.46669954000000002</v>
      </c>
    </row>
    <row r="100" spans="1:10" x14ac:dyDescent="0.3">
      <c r="A100">
        <v>98</v>
      </c>
      <c r="B100">
        <v>2130</v>
      </c>
      <c r="C100" t="b">
        <v>1</v>
      </c>
      <c r="D100">
        <v>8048</v>
      </c>
      <c r="E100">
        <v>8105</v>
      </c>
      <c r="F100">
        <v>216.6</v>
      </c>
      <c r="G100">
        <v>189.2</v>
      </c>
      <c r="H100">
        <v>1.1448202999999999</v>
      </c>
      <c r="I100">
        <v>-0.14482034999999999</v>
      </c>
      <c r="J100">
        <v>0.46623954000000001</v>
      </c>
    </row>
    <row r="101" spans="1:10" x14ac:dyDescent="0.3">
      <c r="A101">
        <v>99</v>
      </c>
      <c r="B101">
        <v>2162</v>
      </c>
      <c r="C101" t="b">
        <v>1</v>
      </c>
      <c r="D101">
        <v>8060</v>
      </c>
      <c r="E101">
        <v>8111</v>
      </c>
      <c r="F101">
        <v>217</v>
      </c>
      <c r="G101">
        <v>188.8</v>
      </c>
      <c r="H101">
        <v>1.1493644000000001</v>
      </c>
      <c r="I101">
        <v>-0.14936437999999999</v>
      </c>
      <c r="J101">
        <v>0.46525382999999998</v>
      </c>
    </row>
    <row r="102" spans="1:10" x14ac:dyDescent="0.3">
      <c r="A102">
        <v>100</v>
      </c>
      <c r="B102">
        <v>2194</v>
      </c>
      <c r="C102" t="b">
        <v>1</v>
      </c>
      <c r="D102">
        <v>8065</v>
      </c>
      <c r="E102">
        <v>8111</v>
      </c>
      <c r="F102">
        <v>217.4</v>
      </c>
      <c r="G102">
        <v>189.6</v>
      </c>
      <c r="H102">
        <v>1.1466244000000001</v>
      </c>
      <c r="I102">
        <v>-0.14662439999999999</v>
      </c>
      <c r="J102">
        <v>0.46584766999999999</v>
      </c>
    </row>
    <row r="103" spans="1:10" x14ac:dyDescent="0.3">
      <c r="A103">
        <v>101</v>
      </c>
      <c r="B103">
        <v>2225</v>
      </c>
      <c r="C103" t="b">
        <v>1</v>
      </c>
      <c r="D103">
        <v>8054</v>
      </c>
      <c r="E103">
        <v>8111</v>
      </c>
      <c r="F103">
        <v>218.2</v>
      </c>
      <c r="G103">
        <v>190.4</v>
      </c>
      <c r="H103">
        <v>1.1460083999999999</v>
      </c>
      <c r="I103">
        <v>-0.14600842</v>
      </c>
      <c r="J103">
        <v>0.46598141999999998</v>
      </c>
    </row>
    <row r="104" spans="1:10" x14ac:dyDescent="0.3">
      <c r="A104">
        <v>102</v>
      </c>
      <c r="B104">
        <v>2256</v>
      </c>
      <c r="C104" t="b">
        <v>1</v>
      </c>
      <c r="D104">
        <v>8071</v>
      </c>
      <c r="E104">
        <v>8105</v>
      </c>
      <c r="F104">
        <v>218.6</v>
      </c>
      <c r="G104">
        <v>191.2</v>
      </c>
      <c r="H104">
        <v>1.1433055000000001</v>
      </c>
      <c r="I104">
        <v>-0.1433055</v>
      </c>
      <c r="J104">
        <v>0.46656906999999997</v>
      </c>
    </row>
    <row r="105" spans="1:10" x14ac:dyDescent="0.3">
      <c r="A105">
        <v>103</v>
      </c>
      <c r="B105">
        <v>2272</v>
      </c>
      <c r="C105" t="b">
        <v>1</v>
      </c>
      <c r="D105">
        <v>8054</v>
      </c>
      <c r="E105">
        <v>8129</v>
      </c>
      <c r="F105">
        <v>219</v>
      </c>
      <c r="G105">
        <v>192</v>
      </c>
      <c r="H105">
        <v>1.140625</v>
      </c>
      <c r="I105">
        <v>-0.140625</v>
      </c>
      <c r="J105">
        <v>0.46715328</v>
      </c>
    </row>
    <row r="106" spans="1:10" x14ac:dyDescent="0.3">
      <c r="A106">
        <v>104</v>
      </c>
      <c r="B106">
        <v>2303</v>
      </c>
      <c r="C106" t="b">
        <v>1</v>
      </c>
      <c r="D106">
        <v>8065</v>
      </c>
      <c r="E106">
        <v>8099</v>
      </c>
      <c r="F106">
        <v>219.73334</v>
      </c>
      <c r="G106">
        <v>192.8</v>
      </c>
      <c r="H106">
        <v>1.1396957999999999</v>
      </c>
      <c r="I106">
        <v>-0.13969572</v>
      </c>
      <c r="J106">
        <v>0.46735618000000001</v>
      </c>
    </row>
    <row r="107" spans="1:10" x14ac:dyDescent="0.3">
      <c r="A107">
        <v>105</v>
      </c>
      <c r="B107">
        <v>2335</v>
      </c>
      <c r="C107" t="b">
        <v>1</v>
      </c>
      <c r="D107">
        <v>8077</v>
      </c>
      <c r="E107">
        <v>8111</v>
      </c>
      <c r="F107">
        <v>220.06666999999999</v>
      </c>
      <c r="G107">
        <v>192.8</v>
      </c>
      <c r="H107">
        <v>1.1414245000000001</v>
      </c>
      <c r="I107">
        <v>-0.14142460000000001</v>
      </c>
      <c r="J107">
        <v>0.46697885</v>
      </c>
    </row>
    <row r="108" spans="1:10" x14ac:dyDescent="0.3">
      <c r="A108">
        <v>106</v>
      </c>
      <c r="B108">
        <v>2367</v>
      </c>
      <c r="C108" t="b">
        <v>1</v>
      </c>
      <c r="D108">
        <v>8094</v>
      </c>
      <c r="E108">
        <v>8081</v>
      </c>
      <c r="F108">
        <v>220.8</v>
      </c>
      <c r="G108">
        <v>192.4</v>
      </c>
      <c r="H108">
        <v>1.1476092</v>
      </c>
      <c r="I108">
        <v>-0.1476092</v>
      </c>
      <c r="J108">
        <v>0.46563405000000002</v>
      </c>
    </row>
    <row r="109" spans="1:10" x14ac:dyDescent="0.3">
      <c r="A109">
        <v>107</v>
      </c>
      <c r="B109">
        <v>2383</v>
      </c>
      <c r="C109" t="b">
        <v>1</v>
      </c>
      <c r="D109">
        <v>8060</v>
      </c>
      <c r="E109">
        <v>8105</v>
      </c>
      <c r="F109">
        <v>221.13333</v>
      </c>
      <c r="G109">
        <v>192</v>
      </c>
      <c r="H109">
        <v>1.1517360999999999</v>
      </c>
      <c r="I109">
        <v>-0.15173610000000001</v>
      </c>
      <c r="J109">
        <v>0.46474100000000002</v>
      </c>
    </row>
    <row r="110" spans="1:10" x14ac:dyDescent="0.3">
      <c r="A110">
        <v>108</v>
      </c>
      <c r="B110">
        <v>2399</v>
      </c>
      <c r="C110" t="b">
        <v>1</v>
      </c>
      <c r="D110">
        <v>8060</v>
      </c>
      <c r="E110">
        <v>8105</v>
      </c>
      <c r="F110">
        <v>221.46665999999999</v>
      </c>
      <c r="G110">
        <v>191.2</v>
      </c>
      <c r="H110">
        <v>1.1582984999999999</v>
      </c>
      <c r="I110">
        <v>-0.15829845000000001</v>
      </c>
      <c r="J110">
        <v>0.46332793999999999</v>
      </c>
    </row>
    <row r="111" spans="1:10" x14ac:dyDescent="0.3">
      <c r="A111">
        <v>109</v>
      </c>
      <c r="B111">
        <v>2415</v>
      </c>
      <c r="C111" t="b">
        <v>1</v>
      </c>
      <c r="D111">
        <v>8054</v>
      </c>
      <c r="E111">
        <v>8099</v>
      </c>
      <c r="F111">
        <v>221.13333</v>
      </c>
      <c r="G111">
        <v>190.8</v>
      </c>
      <c r="H111">
        <v>1.1589796999999999</v>
      </c>
      <c r="I111">
        <v>-0.1589797</v>
      </c>
      <c r="J111">
        <v>0.46318173000000001</v>
      </c>
    </row>
    <row r="112" spans="1:10" x14ac:dyDescent="0.3">
      <c r="A112">
        <v>110</v>
      </c>
      <c r="B112">
        <v>2430</v>
      </c>
      <c r="C112" t="b">
        <v>1</v>
      </c>
      <c r="D112">
        <v>8065</v>
      </c>
      <c r="E112">
        <v>8129</v>
      </c>
      <c r="F112">
        <v>220.8</v>
      </c>
      <c r="G112">
        <v>191.2</v>
      </c>
      <c r="H112">
        <v>1.1548117</v>
      </c>
      <c r="I112">
        <v>-0.15481175</v>
      </c>
      <c r="J112">
        <v>0.46407765000000001</v>
      </c>
    </row>
    <row r="113" spans="1:10" x14ac:dyDescent="0.3">
      <c r="A113">
        <v>111</v>
      </c>
      <c r="B113">
        <v>2462</v>
      </c>
      <c r="C113" t="b">
        <v>1</v>
      </c>
      <c r="D113">
        <v>8060</v>
      </c>
      <c r="E113">
        <v>8093</v>
      </c>
      <c r="F113">
        <v>220.46665999999999</v>
      </c>
      <c r="G113">
        <v>191.6</v>
      </c>
      <c r="H113">
        <v>1.1506609999999999</v>
      </c>
      <c r="I113">
        <v>-0.15066102000000001</v>
      </c>
      <c r="J113">
        <v>0.46497333000000002</v>
      </c>
    </row>
    <row r="114" spans="1:10" x14ac:dyDescent="0.3">
      <c r="A114">
        <v>112</v>
      </c>
      <c r="B114">
        <v>2493</v>
      </c>
      <c r="C114" t="b">
        <v>1</v>
      </c>
      <c r="D114">
        <v>8060</v>
      </c>
      <c r="E114">
        <v>8093</v>
      </c>
      <c r="F114">
        <v>220.46665999999999</v>
      </c>
      <c r="G114">
        <v>191.6</v>
      </c>
      <c r="H114">
        <v>1.1506609999999999</v>
      </c>
      <c r="I114">
        <v>-0.15066102000000001</v>
      </c>
      <c r="J114">
        <v>0.46497333000000002</v>
      </c>
    </row>
    <row r="115" spans="1:10" x14ac:dyDescent="0.3">
      <c r="A115">
        <v>113</v>
      </c>
      <c r="B115">
        <v>2525</v>
      </c>
      <c r="C115" t="b">
        <v>1</v>
      </c>
      <c r="D115">
        <v>8077</v>
      </c>
      <c r="E115">
        <v>8111</v>
      </c>
      <c r="F115">
        <v>220.86667</v>
      </c>
      <c r="G115">
        <v>191.6</v>
      </c>
      <c r="H115">
        <v>1.1527487000000001</v>
      </c>
      <c r="I115">
        <v>-0.15274874999999999</v>
      </c>
      <c r="J115">
        <v>0.4645224</v>
      </c>
    </row>
    <row r="116" spans="1:10" x14ac:dyDescent="0.3">
      <c r="A116">
        <v>114</v>
      </c>
      <c r="B116">
        <v>2541</v>
      </c>
      <c r="C116" t="b">
        <v>1</v>
      </c>
      <c r="D116">
        <v>8065</v>
      </c>
      <c r="E116">
        <v>8111</v>
      </c>
      <c r="F116">
        <v>221.6</v>
      </c>
      <c r="G116">
        <v>192</v>
      </c>
      <c r="H116">
        <v>1.1541667</v>
      </c>
      <c r="I116">
        <v>-0.15416669999999999</v>
      </c>
      <c r="J116">
        <v>0.46421662000000002</v>
      </c>
    </row>
    <row r="117" spans="1:10" x14ac:dyDescent="0.3">
      <c r="A117">
        <v>115</v>
      </c>
      <c r="B117">
        <v>2557</v>
      </c>
      <c r="C117" t="b">
        <v>1</v>
      </c>
      <c r="D117">
        <v>8048</v>
      </c>
      <c r="E117">
        <v>8117</v>
      </c>
      <c r="F117">
        <v>222</v>
      </c>
      <c r="G117">
        <v>192</v>
      </c>
      <c r="H117">
        <v>1.15625</v>
      </c>
      <c r="I117">
        <v>-0.15625</v>
      </c>
      <c r="J117">
        <v>0.46376812000000001</v>
      </c>
    </row>
    <row r="118" spans="1:10" x14ac:dyDescent="0.3">
      <c r="A118">
        <v>116</v>
      </c>
      <c r="B118">
        <v>2573</v>
      </c>
      <c r="C118" t="b">
        <v>1</v>
      </c>
      <c r="D118">
        <v>8006</v>
      </c>
      <c r="E118">
        <v>8123</v>
      </c>
      <c r="F118">
        <v>222.4</v>
      </c>
      <c r="G118">
        <v>192</v>
      </c>
      <c r="H118">
        <v>1.1583333</v>
      </c>
      <c r="I118">
        <v>-0.15833330000000001</v>
      </c>
      <c r="J118">
        <v>0.46332045999999999</v>
      </c>
    </row>
    <row r="119" spans="1:10" x14ac:dyDescent="0.3">
      <c r="A119">
        <v>117</v>
      </c>
      <c r="B119">
        <v>2589</v>
      </c>
      <c r="C119" t="b">
        <v>1</v>
      </c>
      <c r="D119">
        <v>8017</v>
      </c>
      <c r="E119">
        <v>8105</v>
      </c>
      <c r="F119">
        <v>221.6</v>
      </c>
      <c r="G119">
        <v>192</v>
      </c>
      <c r="H119">
        <v>1.1541667</v>
      </c>
      <c r="I119">
        <v>-0.15416669999999999</v>
      </c>
      <c r="J119">
        <v>0.46421662000000002</v>
      </c>
    </row>
    <row r="120" spans="1:10" x14ac:dyDescent="0.3">
      <c r="A120">
        <v>118</v>
      </c>
      <c r="B120">
        <v>2604</v>
      </c>
      <c r="C120" t="b">
        <v>1</v>
      </c>
      <c r="D120">
        <v>8037</v>
      </c>
      <c r="E120">
        <v>8117</v>
      </c>
      <c r="F120">
        <v>220.06666999999999</v>
      </c>
      <c r="G120">
        <v>192.4</v>
      </c>
      <c r="H120">
        <v>1.1437976000000001</v>
      </c>
      <c r="I120">
        <v>-0.14379768000000001</v>
      </c>
      <c r="J120">
        <v>0.46646193000000002</v>
      </c>
    </row>
    <row r="121" spans="1:10" x14ac:dyDescent="0.3">
      <c r="A121">
        <v>119</v>
      </c>
      <c r="B121">
        <v>2620</v>
      </c>
      <c r="C121" t="b">
        <v>1</v>
      </c>
      <c r="D121">
        <v>8071</v>
      </c>
      <c r="E121">
        <v>8111</v>
      </c>
      <c r="F121">
        <v>218.2</v>
      </c>
      <c r="G121">
        <v>192.8</v>
      </c>
      <c r="H121">
        <v>1.1317427</v>
      </c>
      <c r="I121">
        <v>-0.13174269999999999</v>
      </c>
      <c r="J121">
        <v>0.46909975999999998</v>
      </c>
    </row>
    <row r="122" spans="1:10" x14ac:dyDescent="0.3">
      <c r="A122">
        <v>120</v>
      </c>
      <c r="B122">
        <v>2636</v>
      </c>
      <c r="C122" t="b">
        <v>1</v>
      </c>
      <c r="D122">
        <v>8071</v>
      </c>
      <c r="E122">
        <v>8123</v>
      </c>
      <c r="F122">
        <v>216.33332999999999</v>
      </c>
      <c r="G122">
        <v>193.2</v>
      </c>
      <c r="H122">
        <v>1.1197376999999999</v>
      </c>
      <c r="I122">
        <v>-0.11973774399999999</v>
      </c>
      <c r="J122">
        <v>0.47175645999999999</v>
      </c>
    </row>
    <row r="123" spans="1:10" x14ac:dyDescent="0.3">
      <c r="A123">
        <v>121</v>
      </c>
      <c r="B123">
        <v>2652</v>
      </c>
      <c r="C123" t="b">
        <v>1</v>
      </c>
      <c r="D123">
        <v>8037</v>
      </c>
      <c r="E123">
        <v>8099</v>
      </c>
      <c r="F123">
        <v>214.06666999999999</v>
      </c>
      <c r="G123">
        <v>193.6</v>
      </c>
      <c r="H123">
        <v>1.1057162</v>
      </c>
      <c r="I123">
        <v>-0.10571621</v>
      </c>
      <c r="J123">
        <v>0.47489777</v>
      </c>
    </row>
    <row r="124" spans="1:10" x14ac:dyDescent="0.3">
      <c r="A124">
        <v>122</v>
      </c>
      <c r="B124">
        <v>2668</v>
      </c>
      <c r="C124" t="b">
        <v>1</v>
      </c>
      <c r="D124">
        <v>8048</v>
      </c>
      <c r="E124">
        <v>8105</v>
      </c>
      <c r="F124">
        <v>212.93333000000001</v>
      </c>
      <c r="G124">
        <v>194</v>
      </c>
      <c r="H124">
        <v>1.0975945</v>
      </c>
      <c r="I124">
        <v>-9.7594509999999995E-2</v>
      </c>
      <c r="J124">
        <v>0.47673654999999998</v>
      </c>
    </row>
    <row r="125" spans="1:10" x14ac:dyDescent="0.3">
      <c r="A125">
        <v>123</v>
      </c>
      <c r="B125">
        <v>2684</v>
      </c>
      <c r="C125" t="b">
        <v>1</v>
      </c>
      <c r="D125">
        <v>8048</v>
      </c>
      <c r="E125">
        <v>8093</v>
      </c>
      <c r="F125">
        <v>211.8</v>
      </c>
      <c r="G125">
        <v>194</v>
      </c>
      <c r="H125">
        <v>1.0917526</v>
      </c>
      <c r="I125">
        <v>-9.1752596000000006E-2</v>
      </c>
      <c r="J125">
        <v>0.47806801999999998</v>
      </c>
    </row>
    <row r="126" spans="1:10" x14ac:dyDescent="0.3">
      <c r="A126">
        <v>124</v>
      </c>
      <c r="B126">
        <v>2715</v>
      </c>
      <c r="C126" t="b">
        <v>1</v>
      </c>
      <c r="D126">
        <v>8054</v>
      </c>
      <c r="E126">
        <v>8105</v>
      </c>
      <c r="F126">
        <v>211</v>
      </c>
      <c r="G126">
        <v>194</v>
      </c>
      <c r="H126">
        <v>1.0876288000000001</v>
      </c>
      <c r="I126">
        <v>-8.7628864000000001E-2</v>
      </c>
      <c r="J126">
        <v>0.47901233999999998</v>
      </c>
    </row>
    <row r="127" spans="1:10" x14ac:dyDescent="0.3">
      <c r="A127">
        <v>125</v>
      </c>
      <c r="B127">
        <v>2747</v>
      </c>
      <c r="C127" t="b">
        <v>1</v>
      </c>
      <c r="D127">
        <v>8006</v>
      </c>
      <c r="E127">
        <v>8146</v>
      </c>
      <c r="F127">
        <v>210.2</v>
      </c>
      <c r="G127">
        <v>194</v>
      </c>
      <c r="H127">
        <v>1.0835052000000001</v>
      </c>
      <c r="I127">
        <v>-8.3505140000000005E-2</v>
      </c>
      <c r="J127">
        <v>0.47996040000000001</v>
      </c>
    </row>
    <row r="128" spans="1:10" x14ac:dyDescent="0.3">
      <c r="A128">
        <v>126</v>
      </c>
      <c r="B128">
        <v>2778</v>
      </c>
      <c r="C128" t="b">
        <v>1</v>
      </c>
      <c r="D128">
        <v>8054</v>
      </c>
      <c r="E128">
        <v>8099</v>
      </c>
      <c r="F128">
        <v>209.4</v>
      </c>
      <c r="G128">
        <v>194</v>
      </c>
      <c r="H128">
        <v>1.0793815</v>
      </c>
      <c r="I128">
        <v>-7.9381413999999997E-2</v>
      </c>
      <c r="J128">
        <v>0.48091223999999999</v>
      </c>
    </row>
    <row r="129" spans="1:10" x14ac:dyDescent="0.3">
      <c r="A129">
        <v>127</v>
      </c>
      <c r="B129">
        <v>2794</v>
      </c>
      <c r="C129" t="b">
        <v>1</v>
      </c>
      <c r="D129">
        <v>8060</v>
      </c>
      <c r="E129">
        <v>8093</v>
      </c>
      <c r="F129">
        <v>209</v>
      </c>
      <c r="G129">
        <v>194</v>
      </c>
      <c r="H129">
        <v>1.0773196</v>
      </c>
      <c r="I129">
        <v>-7.7319584999999996E-2</v>
      </c>
      <c r="J129">
        <v>0.48138957999999998</v>
      </c>
    </row>
    <row r="130" spans="1:10" x14ac:dyDescent="0.3">
      <c r="A130">
        <v>128</v>
      </c>
      <c r="B130">
        <v>2810</v>
      </c>
      <c r="C130" t="b">
        <v>1</v>
      </c>
      <c r="D130">
        <v>8071</v>
      </c>
      <c r="E130">
        <v>8099</v>
      </c>
      <c r="F130">
        <v>208.6</v>
      </c>
      <c r="G130">
        <v>194</v>
      </c>
      <c r="H130">
        <v>1.0752577999999999</v>
      </c>
      <c r="I130">
        <v>-7.5257760000000007E-2</v>
      </c>
      <c r="J130">
        <v>0.48186784999999999</v>
      </c>
    </row>
    <row r="131" spans="1:10" x14ac:dyDescent="0.3">
      <c r="A131">
        <v>129</v>
      </c>
      <c r="B131">
        <v>2842</v>
      </c>
      <c r="C131" t="b">
        <v>1</v>
      </c>
      <c r="D131">
        <v>8065</v>
      </c>
      <c r="E131">
        <v>8105</v>
      </c>
      <c r="F131">
        <v>208.26666</v>
      </c>
      <c r="G131">
        <v>193.2</v>
      </c>
      <c r="H131">
        <v>1.0779848000000001</v>
      </c>
      <c r="I131">
        <v>-7.7984810000000002E-2</v>
      </c>
      <c r="J131">
        <v>0.48123544000000001</v>
      </c>
    </row>
    <row r="132" spans="1:10" x14ac:dyDescent="0.3">
      <c r="A132">
        <v>130</v>
      </c>
      <c r="B132">
        <v>2874</v>
      </c>
      <c r="C132" t="b">
        <v>1</v>
      </c>
      <c r="D132">
        <v>8048</v>
      </c>
      <c r="E132">
        <v>8099</v>
      </c>
      <c r="F132">
        <v>208.26666</v>
      </c>
      <c r="G132">
        <v>192.4</v>
      </c>
      <c r="H132">
        <v>1.0824670999999999</v>
      </c>
      <c r="I132">
        <v>-8.2467094000000005E-2</v>
      </c>
      <c r="J132">
        <v>0.48019965999999997</v>
      </c>
    </row>
    <row r="133" spans="1:10" x14ac:dyDescent="0.3">
      <c r="A133">
        <v>131</v>
      </c>
      <c r="B133">
        <v>2889</v>
      </c>
      <c r="C133" t="b">
        <v>1</v>
      </c>
      <c r="D133">
        <v>8071</v>
      </c>
      <c r="E133">
        <v>8105</v>
      </c>
      <c r="F133">
        <v>208.6</v>
      </c>
      <c r="G133">
        <v>191.6</v>
      </c>
      <c r="H133">
        <v>1.0887264999999999</v>
      </c>
      <c r="I133">
        <v>-8.8726509999999995E-2</v>
      </c>
      <c r="J133">
        <v>0.47876063000000002</v>
      </c>
    </row>
    <row r="134" spans="1:10" x14ac:dyDescent="0.3">
      <c r="A134">
        <v>132</v>
      </c>
      <c r="B134">
        <v>2905</v>
      </c>
      <c r="C134" t="b">
        <v>1</v>
      </c>
      <c r="D134">
        <v>8060</v>
      </c>
      <c r="E134">
        <v>8081</v>
      </c>
      <c r="F134">
        <v>209.73334</v>
      </c>
      <c r="G134">
        <v>190.8</v>
      </c>
      <c r="H134">
        <v>1.0992314000000001</v>
      </c>
      <c r="I134">
        <v>-9.9231310000000003E-2</v>
      </c>
      <c r="J134">
        <v>0.47636485000000001</v>
      </c>
    </row>
    <row r="135" spans="1:10" x14ac:dyDescent="0.3">
      <c r="A135">
        <v>133</v>
      </c>
      <c r="B135">
        <v>2921</v>
      </c>
      <c r="C135" t="b">
        <v>1</v>
      </c>
      <c r="D135">
        <v>8048</v>
      </c>
      <c r="E135">
        <v>8087</v>
      </c>
      <c r="F135">
        <v>211.26666</v>
      </c>
      <c r="G135">
        <v>189.6</v>
      </c>
      <c r="H135">
        <v>1.1142756</v>
      </c>
      <c r="I135">
        <v>-0.11427561</v>
      </c>
      <c r="J135">
        <v>0.47297521999999997</v>
      </c>
    </row>
    <row r="136" spans="1:10" x14ac:dyDescent="0.3">
      <c r="A136">
        <v>134</v>
      </c>
      <c r="B136">
        <v>2937</v>
      </c>
      <c r="C136" t="b">
        <v>1</v>
      </c>
      <c r="D136">
        <v>8048</v>
      </c>
      <c r="E136">
        <v>8111</v>
      </c>
      <c r="F136">
        <v>212</v>
      </c>
      <c r="G136">
        <v>188.4</v>
      </c>
      <c r="H136">
        <v>1.1252655</v>
      </c>
      <c r="I136">
        <v>-0.12526543000000001</v>
      </c>
      <c r="J136">
        <v>0.47052947000000001</v>
      </c>
    </row>
    <row r="137" spans="1:10" x14ac:dyDescent="0.3">
      <c r="A137">
        <v>135</v>
      </c>
      <c r="B137">
        <v>2953</v>
      </c>
      <c r="C137" t="b">
        <v>1</v>
      </c>
      <c r="D137">
        <v>8054</v>
      </c>
      <c r="E137">
        <v>8099</v>
      </c>
      <c r="F137">
        <v>213.13333</v>
      </c>
      <c r="G137">
        <v>187.2</v>
      </c>
      <c r="H137">
        <v>1.1385327999999999</v>
      </c>
      <c r="I137">
        <v>-0.13853277</v>
      </c>
      <c r="J137">
        <v>0.46761033000000002</v>
      </c>
    </row>
    <row r="138" spans="1:10" x14ac:dyDescent="0.3">
      <c r="A138">
        <v>136</v>
      </c>
      <c r="B138">
        <v>2968</v>
      </c>
      <c r="C138" t="b">
        <v>1</v>
      </c>
      <c r="D138">
        <v>8077</v>
      </c>
      <c r="E138">
        <v>8105</v>
      </c>
      <c r="F138">
        <v>214.26666</v>
      </c>
      <c r="G138">
        <v>186.4</v>
      </c>
      <c r="H138">
        <v>1.1494993</v>
      </c>
      <c r="I138">
        <v>-0.1494993</v>
      </c>
      <c r="J138">
        <v>0.46522461999999998</v>
      </c>
    </row>
    <row r="139" spans="1:10" x14ac:dyDescent="0.3">
      <c r="A139">
        <v>137</v>
      </c>
      <c r="B139">
        <v>2984</v>
      </c>
      <c r="C139" t="b">
        <v>1</v>
      </c>
      <c r="D139">
        <v>8030</v>
      </c>
      <c r="E139">
        <v>8117</v>
      </c>
      <c r="F139">
        <v>214.26666</v>
      </c>
      <c r="G139">
        <v>186</v>
      </c>
      <c r="H139">
        <v>1.1519713</v>
      </c>
      <c r="I139">
        <v>-0.15197131</v>
      </c>
      <c r="J139">
        <v>0.4646902</v>
      </c>
    </row>
    <row r="140" spans="1:10" x14ac:dyDescent="0.3">
      <c r="A140">
        <v>138</v>
      </c>
      <c r="B140">
        <v>3000</v>
      </c>
      <c r="C140" t="b">
        <v>1</v>
      </c>
      <c r="D140">
        <v>8048</v>
      </c>
      <c r="E140">
        <v>8087</v>
      </c>
      <c r="F140">
        <v>214.26666</v>
      </c>
      <c r="G140">
        <v>186</v>
      </c>
      <c r="H140">
        <v>1.1519713</v>
      </c>
      <c r="I140">
        <v>-0.15197131</v>
      </c>
      <c r="J140">
        <v>0.4646902</v>
      </c>
    </row>
    <row r="141" spans="1:10" x14ac:dyDescent="0.3">
      <c r="A141">
        <v>139</v>
      </c>
      <c r="B141">
        <v>3016</v>
      </c>
      <c r="C141" t="b">
        <v>1</v>
      </c>
      <c r="D141">
        <v>8054</v>
      </c>
      <c r="E141">
        <v>8087</v>
      </c>
      <c r="F141">
        <v>214.66667000000001</v>
      </c>
      <c r="G141">
        <v>185.6</v>
      </c>
      <c r="H141">
        <v>1.1566091999999999</v>
      </c>
      <c r="I141">
        <v>-0.15660917999999999</v>
      </c>
      <c r="J141">
        <v>0.46369090000000002</v>
      </c>
    </row>
    <row r="142" spans="1:10" x14ac:dyDescent="0.3">
      <c r="A142">
        <v>140</v>
      </c>
      <c r="B142">
        <v>3032</v>
      </c>
      <c r="C142" t="b">
        <v>1</v>
      </c>
      <c r="D142">
        <v>8065</v>
      </c>
      <c r="E142">
        <v>8105</v>
      </c>
      <c r="F142">
        <v>215.06666999999999</v>
      </c>
      <c r="G142">
        <v>185.6</v>
      </c>
      <c r="H142">
        <v>1.1587643999999999</v>
      </c>
      <c r="I142">
        <v>-0.15876431999999999</v>
      </c>
      <c r="J142">
        <v>0.46322795999999999</v>
      </c>
    </row>
    <row r="143" spans="1:10" x14ac:dyDescent="0.3">
      <c r="A143">
        <v>141</v>
      </c>
      <c r="B143">
        <v>3048</v>
      </c>
      <c r="C143" t="b">
        <v>1</v>
      </c>
      <c r="D143">
        <v>8060</v>
      </c>
      <c r="E143">
        <v>8099</v>
      </c>
      <c r="F143">
        <v>215.46665999999999</v>
      </c>
      <c r="G143">
        <v>185.2</v>
      </c>
      <c r="H143">
        <v>1.1634268999999999</v>
      </c>
      <c r="I143">
        <v>-0.16342690000000001</v>
      </c>
      <c r="J143">
        <v>0.46222960000000002</v>
      </c>
    </row>
    <row r="144" spans="1:10" x14ac:dyDescent="0.3">
      <c r="A144">
        <v>142</v>
      </c>
      <c r="B144">
        <v>3080</v>
      </c>
      <c r="C144" t="b">
        <v>1</v>
      </c>
      <c r="D144">
        <v>8054</v>
      </c>
      <c r="E144">
        <v>8111</v>
      </c>
      <c r="F144">
        <v>215.46665999999999</v>
      </c>
      <c r="G144">
        <v>185.2</v>
      </c>
      <c r="H144">
        <v>1.1634268999999999</v>
      </c>
      <c r="I144">
        <v>-0.16342690000000001</v>
      </c>
      <c r="J144">
        <v>0.46222960000000002</v>
      </c>
    </row>
    <row r="145" spans="1:10" x14ac:dyDescent="0.3">
      <c r="A145">
        <v>143</v>
      </c>
      <c r="B145">
        <v>3095</v>
      </c>
      <c r="C145" t="b">
        <v>1</v>
      </c>
      <c r="D145">
        <v>8042</v>
      </c>
      <c r="E145">
        <v>8075</v>
      </c>
      <c r="F145">
        <v>215.46665999999999</v>
      </c>
      <c r="G145">
        <v>185.2</v>
      </c>
      <c r="H145">
        <v>1.1634268999999999</v>
      </c>
      <c r="I145">
        <v>-0.16342690000000001</v>
      </c>
      <c r="J145">
        <v>0.46222960000000002</v>
      </c>
    </row>
    <row r="146" spans="1:10" x14ac:dyDescent="0.3">
      <c r="A146">
        <v>144</v>
      </c>
      <c r="B146">
        <v>3111</v>
      </c>
      <c r="C146" t="b">
        <v>1</v>
      </c>
      <c r="D146">
        <v>8071</v>
      </c>
      <c r="E146">
        <v>8087</v>
      </c>
      <c r="F146">
        <v>215.46665999999999</v>
      </c>
      <c r="G146">
        <v>185.2</v>
      </c>
      <c r="H146">
        <v>1.1634268999999999</v>
      </c>
      <c r="I146">
        <v>-0.16342690000000001</v>
      </c>
      <c r="J146">
        <v>0.46222960000000002</v>
      </c>
    </row>
    <row r="147" spans="1:10" x14ac:dyDescent="0.3">
      <c r="A147">
        <v>145</v>
      </c>
      <c r="B147">
        <v>3143</v>
      </c>
      <c r="C147" t="b">
        <v>1</v>
      </c>
      <c r="D147">
        <v>8060</v>
      </c>
      <c r="E147">
        <v>8087</v>
      </c>
      <c r="F147">
        <v>215.46665999999999</v>
      </c>
      <c r="G147">
        <v>184.4</v>
      </c>
      <c r="H147">
        <v>1.1684743</v>
      </c>
      <c r="I147">
        <v>-0.16847433000000001</v>
      </c>
      <c r="J147">
        <v>0.46115374999999997</v>
      </c>
    </row>
    <row r="148" spans="1:10" x14ac:dyDescent="0.3">
      <c r="A148">
        <v>146</v>
      </c>
      <c r="B148">
        <v>3158</v>
      </c>
      <c r="C148" t="b">
        <v>1</v>
      </c>
      <c r="D148">
        <v>8083</v>
      </c>
      <c r="E148">
        <v>8093</v>
      </c>
      <c r="F148">
        <v>215.13333</v>
      </c>
      <c r="G148">
        <v>183.6</v>
      </c>
      <c r="H148">
        <v>1.1717502</v>
      </c>
      <c r="I148">
        <v>-0.17175013</v>
      </c>
      <c r="J148">
        <v>0.46045813000000002</v>
      </c>
    </row>
    <row r="149" spans="1:10" x14ac:dyDescent="0.3">
      <c r="A149">
        <v>147</v>
      </c>
      <c r="B149">
        <v>3174</v>
      </c>
      <c r="C149" t="b">
        <v>1</v>
      </c>
      <c r="D149">
        <v>8060</v>
      </c>
      <c r="E149">
        <v>8087</v>
      </c>
      <c r="F149">
        <v>214.8</v>
      </c>
      <c r="G149">
        <v>182.8</v>
      </c>
      <c r="H149">
        <v>1.1750547</v>
      </c>
      <c r="I149">
        <v>-0.17505470000000001</v>
      </c>
      <c r="J149">
        <v>0.45975854999999999</v>
      </c>
    </row>
    <row r="150" spans="1:10" x14ac:dyDescent="0.3">
      <c r="A150">
        <v>148</v>
      </c>
      <c r="B150">
        <v>3205</v>
      </c>
      <c r="C150" t="b">
        <v>1</v>
      </c>
      <c r="D150">
        <v>8065</v>
      </c>
      <c r="E150">
        <v>8105</v>
      </c>
      <c r="F150">
        <v>215.13333</v>
      </c>
      <c r="G150">
        <v>182</v>
      </c>
      <c r="H150">
        <v>1.1820512999999999</v>
      </c>
      <c r="I150">
        <v>-0.18205126999999999</v>
      </c>
      <c r="J150">
        <v>0.45828437999999999</v>
      </c>
    </row>
    <row r="151" spans="1:10" x14ac:dyDescent="0.3">
      <c r="A151">
        <v>149</v>
      </c>
      <c r="B151">
        <v>3221</v>
      </c>
      <c r="C151" t="b">
        <v>1</v>
      </c>
      <c r="D151">
        <v>8060</v>
      </c>
      <c r="E151">
        <v>8093</v>
      </c>
      <c r="F151">
        <v>215.93333000000001</v>
      </c>
      <c r="G151">
        <v>181.6</v>
      </c>
      <c r="H151">
        <v>1.1890601999999999</v>
      </c>
      <c r="I151">
        <v>-0.18906017</v>
      </c>
      <c r="J151">
        <v>0.45681706</v>
      </c>
    </row>
    <row r="152" spans="1:10" x14ac:dyDescent="0.3">
      <c r="A152">
        <v>150</v>
      </c>
      <c r="B152">
        <v>3237</v>
      </c>
      <c r="C152" t="b">
        <v>1</v>
      </c>
      <c r="D152">
        <v>8077</v>
      </c>
      <c r="E152">
        <v>8093</v>
      </c>
      <c r="F152">
        <v>216.66667000000001</v>
      </c>
      <c r="G152">
        <v>181.2</v>
      </c>
      <c r="H152">
        <v>1.1957321999999999</v>
      </c>
      <c r="I152">
        <v>-0.1957322</v>
      </c>
      <c r="J152">
        <v>0.45542895999999999</v>
      </c>
    </row>
    <row r="153" spans="1:10" x14ac:dyDescent="0.3">
      <c r="A153">
        <v>151</v>
      </c>
      <c r="B153">
        <v>3253</v>
      </c>
      <c r="C153" t="b">
        <v>1</v>
      </c>
      <c r="D153">
        <v>8042</v>
      </c>
      <c r="E153">
        <v>8134</v>
      </c>
      <c r="F153">
        <v>217.06666999999999</v>
      </c>
      <c r="G153">
        <v>180.8</v>
      </c>
      <c r="H153">
        <v>1.2005899</v>
      </c>
      <c r="I153">
        <v>-0.20058993999999999</v>
      </c>
      <c r="J153">
        <v>0.45442359999999998</v>
      </c>
    </row>
    <row r="154" spans="1:10" x14ac:dyDescent="0.3">
      <c r="A154">
        <v>152</v>
      </c>
      <c r="B154">
        <v>3268</v>
      </c>
      <c r="C154" t="b">
        <v>1</v>
      </c>
      <c r="D154">
        <v>8060</v>
      </c>
      <c r="E154">
        <v>8123</v>
      </c>
      <c r="F154">
        <v>217.86667</v>
      </c>
      <c r="G154">
        <v>180.8</v>
      </c>
      <c r="H154">
        <v>1.2050147</v>
      </c>
      <c r="I154">
        <v>-0.20501474</v>
      </c>
      <c r="J154">
        <v>0.45351170000000002</v>
      </c>
    </row>
    <row r="155" spans="1:10" x14ac:dyDescent="0.3">
      <c r="A155">
        <v>153</v>
      </c>
      <c r="B155">
        <v>3284</v>
      </c>
      <c r="C155" t="b">
        <v>1</v>
      </c>
      <c r="D155">
        <v>8060</v>
      </c>
      <c r="E155">
        <v>8117</v>
      </c>
      <c r="F155">
        <v>218.66667000000001</v>
      </c>
      <c r="G155">
        <v>181.6</v>
      </c>
      <c r="H155">
        <v>1.2041116000000001</v>
      </c>
      <c r="I155">
        <v>-0.20411159000000001</v>
      </c>
      <c r="J155">
        <v>0.45369756</v>
      </c>
    </row>
    <row r="156" spans="1:10" x14ac:dyDescent="0.3">
      <c r="A156">
        <v>154</v>
      </c>
      <c r="B156">
        <v>3300</v>
      </c>
      <c r="C156" t="b">
        <v>1</v>
      </c>
      <c r="D156">
        <v>8060</v>
      </c>
      <c r="E156">
        <v>8152</v>
      </c>
      <c r="F156">
        <v>219.06666999999999</v>
      </c>
      <c r="G156">
        <v>183.2</v>
      </c>
      <c r="H156">
        <v>1.1957787</v>
      </c>
      <c r="I156">
        <v>-0.19577876</v>
      </c>
      <c r="J156">
        <v>0.45541930000000003</v>
      </c>
    </row>
    <row r="157" spans="1:10" x14ac:dyDescent="0.3">
      <c r="A157">
        <v>155</v>
      </c>
      <c r="B157">
        <v>3316</v>
      </c>
      <c r="C157" t="b">
        <v>1</v>
      </c>
      <c r="D157">
        <v>8030</v>
      </c>
      <c r="E157">
        <v>8134</v>
      </c>
      <c r="F157">
        <v>219.46665999999999</v>
      </c>
      <c r="G157">
        <v>185.13333</v>
      </c>
      <c r="H157">
        <v>1.1854518999999999</v>
      </c>
      <c r="I157">
        <v>-0.1854519</v>
      </c>
      <c r="J157">
        <v>0.45757130000000001</v>
      </c>
    </row>
    <row r="158" spans="1:10" x14ac:dyDescent="0.3">
      <c r="A158">
        <v>156</v>
      </c>
      <c r="B158">
        <v>3347</v>
      </c>
      <c r="C158" t="b">
        <v>1</v>
      </c>
      <c r="D158">
        <v>8060</v>
      </c>
      <c r="E158">
        <v>8117</v>
      </c>
      <c r="F158">
        <v>219.86667</v>
      </c>
      <c r="G158">
        <v>186.73334</v>
      </c>
      <c r="H158">
        <v>1.1774366000000001</v>
      </c>
      <c r="I158">
        <v>-0.17743661999999999</v>
      </c>
      <c r="J158">
        <v>0.45925559999999999</v>
      </c>
    </row>
    <row r="159" spans="1:10" x14ac:dyDescent="0.3">
      <c r="A159">
        <v>157</v>
      </c>
      <c r="B159">
        <v>3363</v>
      </c>
      <c r="C159" t="b">
        <v>1</v>
      </c>
      <c r="D159">
        <v>8060</v>
      </c>
      <c r="E159">
        <v>8099</v>
      </c>
      <c r="F159">
        <v>220.26666</v>
      </c>
      <c r="G159">
        <v>187.93333000000001</v>
      </c>
      <c r="H159">
        <v>1.1720467999999999</v>
      </c>
      <c r="I159">
        <v>-0.1720468</v>
      </c>
      <c r="J159">
        <v>0.46039521999999999</v>
      </c>
    </row>
    <row r="160" spans="1:10" x14ac:dyDescent="0.3">
      <c r="A160">
        <v>158</v>
      </c>
      <c r="B160">
        <v>3379</v>
      </c>
      <c r="C160" t="b">
        <v>1</v>
      </c>
      <c r="D160">
        <v>8042</v>
      </c>
      <c r="E160">
        <v>8105</v>
      </c>
      <c r="F160">
        <v>220.66667000000001</v>
      </c>
      <c r="G160">
        <v>189.13333</v>
      </c>
      <c r="H160">
        <v>1.1667254</v>
      </c>
      <c r="I160">
        <v>-0.16672545999999999</v>
      </c>
      <c r="J160">
        <v>0.46152595000000002</v>
      </c>
    </row>
    <row r="161" spans="1:10" x14ac:dyDescent="0.3">
      <c r="A161">
        <v>159</v>
      </c>
      <c r="B161">
        <v>3395</v>
      </c>
      <c r="C161" t="b">
        <v>1</v>
      </c>
      <c r="D161">
        <v>8054</v>
      </c>
      <c r="E161">
        <v>8099</v>
      </c>
      <c r="F161">
        <v>220.26666</v>
      </c>
      <c r="G161">
        <v>189.53334000000001</v>
      </c>
      <c r="H161">
        <v>1.1621526</v>
      </c>
      <c r="I161">
        <v>-0.16215259000000001</v>
      </c>
      <c r="J161">
        <v>0.46250205999999999</v>
      </c>
    </row>
    <row r="162" spans="1:10" x14ac:dyDescent="0.3">
      <c r="A162">
        <v>160</v>
      </c>
      <c r="B162">
        <v>3426</v>
      </c>
      <c r="C162" t="b">
        <v>1</v>
      </c>
      <c r="D162">
        <v>8037</v>
      </c>
      <c r="E162">
        <v>8129</v>
      </c>
      <c r="F162">
        <v>219.86667</v>
      </c>
      <c r="G162">
        <v>190.73334</v>
      </c>
      <c r="H162">
        <v>1.1527438000000001</v>
      </c>
      <c r="I162">
        <v>-0.15274378999999999</v>
      </c>
      <c r="J162">
        <v>0.46452346</v>
      </c>
    </row>
    <row r="163" spans="1:10" x14ac:dyDescent="0.3">
      <c r="A163">
        <v>161</v>
      </c>
      <c r="B163">
        <v>3458</v>
      </c>
      <c r="C163" t="b">
        <v>1</v>
      </c>
      <c r="D163">
        <v>8042</v>
      </c>
      <c r="E163">
        <v>8123</v>
      </c>
      <c r="F163">
        <v>218.66667000000001</v>
      </c>
      <c r="G163">
        <v>191.93333000000001</v>
      </c>
      <c r="H163">
        <v>1.1392845</v>
      </c>
      <c r="I163">
        <v>-0.13928449000000001</v>
      </c>
      <c r="J163">
        <v>0.46744599999999997</v>
      </c>
    </row>
    <row r="164" spans="1:10" x14ac:dyDescent="0.3">
      <c r="A164">
        <v>162</v>
      </c>
      <c r="B164">
        <v>3474</v>
      </c>
      <c r="C164" t="b">
        <v>1</v>
      </c>
      <c r="D164">
        <v>8060</v>
      </c>
      <c r="E164">
        <v>8081</v>
      </c>
      <c r="F164">
        <v>217.46665999999999</v>
      </c>
      <c r="G164">
        <v>193.13333</v>
      </c>
      <c r="H164">
        <v>1.1259923999999999</v>
      </c>
      <c r="I164">
        <v>-0.12599239000000001</v>
      </c>
      <c r="J164">
        <v>0.47036860000000003</v>
      </c>
    </row>
    <row r="165" spans="1:10" x14ac:dyDescent="0.3">
      <c r="A165">
        <v>163</v>
      </c>
      <c r="B165">
        <v>3490</v>
      </c>
      <c r="C165" t="b">
        <v>1</v>
      </c>
      <c r="D165">
        <v>8054</v>
      </c>
      <c r="E165">
        <v>8087</v>
      </c>
      <c r="F165">
        <v>216.73334</v>
      </c>
      <c r="G165">
        <v>193.93333000000001</v>
      </c>
      <c r="H165">
        <v>1.1175662</v>
      </c>
      <c r="I165">
        <v>-0.11756619</v>
      </c>
      <c r="J165">
        <v>0.47224023999999998</v>
      </c>
    </row>
    <row r="166" spans="1:10" x14ac:dyDescent="0.3">
      <c r="A166">
        <v>164</v>
      </c>
      <c r="B166">
        <v>3522</v>
      </c>
      <c r="C166" t="b">
        <v>1</v>
      </c>
      <c r="D166">
        <v>8042</v>
      </c>
      <c r="E166">
        <v>8093</v>
      </c>
      <c r="F166">
        <v>215.53334000000001</v>
      </c>
      <c r="G166">
        <v>193.93333000000001</v>
      </c>
      <c r="H166">
        <v>1.1113786000000001</v>
      </c>
      <c r="I166">
        <v>-0.11137851</v>
      </c>
      <c r="J166">
        <v>0.47362422999999998</v>
      </c>
    </row>
    <row r="167" spans="1:10" x14ac:dyDescent="0.3">
      <c r="A167">
        <v>165</v>
      </c>
      <c r="B167">
        <v>3537</v>
      </c>
      <c r="C167" t="b">
        <v>1</v>
      </c>
      <c r="D167">
        <v>8060</v>
      </c>
      <c r="E167">
        <v>8111</v>
      </c>
      <c r="F167">
        <v>214.8</v>
      </c>
      <c r="G167">
        <v>193.93333000000001</v>
      </c>
      <c r="H167">
        <v>1.1075971</v>
      </c>
      <c r="I167">
        <v>-0.10759712</v>
      </c>
      <c r="J167">
        <v>0.47447398000000002</v>
      </c>
    </row>
    <row r="168" spans="1:10" x14ac:dyDescent="0.3">
      <c r="A168">
        <v>166</v>
      </c>
      <c r="B168">
        <v>3553</v>
      </c>
      <c r="C168" t="b">
        <v>1</v>
      </c>
      <c r="D168">
        <v>8065</v>
      </c>
      <c r="E168">
        <v>8093</v>
      </c>
      <c r="F168">
        <v>214.8</v>
      </c>
      <c r="G168">
        <v>193.93333000000001</v>
      </c>
      <c r="H168">
        <v>1.1075971</v>
      </c>
      <c r="I168">
        <v>-0.10759712</v>
      </c>
      <c r="J168">
        <v>0.47447398000000002</v>
      </c>
    </row>
    <row r="169" spans="1:10" x14ac:dyDescent="0.3">
      <c r="A169">
        <v>167</v>
      </c>
      <c r="B169">
        <v>3569</v>
      </c>
      <c r="C169" t="b">
        <v>1</v>
      </c>
      <c r="D169">
        <v>8054</v>
      </c>
      <c r="E169">
        <v>8117</v>
      </c>
      <c r="F169">
        <v>214.4</v>
      </c>
      <c r="G169">
        <v>193.13333</v>
      </c>
      <c r="H169">
        <v>1.1101139</v>
      </c>
      <c r="I169">
        <v>-0.11011389000000001</v>
      </c>
      <c r="J169">
        <v>0.47390807000000001</v>
      </c>
    </row>
    <row r="170" spans="1:10" x14ac:dyDescent="0.3">
      <c r="A170">
        <v>168</v>
      </c>
      <c r="B170">
        <v>3585</v>
      </c>
      <c r="C170" t="b">
        <v>1</v>
      </c>
      <c r="D170">
        <v>8048</v>
      </c>
      <c r="E170">
        <v>8099</v>
      </c>
      <c r="F170">
        <v>214</v>
      </c>
      <c r="G170">
        <v>191.93333000000001</v>
      </c>
      <c r="H170">
        <v>1.1149704</v>
      </c>
      <c r="I170">
        <v>-0.11497047000000001</v>
      </c>
      <c r="J170">
        <v>0.47281983</v>
      </c>
    </row>
    <row r="171" spans="1:10" x14ac:dyDescent="0.3">
      <c r="A171">
        <v>169</v>
      </c>
      <c r="B171">
        <v>3601</v>
      </c>
      <c r="C171" t="b">
        <v>1</v>
      </c>
      <c r="D171">
        <v>8054</v>
      </c>
      <c r="E171">
        <v>8105</v>
      </c>
      <c r="F171">
        <v>213.6</v>
      </c>
      <c r="G171">
        <v>190.73334</v>
      </c>
      <c r="H171">
        <v>1.1198881999999999</v>
      </c>
      <c r="I171">
        <v>-0.11988815999999999</v>
      </c>
      <c r="J171">
        <v>0.471723</v>
      </c>
    </row>
    <row r="172" spans="1:10" x14ac:dyDescent="0.3">
      <c r="A172">
        <v>170</v>
      </c>
      <c r="B172">
        <v>3617</v>
      </c>
      <c r="C172" t="b">
        <v>1</v>
      </c>
      <c r="D172">
        <v>8054</v>
      </c>
      <c r="E172">
        <v>8093</v>
      </c>
      <c r="F172">
        <v>213.2</v>
      </c>
      <c r="G172">
        <v>188.4</v>
      </c>
      <c r="H172">
        <v>1.1316348000000001</v>
      </c>
      <c r="I172">
        <v>-0.13163485</v>
      </c>
      <c r="J172">
        <v>0.46912350000000003</v>
      </c>
    </row>
    <row r="173" spans="1:10" x14ac:dyDescent="0.3">
      <c r="A173">
        <v>171</v>
      </c>
      <c r="B173">
        <v>3633</v>
      </c>
      <c r="C173" t="b">
        <v>1</v>
      </c>
      <c r="D173">
        <v>8071</v>
      </c>
      <c r="E173">
        <v>8105</v>
      </c>
      <c r="F173">
        <v>212.8</v>
      </c>
      <c r="G173">
        <v>187.2</v>
      </c>
      <c r="H173">
        <v>1.1367521</v>
      </c>
      <c r="I173">
        <v>-0.13675217000000001</v>
      </c>
      <c r="J173">
        <v>0.46800000000000003</v>
      </c>
    </row>
    <row r="174" spans="1:10" x14ac:dyDescent="0.3">
      <c r="A174">
        <v>172</v>
      </c>
      <c r="B174">
        <v>3649</v>
      </c>
      <c r="C174" t="b">
        <v>1</v>
      </c>
      <c r="D174">
        <v>8060</v>
      </c>
      <c r="E174">
        <v>8105</v>
      </c>
      <c r="F174">
        <v>212.4</v>
      </c>
      <c r="G174">
        <v>186.4</v>
      </c>
      <c r="H174">
        <v>1.1394850000000001</v>
      </c>
      <c r="I174">
        <v>-0.13948499</v>
      </c>
      <c r="J174">
        <v>0.46740221999999998</v>
      </c>
    </row>
    <row r="175" spans="1:10" x14ac:dyDescent="0.3">
      <c r="A175">
        <v>173</v>
      </c>
      <c r="B175">
        <v>3664</v>
      </c>
      <c r="C175" t="b">
        <v>1</v>
      </c>
      <c r="D175">
        <v>8054</v>
      </c>
      <c r="E175">
        <v>8087</v>
      </c>
      <c r="F175">
        <v>212</v>
      </c>
      <c r="G175">
        <v>185.6</v>
      </c>
      <c r="H175">
        <v>1.1422414000000001</v>
      </c>
      <c r="I175">
        <v>-0.14224133999999999</v>
      </c>
      <c r="J175">
        <v>0.46680080000000002</v>
      </c>
    </row>
    <row r="176" spans="1:10" x14ac:dyDescent="0.3">
      <c r="A176">
        <v>174</v>
      </c>
      <c r="B176">
        <v>3680</v>
      </c>
      <c r="C176" t="b">
        <v>1</v>
      </c>
      <c r="D176">
        <v>8065</v>
      </c>
      <c r="E176">
        <v>8093</v>
      </c>
      <c r="F176">
        <v>212.4</v>
      </c>
      <c r="G176">
        <v>184.8</v>
      </c>
      <c r="H176">
        <v>1.1493506</v>
      </c>
      <c r="I176">
        <v>-0.1493506</v>
      </c>
      <c r="J176">
        <v>0.46525677999999998</v>
      </c>
    </row>
    <row r="177" spans="1:10" x14ac:dyDescent="0.3">
      <c r="A177">
        <v>175</v>
      </c>
      <c r="B177">
        <v>3696</v>
      </c>
      <c r="C177" t="b">
        <v>1</v>
      </c>
      <c r="D177">
        <v>8048</v>
      </c>
      <c r="E177">
        <v>8111</v>
      </c>
      <c r="F177">
        <v>212.8</v>
      </c>
      <c r="G177">
        <v>184.8</v>
      </c>
      <c r="H177">
        <v>1.1515150999999999</v>
      </c>
      <c r="I177">
        <v>-0.15151516000000001</v>
      </c>
      <c r="J177">
        <v>0.46478872999999998</v>
      </c>
    </row>
    <row r="178" spans="1:10" x14ac:dyDescent="0.3">
      <c r="A178">
        <v>176</v>
      </c>
      <c r="B178">
        <v>3727</v>
      </c>
      <c r="C178" t="b">
        <v>1</v>
      </c>
      <c r="D178">
        <v>8060</v>
      </c>
      <c r="E178">
        <v>8111</v>
      </c>
      <c r="F178">
        <v>214</v>
      </c>
      <c r="G178">
        <v>184.8</v>
      </c>
      <c r="H178">
        <v>1.1580086999999999</v>
      </c>
      <c r="I178">
        <v>-0.15800864000000001</v>
      </c>
      <c r="J178">
        <v>0.46339019999999997</v>
      </c>
    </row>
    <row r="179" spans="1:10" x14ac:dyDescent="0.3">
      <c r="A179">
        <v>177</v>
      </c>
      <c r="B179">
        <v>3742</v>
      </c>
      <c r="C179" t="b">
        <v>1</v>
      </c>
      <c r="D179">
        <v>8054</v>
      </c>
      <c r="E179">
        <v>8099</v>
      </c>
      <c r="F179">
        <v>214.8</v>
      </c>
      <c r="G179">
        <v>184.4</v>
      </c>
      <c r="H179">
        <v>1.1648590000000001</v>
      </c>
      <c r="I179">
        <v>-0.16485906</v>
      </c>
      <c r="J179">
        <v>0.4619238</v>
      </c>
    </row>
    <row r="180" spans="1:10" x14ac:dyDescent="0.3">
      <c r="A180">
        <v>178</v>
      </c>
      <c r="B180">
        <v>3758</v>
      </c>
      <c r="C180" t="b">
        <v>1</v>
      </c>
      <c r="D180">
        <v>8060</v>
      </c>
      <c r="E180">
        <v>8093</v>
      </c>
      <c r="F180">
        <v>215.2</v>
      </c>
      <c r="G180">
        <v>184.4</v>
      </c>
      <c r="H180">
        <v>1.1670282000000001</v>
      </c>
      <c r="I180">
        <v>-0.16702822000000001</v>
      </c>
      <c r="J180">
        <v>0.46146147999999998</v>
      </c>
    </row>
    <row r="181" spans="1:10" x14ac:dyDescent="0.3">
      <c r="A181">
        <v>179</v>
      </c>
      <c r="B181">
        <v>3789</v>
      </c>
      <c r="C181" t="b">
        <v>1</v>
      </c>
      <c r="D181">
        <v>8065</v>
      </c>
      <c r="E181">
        <v>8117</v>
      </c>
      <c r="F181">
        <v>216.4</v>
      </c>
      <c r="G181">
        <v>185.6</v>
      </c>
      <c r="H181">
        <v>1.1659482000000001</v>
      </c>
      <c r="I181">
        <v>-0.16594819999999999</v>
      </c>
      <c r="J181">
        <v>0.46169156</v>
      </c>
    </row>
    <row r="182" spans="1:10" x14ac:dyDescent="0.3">
      <c r="A182">
        <v>180</v>
      </c>
      <c r="B182">
        <v>3805</v>
      </c>
      <c r="C182" t="b">
        <v>1</v>
      </c>
      <c r="D182">
        <v>8048</v>
      </c>
      <c r="E182">
        <v>8099</v>
      </c>
      <c r="F182">
        <v>216.8</v>
      </c>
      <c r="G182">
        <v>186</v>
      </c>
      <c r="H182">
        <v>1.1655914000000001</v>
      </c>
      <c r="I182">
        <v>-0.16559141999999999</v>
      </c>
      <c r="J182">
        <v>0.46176763999999998</v>
      </c>
    </row>
    <row r="183" spans="1:10" x14ac:dyDescent="0.3">
      <c r="A183">
        <v>181</v>
      </c>
      <c r="B183">
        <v>3837</v>
      </c>
      <c r="C183" t="b">
        <v>1</v>
      </c>
      <c r="D183">
        <v>8065</v>
      </c>
      <c r="E183">
        <v>8099</v>
      </c>
      <c r="F183">
        <v>216.8</v>
      </c>
      <c r="G183">
        <v>186.4</v>
      </c>
      <c r="H183">
        <v>1.1630902000000001</v>
      </c>
      <c r="I183">
        <v>-0.16309018</v>
      </c>
      <c r="J183">
        <v>0.46230155000000001</v>
      </c>
    </row>
    <row r="184" spans="1:10" x14ac:dyDescent="0.3">
      <c r="A184">
        <v>182</v>
      </c>
      <c r="B184">
        <v>3868</v>
      </c>
      <c r="C184" t="b">
        <v>1</v>
      </c>
      <c r="D184">
        <v>8048</v>
      </c>
      <c r="E184">
        <v>8117</v>
      </c>
      <c r="F184">
        <v>217.2</v>
      </c>
      <c r="G184">
        <v>186.8</v>
      </c>
      <c r="H184">
        <v>1.1627407999999999</v>
      </c>
      <c r="I184">
        <v>-0.16274087000000001</v>
      </c>
      <c r="J184">
        <v>0.46237623999999999</v>
      </c>
    </row>
    <row r="185" spans="1:10" x14ac:dyDescent="0.3">
      <c r="A185">
        <v>183</v>
      </c>
      <c r="B185">
        <v>3884</v>
      </c>
      <c r="C185" t="b">
        <v>1</v>
      </c>
      <c r="D185">
        <v>8060</v>
      </c>
      <c r="E185">
        <v>8105</v>
      </c>
      <c r="F185">
        <v>217.6</v>
      </c>
      <c r="G185">
        <v>187.2</v>
      </c>
      <c r="H185">
        <v>1.1623931999999999</v>
      </c>
      <c r="I185">
        <v>-0.16239321000000001</v>
      </c>
      <c r="J185">
        <v>0.46245059999999999</v>
      </c>
    </row>
    <row r="186" spans="1:10" x14ac:dyDescent="0.3">
      <c r="A186">
        <v>184</v>
      </c>
      <c r="B186">
        <v>3900</v>
      </c>
      <c r="C186" t="b">
        <v>1</v>
      </c>
      <c r="D186">
        <v>8077</v>
      </c>
      <c r="E186">
        <v>8117</v>
      </c>
      <c r="F186">
        <v>218</v>
      </c>
      <c r="G186">
        <v>187.2</v>
      </c>
      <c r="H186">
        <v>1.1645299</v>
      </c>
      <c r="I186">
        <v>-0.16452992999999999</v>
      </c>
      <c r="J186">
        <v>0.46199404999999999</v>
      </c>
    </row>
    <row r="187" spans="1:10" x14ac:dyDescent="0.3">
      <c r="A187">
        <v>185</v>
      </c>
      <c r="B187">
        <v>3916</v>
      </c>
      <c r="C187" t="b">
        <v>1</v>
      </c>
      <c r="D187">
        <v>8071</v>
      </c>
      <c r="E187">
        <v>8093</v>
      </c>
      <c r="F187">
        <v>218.73334</v>
      </c>
      <c r="G187">
        <v>187.6</v>
      </c>
      <c r="H187">
        <v>1.1659558999999999</v>
      </c>
      <c r="I187">
        <v>-0.16595592000000001</v>
      </c>
      <c r="J187">
        <v>0.46168991999999998</v>
      </c>
    </row>
    <row r="188" spans="1:10" x14ac:dyDescent="0.3">
      <c r="A188">
        <v>186</v>
      </c>
      <c r="B188">
        <v>3932</v>
      </c>
      <c r="C188" t="b">
        <v>1</v>
      </c>
      <c r="D188">
        <v>8088</v>
      </c>
      <c r="E188">
        <v>8105</v>
      </c>
      <c r="F188">
        <v>219.86667</v>
      </c>
      <c r="G188">
        <v>187.6</v>
      </c>
      <c r="H188">
        <v>1.1719971</v>
      </c>
      <c r="I188">
        <v>-0.17199713</v>
      </c>
      <c r="J188">
        <v>0.46040576999999999</v>
      </c>
    </row>
    <row r="189" spans="1:10" x14ac:dyDescent="0.3">
      <c r="A189">
        <v>187</v>
      </c>
      <c r="B189">
        <v>3948</v>
      </c>
      <c r="C189" t="b">
        <v>1</v>
      </c>
      <c r="D189">
        <v>8037</v>
      </c>
      <c r="E189">
        <v>8129</v>
      </c>
      <c r="F189">
        <v>221</v>
      </c>
      <c r="G189">
        <v>187.6</v>
      </c>
      <c r="H189">
        <v>1.1780383999999999</v>
      </c>
      <c r="I189">
        <v>-0.17803833999999999</v>
      </c>
      <c r="J189">
        <v>0.45912873999999998</v>
      </c>
    </row>
    <row r="190" spans="1:10" x14ac:dyDescent="0.3">
      <c r="A190">
        <v>188</v>
      </c>
      <c r="B190">
        <v>3979</v>
      </c>
      <c r="C190" t="b">
        <v>1</v>
      </c>
      <c r="D190">
        <v>8071</v>
      </c>
      <c r="E190">
        <v>8081</v>
      </c>
      <c r="F190">
        <v>222.13333</v>
      </c>
      <c r="G190">
        <v>187.6</v>
      </c>
      <c r="H190">
        <v>1.1840795</v>
      </c>
      <c r="I190">
        <v>-0.18407956</v>
      </c>
      <c r="J190">
        <v>0.45785877000000003</v>
      </c>
    </row>
    <row r="191" spans="1:10" x14ac:dyDescent="0.3">
      <c r="A191">
        <v>189</v>
      </c>
      <c r="B191">
        <v>4011</v>
      </c>
      <c r="C191" t="b">
        <v>1</v>
      </c>
      <c r="D191">
        <v>8065</v>
      </c>
      <c r="E191">
        <v>8111</v>
      </c>
      <c r="F191">
        <v>222.86667</v>
      </c>
      <c r="G191">
        <v>188.4</v>
      </c>
      <c r="H191">
        <v>1.1829441999999999</v>
      </c>
      <c r="I191">
        <v>-0.18294413000000001</v>
      </c>
      <c r="J191">
        <v>0.45809692000000002</v>
      </c>
    </row>
    <row r="192" spans="1:10" x14ac:dyDescent="0.3">
      <c r="A192">
        <v>190</v>
      </c>
      <c r="B192">
        <v>4027</v>
      </c>
      <c r="C192" t="b">
        <v>1</v>
      </c>
      <c r="D192">
        <v>8060</v>
      </c>
      <c r="E192">
        <v>8105</v>
      </c>
      <c r="F192">
        <v>223.2</v>
      </c>
      <c r="G192">
        <v>188.4</v>
      </c>
      <c r="H192">
        <v>1.1847133999999999</v>
      </c>
      <c r="I192">
        <v>-0.1847134</v>
      </c>
      <c r="J192">
        <v>0.45772596999999998</v>
      </c>
    </row>
    <row r="193" spans="1:10" x14ac:dyDescent="0.3">
      <c r="A193">
        <v>191</v>
      </c>
      <c r="B193">
        <v>4059</v>
      </c>
      <c r="C193" t="b">
        <v>1</v>
      </c>
      <c r="D193">
        <v>8065</v>
      </c>
      <c r="E193">
        <v>8105</v>
      </c>
      <c r="F193">
        <v>223.53334000000001</v>
      </c>
      <c r="G193">
        <v>188.4</v>
      </c>
      <c r="H193">
        <v>1.1864828000000001</v>
      </c>
      <c r="I193">
        <v>-0.18648274000000001</v>
      </c>
      <c r="J193">
        <v>0.45735553000000001</v>
      </c>
    </row>
    <row r="194" spans="1:10" x14ac:dyDescent="0.3">
      <c r="A194">
        <v>192</v>
      </c>
      <c r="B194">
        <v>4090</v>
      </c>
      <c r="C194" t="b">
        <v>1</v>
      </c>
      <c r="D194">
        <v>8083</v>
      </c>
      <c r="E194">
        <v>8105</v>
      </c>
      <c r="F194">
        <v>224.26666</v>
      </c>
      <c r="G194">
        <v>188.8</v>
      </c>
      <c r="H194">
        <v>1.1878531000000001</v>
      </c>
      <c r="I194">
        <v>-0.18785307000000001</v>
      </c>
      <c r="J194">
        <v>0.45706910000000001</v>
      </c>
    </row>
    <row r="195" spans="1:10" x14ac:dyDescent="0.3">
      <c r="A195">
        <v>193</v>
      </c>
      <c r="B195">
        <v>4105</v>
      </c>
      <c r="C195" t="b">
        <v>1</v>
      </c>
      <c r="D195">
        <v>8065</v>
      </c>
      <c r="E195">
        <v>8099</v>
      </c>
      <c r="F195">
        <v>224.6</v>
      </c>
      <c r="G195">
        <v>189.2</v>
      </c>
      <c r="H195">
        <v>1.1871035999999999</v>
      </c>
      <c r="I195">
        <v>-0.18710363999999999</v>
      </c>
      <c r="J195">
        <v>0.45722570000000001</v>
      </c>
    </row>
    <row r="196" spans="1:10" x14ac:dyDescent="0.3">
      <c r="A196">
        <v>194</v>
      </c>
      <c r="B196">
        <v>4121</v>
      </c>
      <c r="C196" t="b">
        <v>1</v>
      </c>
      <c r="D196">
        <v>8071</v>
      </c>
      <c r="E196">
        <v>8111</v>
      </c>
      <c r="F196">
        <v>224.93333000000001</v>
      </c>
      <c r="G196">
        <v>188.8</v>
      </c>
      <c r="H196">
        <v>1.1913841999999999</v>
      </c>
      <c r="I196">
        <v>-0.19138416999999999</v>
      </c>
      <c r="J196">
        <v>0.45633259999999998</v>
      </c>
    </row>
    <row r="197" spans="1:10" x14ac:dyDescent="0.3">
      <c r="A197">
        <v>195</v>
      </c>
      <c r="B197">
        <v>4137</v>
      </c>
      <c r="C197" t="b">
        <v>1</v>
      </c>
      <c r="D197">
        <v>8071</v>
      </c>
      <c r="E197">
        <v>8117</v>
      </c>
      <c r="F197">
        <v>225.66667000000001</v>
      </c>
      <c r="G197">
        <v>189.2</v>
      </c>
      <c r="H197">
        <v>1.1927414000000001</v>
      </c>
      <c r="I197">
        <v>-0.19274141</v>
      </c>
      <c r="J197">
        <v>0.45605013</v>
      </c>
    </row>
    <row r="198" spans="1:10" x14ac:dyDescent="0.3">
      <c r="A198">
        <v>196</v>
      </c>
      <c r="B198">
        <v>4169</v>
      </c>
      <c r="C198" t="b">
        <v>1</v>
      </c>
      <c r="D198">
        <v>8065</v>
      </c>
      <c r="E198">
        <v>8105</v>
      </c>
      <c r="F198">
        <v>226.4</v>
      </c>
      <c r="G198">
        <v>189.6</v>
      </c>
      <c r="H198">
        <v>1.1940928</v>
      </c>
      <c r="I198">
        <v>-0.19409275000000001</v>
      </c>
      <c r="J198">
        <v>0.45576924000000002</v>
      </c>
    </row>
    <row r="199" spans="1:10" x14ac:dyDescent="0.3">
      <c r="A199">
        <v>197</v>
      </c>
      <c r="B199">
        <v>4200</v>
      </c>
      <c r="C199" t="b">
        <v>1</v>
      </c>
      <c r="D199">
        <v>8042</v>
      </c>
      <c r="E199">
        <v>8093</v>
      </c>
      <c r="F199">
        <v>226.73334</v>
      </c>
      <c r="G199">
        <v>190</v>
      </c>
      <c r="H199">
        <v>1.1933334</v>
      </c>
      <c r="I199">
        <v>-0.19333336000000001</v>
      </c>
      <c r="J199">
        <v>0.45592704000000001</v>
      </c>
    </row>
    <row r="200" spans="1:10" x14ac:dyDescent="0.3">
      <c r="A200">
        <v>198</v>
      </c>
      <c r="B200">
        <v>4233</v>
      </c>
      <c r="C200" t="b">
        <v>1</v>
      </c>
      <c r="D200">
        <v>8054</v>
      </c>
      <c r="E200">
        <v>8081</v>
      </c>
      <c r="F200">
        <v>227.06666999999999</v>
      </c>
      <c r="G200">
        <v>190</v>
      </c>
      <c r="H200">
        <v>1.1950877</v>
      </c>
      <c r="I200">
        <v>-0.19508771999999999</v>
      </c>
      <c r="J200">
        <v>0.45556268</v>
      </c>
    </row>
    <row r="201" spans="1:10" x14ac:dyDescent="0.3">
      <c r="A201">
        <v>199</v>
      </c>
      <c r="B201">
        <v>4265</v>
      </c>
      <c r="C201" t="b">
        <v>1</v>
      </c>
      <c r="D201">
        <v>8065</v>
      </c>
      <c r="E201">
        <v>8111</v>
      </c>
      <c r="F201">
        <v>227.4</v>
      </c>
      <c r="G201">
        <v>190</v>
      </c>
      <c r="H201">
        <v>1.1968421</v>
      </c>
      <c r="I201">
        <v>-0.19684207000000001</v>
      </c>
      <c r="J201">
        <v>0.45519884999999999</v>
      </c>
    </row>
    <row r="202" spans="1:10" x14ac:dyDescent="0.3">
      <c r="A202">
        <v>200</v>
      </c>
      <c r="B202">
        <v>4296</v>
      </c>
      <c r="C202" t="b">
        <v>1</v>
      </c>
      <c r="D202">
        <v>8054</v>
      </c>
      <c r="E202">
        <v>8123</v>
      </c>
      <c r="F202">
        <v>226.66667000000001</v>
      </c>
      <c r="G202">
        <v>190</v>
      </c>
      <c r="H202">
        <v>1.1929824</v>
      </c>
      <c r="I202">
        <v>-0.19298248000000001</v>
      </c>
      <c r="J202">
        <v>0.45599996999999998</v>
      </c>
    </row>
    <row r="203" spans="1:10" x14ac:dyDescent="0.3">
      <c r="A203">
        <v>201</v>
      </c>
      <c r="B203">
        <v>4327</v>
      </c>
      <c r="C203" t="b">
        <v>1</v>
      </c>
      <c r="D203">
        <v>8037</v>
      </c>
      <c r="E203">
        <v>8093</v>
      </c>
      <c r="F203">
        <v>225.53334000000001</v>
      </c>
      <c r="G203">
        <v>189.2</v>
      </c>
      <c r="H203">
        <v>1.1920367000000001</v>
      </c>
      <c r="I203">
        <v>-0.1920367</v>
      </c>
      <c r="J203">
        <v>0.45619675999999998</v>
      </c>
    </row>
    <row r="204" spans="1:10" x14ac:dyDescent="0.3">
      <c r="A204">
        <v>202</v>
      </c>
      <c r="B204">
        <v>4359</v>
      </c>
      <c r="C204" t="b">
        <v>1</v>
      </c>
      <c r="D204">
        <v>8065</v>
      </c>
      <c r="E204">
        <v>8129</v>
      </c>
      <c r="F204">
        <v>224.4</v>
      </c>
      <c r="G204">
        <v>189.6</v>
      </c>
      <c r="H204">
        <v>1.1835443000000001</v>
      </c>
      <c r="I204">
        <v>-0.18354423</v>
      </c>
      <c r="J204">
        <v>0.45797104</v>
      </c>
    </row>
    <row r="205" spans="1:10" x14ac:dyDescent="0.3">
      <c r="A205">
        <v>203</v>
      </c>
      <c r="B205">
        <v>4391</v>
      </c>
      <c r="C205" t="b">
        <v>1</v>
      </c>
      <c r="D205">
        <v>8048</v>
      </c>
      <c r="E205">
        <v>8117</v>
      </c>
      <c r="F205">
        <v>223.26666</v>
      </c>
      <c r="G205">
        <v>190.4</v>
      </c>
      <c r="H205">
        <v>1.1726190999999999</v>
      </c>
      <c r="I205">
        <v>-0.17261905999999999</v>
      </c>
      <c r="J205">
        <v>0.46027398000000003</v>
      </c>
    </row>
    <row r="206" spans="1:10" x14ac:dyDescent="0.3">
      <c r="A206">
        <v>204</v>
      </c>
      <c r="B206">
        <v>4423</v>
      </c>
      <c r="C206" t="b">
        <v>1</v>
      </c>
      <c r="D206">
        <v>8065</v>
      </c>
      <c r="E206">
        <v>8111</v>
      </c>
      <c r="F206">
        <v>222.13333</v>
      </c>
      <c r="G206">
        <v>191.2</v>
      </c>
      <c r="H206">
        <v>1.1617852</v>
      </c>
      <c r="I206">
        <v>-0.16178523</v>
      </c>
      <c r="J206">
        <v>0.46258064999999998</v>
      </c>
    </row>
    <row r="207" spans="1:10" x14ac:dyDescent="0.3">
      <c r="A207">
        <v>205</v>
      </c>
      <c r="B207">
        <v>4439</v>
      </c>
      <c r="C207" t="b">
        <v>1</v>
      </c>
      <c r="D207">
        <v>8065</v>
      </c>
      <c r="E207">
        <v>8105</v>
      </c>
      <c r="F207">
        <v>222.13333</v>
      </c>
      <c r="G207">
        <v>191.6</v>
      </c>
      <c r="H207">
        <v>1.1593597</v>
      </c>
      <c r="I207">
        <v>-0.15935972000000001</v>
      </c>
      <c r="J207">
        <v>0.46310022000000001</v>
      </c>
    </row>
    <row r="208" spans="1:10" x14ac:dyDescent="0.3">
      <c r="A208">
        <v>206</v>
      </c>
      <c r="B208">
        <v>4471</v>
      </c>
      <c r="C208" t="b">
        <v>1</v>
      </c>
      <c r="D208">
        <v>8077</v>
      </c>
      <c r="E208">
        <v>8140</v>
      </c>
      <c r="F208">
        <v>222.13333</v>
      </c>
      <c r="G208">
        <v>192.4</v>
      </c>
      <c r="H208">
        <v>1.1545392000000001</v>
      </c>
      <c r="I208">
        <v>-0.15453918</v>
      </c>
      <c r="J208">
        <v>0.46413636000000003</v>
      </c>
    </row>
    <row r="209" spans="1:10" x14ac:dyDescent="0.3">
      <c r="A209">
        <v>207</v>
      </c>
      <c r="B209">
        <v>4486</v>
      </c>
      <c r="C209" t="b">
        <v>1</v>
      </c>
      <c r="D209">
        <v>8048</v>
      </c>
      <c r="E209">
        <v>8099</v>
      </c>
      <c r="F209">
        <v>222.13333</v>
      </c>
      <c r="G209">
        <v>192.8</v>
      </c>
      <c r="H209">
        <v>1.1521437999999999</v>
      </c>
      <c r="I209">
        <v>-0.15214382000000001</v>
      </c>
      <c r="J209">
        <v>0.46465296</v>
      </c>
    </row>
    <row r="210" spans="1:10" x14ac:dyDescent="0.3">
      <c r="A210">
        <v>208</v>
      </c>
      <c r="B210">
        <v>4518</v>
      </c>
      <c r="C210" t="b">
        <v>1</v>
      </c>
      <c r="D210">
        <v>8071</v>
      </c>
      <c r="E210">
        <v>8093</v>
      </c>
      <c r="F210">
        <v>222.13333</v>
      </c>
      <c r="G210">
        <v>192.8</v>
      </c>
      <c r="H210">
        <v>1.1521437999999999</v>
      </c>
      <c r="I210">
        <v>-0.15214382000000001</v>
      </c>
      <c r="J210">
        <v>0.46465296</v>
      </c>
    </row>
    <row r="211" spans="1:10" x14ac:dyDescent="0.3">
      <c r="A211">
        <v>209</v>
      </c>
      <c r="B211">
        <v>4550</v>
      </c>
      <c r="C211" t="b">
        <v>1</v>
      </c>
      <c r="D211">
        <v>8071</v>
      </c>
      <c r="E211">
        <v>8111</v>
      </c>
      <c r="F211">
        <v>222.53334000000001</v>
      </c>
      <c r="G211">
        <v>192.8</v>
      </c>
      <c r="H211">
        <v>1.1542186000000001</v>
      </c>
      <c r="I211">
        <v>-0.15421855000000001</v>
      </c>
      <c r="J211">
        <v>0.46420544000000002</v>
      </c>
    </row>
    <row r="212" spans="1:10" x14ac:dyDescent="0.3">
      <c r="A212">
        <v>210</v>
      </c>
      <c r="B212">
        <v>4581</v>
      </c>
      <c r="C212" t="b">
        <v>1</v>
      </c>
      <c r="D212">
        <v>8054</v>
      </c>
      <c r="E212">
        <v>8093</v>
      </c>
      <c r="F212">
        <v>222.53334000000001</v>
      </c>
      <c r="G212">
        <v>192.4</v>
      </c>
      <c r="H212">
        <v>1.1566182</v>
      </c>
      <c r="I212">
        <v>-0.15661823999999999</v>
      </c>
      <c r="J212">
        <v>0.46368890000000001</v>
      </c>
    </row>
    <row r="213" spans="1:10" x14ac:dyDescent="0.3">
      <c r="A213">
        <v>211</v>
      </c>
      <c r="B213">
        <v>4613</v>
      </c>
      <c r="C213" t="b">
        <v>1</v>
      </c>
      <c r="D213">
        <v>8060</v>
      </c>
      <c r="E213">
        <v>8117</v>
      </c>
      <c r="F213">
        <v>221.8</v>
      </c>
      <c r="G213">
        <v>192</v>
      </c>
      <c r="H213">
        <v>1.1552083</v>
      </c>
      <c r="I213">
        <v>-0.15520834999999999</v>
      </c>
      <c r="J213">
        <v>0.46399226999999998</v>
      </c>
    </row>
    <row r="214" spans="1:10" x14ac:dyDescent="0.3">
      <c r="A214">
        <v>212</v>
      </c>
      <c r="B214">
        <v>4646</v>
      </c>
      <c r="C214" t="b">
        <v>1</v>
      </c>
      <c r="D214">
        <v>8054</v>
      </c>
      <c r="E214">
        <v>8111</v>
      </c>
      <c r="F214">
        <v>221.46665999999999</v>
      </c>
      <c r="G214">
        <v>192.4</v>
      </c>
      <c r="H214">
        <v>1.1510742</v>
      </c>
      <c r="I214">
        <v>-0.15107416000000001</v>
      </c>
      <c r="J214">
        <v>0.46488404</v>
      </c>
    </row>
    <row r="215" spans="1:10" x14ac:dyDescent="0.3">
      <c r="A215">
        <v>213</v>
      </c>
      <c r="B215">
        <v>4664</v>
      </c>
      <c r="C215" t="b">
        <v>1</v>
      </c>
      <c r="D215">
        <v>8065</v>
      </c>
      <c r="E215">
        <v>8093</v>
      </c>
      <c r="F215">
        <v>221.13333</v>
      </c>
      <c r="G215">
        <v>192.8</v>
      </c>
      <c r="H215">
        <v>1.146957</v>
      </c>
      <c r="I215">
        <v>-0.14695710000000001</v>
      </c>
      <c r="J215">
        <v>0.46577550000000001</v>
      </c>
    </row>
    <row r="216" spans="1:10" x14ac:dyDescent="0.3">
      <c r="A216">
        <v>214</v>
      </c>
      <c r="B216">
        <v>4680</v>
      </c>
      <c r="C216" t="b">
        <v>1</v>
      </c>
      <c r="D216">
        <v>8048</v>
      </c>
      <c r="E216">
        <v>8081</v>
      </c>
      <c r="F216">
        <v>220.4</v>
      </c>
      <c r="G216">
        <v>192</v>
      </c>
      <c r="H216">
        <v>1.1479166999999999</v>
      </c>
      <c r="I216">
        <v>-0.14791662999999999</v>
      </c>
      <c r="J216">
        <v>0.46556740000000002</v>
      </c>
    </row>
    <row r="217" spans="1:10" x14ac:dyDescent="0.3">
      <c r="A217">
        <v>215</v>
      </c>
      <c r="B217">
        <v>4713</v>
      </c>
      <c r="C217" t="b">
        <v>1</v>
      </c>
      <c r="D217">
        <v>8071</v>
      </c>
      <c r="E217">
        <v>8093</v>
      </c>
      <c r="F217">
        <v>220.8</v>
      </c>
      <c r="G217">
        <v>191.2</v>
      </c>
      <c r="H217">
        <v>1.1548117</v>
      </c>
      <c r="I217">
        <v>-0.15481175</v>
      </c>
      <c r="J217">
        <v>0.46407765000000001</v>
      </c>
    </row>
    <row r="218" spans="1:10" x14ac:dyDescent="0.3">
      <c r="A218">
        <v>216</v>
      </c>
      <c r="B218">
        <v>4728</v>
      </c>
      <c r="C218" t="b">
        <v>1</v>
      </c>
      <c r="D218">
        <v>8077</v>
      </c>
      <c r="E218">
        <v>8093</v>
      </c>
      <c r="F218">
        <v>221.53334000000001</v>
      </c>
      <c r="G218">
        <v>191.2</v>
      </c>
      <c r="H218">
        <v>1.1586472000000001</v>
      </c>
      <c r="I218">
        <v>-0.15864719999999999</v>
      </c>
      <c r="J218">
        <v>0.46325309999999997</v>
      </c>
    </row>
    <row r="219" spans="1:10" x14ac:dyDescent="0.3">
      <c r="A219">
        <v>217</v>
      </c>
      <c r="B219">
        <v>4760</v>
      </c>
      <c r="C219" t="b">
        <v>1</v>
      </c>
      <c r="D219">
        <v>8060</v>
      </c>
      <c r="E219">
        <v>8111</v>
      </c>
      <c r="F219">
        <v>222.26666</v>
      </c>
      <c r="G219">
        <v>190</v>
      </c>
      <c r="H219">
        <v>1.1698245</v>
      </c>
      <c r="I219">
        <v>-0.16982454</v>
      </c>
      <c r="J219">
        <v>0.46086674999999999</v>
      </c>
    </row>
    <row r="220" spans="1:10" x14ac:dyDescent="0.3">
      <c r="A220">
        <v>218</v>
      </c>
      <c r="B220">
        <v>4792</v>
      </c>
      <c r="C220" t="b">
        <v>1</v>
      </c>
      <c r="D220">
        <v>8071</v>
      </c>
      <c r="E220">
        <v>8111</v>
      </c>
      <c r="F220">
        <v>223.4</v>
      </c>
      <c r="G220">
        <v>188.4</v>
      </c>
      <c r="H220">
        <v>1.1857749</v>
      </c>
      <c r="I220">
        <v>-0.18577494999999999</v>
      </c>
      <c r="J220">
        <v>0.45750364999999998</v>
      </c>
    </row>
    <row r="221" spans="1:10" x14ac:dyDescent="0.3">
      <c r="A221">
        <v>219</v>
      </c>
      <c r="B221">
        <v>4824</v>
      </c>
      <c r="C221" t="b">
        <v>1</v>
      </c>
      <c r="D221">
        <v>8065</v>
      </c>
      <c r="E221">
        <v>8093</v>
      </c>
      <c r="F221">
        <v>224.53334000000001</v>
      </c>
      <c r="G221">
        <v>186.8</v>
      </c>
      <c r="H221">
        <v>1.2019986</v>
      </c>
      <c r="I221">
        <v>-0.20199859000000001</v>
      </c>
      <c r="J221">
        <v>0.45413288000000002</v>
      </c>
    </row>
    <row r="222" spans="1:10" x14ac:dyDescent="0.3">
      <c r="A222">
        <v>220</v>
      </c>
      <c r="B222">
        <v>4839</v>
      </c>
      <c r="C222" t="b">
        <v>1</v>
      </c>
      <c r="D222">
        <v>8065</v>
      </c>
      <c r="E222">
        <v>8117</v>
      </c>
      <c r="F222">
        <v>224.53334000000001</v>
      </c>
      <c r="G222">
        <v>186.8</v>
      </c>
      <c r="H222">
        <v>1.2019986</v>
      </c>
      <c r="I222">
        <v>-0.20199859000000001</v>
      </c>
      <c r="J222">
        <v>0.45413288000000002</v>
      </c>
    </row>
    <row r="223" spans="1:10" x14ac:dyDescent="0.3">
      <c r="A223">
        <v>221</v>
      </c>
      <c r="B223">
        <v>4871</v>
      </c>
      <c r="C223" t="b">
        <v>1</v>
      </c>
      <c r="D223">
        <v>8071</v>
      </c>
      <c r="E223">
        <v>8105</v>
      </c>
      <c r="F223">
        <v>224.53334000000001</v>
      </c>
      <c r="G223">
        <v>186.4</v>
      </c>
      <c r="H223">
        <v>1.2045779999999999</v>
      </c>
      <c r="I223">
        <v>-0.20457803999999999</v>
      </c>
      <c r="J223">
        <v>0.45360154000000003</v>
      </c>
    </row>
    <row r="224" spans="1:10" x14ac:dyDescent="0.3">
      <c r="A224">
        <v>222</v>
      </c>
      <c r="B224">
        <v>4903</v>
      </c>
      <c r="C224" t="b">
        <v>1</v>
      </c>
      <c r="D224">
        <v>8071</v>
      </c>
      <c r="E224">
        <v>8099</v>
      </c>
      <c r="F224">
        <v>224.93333000000001</v>
      </c>
      <c r="G224">
        <v>186</v>
      </c>
      <c r="H224">
        <v>1.209319</v>
      </c>
      <c r="I224">
        <v>-0.20931900000000001</v>
      </c>
      <c r="J224">
        <v>0.45262814000000001</v>
      </c>
    </row>
    <row r="225" spans="1:10" x14ac:dyDescent="0.3">
      <c r="A225">
        <v>223</v>
      </c>
      <c r="B225">
        <v>4934</v>
      </c>
      <c r="C225" t="b">
        <v>1</v>
      </c>
      <c r="D225">
        <v>8065</v>
      </c>
      <c r="E225">
        <v>8117</v>
      </c>
      <c r="F225">
        <v>224.93333000000001</v>
      </c>
      <c r="G225">
        <v>186</v>
      </c>
      <c r="H225">
        <v>1.209319</v>
      </c>
      <c r="I225">
        <v>-0.20931900000000001</v>
      </c>
      <c r="J225">
        <v>0.45262814000000001</v>
      </c>
    </row>
    <row r="226" spans="1:10" x14ac:dyDescent="0.3">
      <c r="A226">
        <v>224</v>
      </c>
      <c r="B226">
        <v>4950</v>
      </c>
      <c r="C226" t="b">
        <v>1</v>
      </c>
      <c r="D226">
        <v>8037</v>
      </c>
      <c r="E226">
        <v>8105</v>
      </c>
      <c r="F226">
        <v>224.53334000000001</v>
      </c>
      <c r="G226">
        <v>186</v>
      </c>
      <c r="H226">
        <v>1.2071685000000001</v>
      </c>
      <c r="I226">
        <v>-0.20716849000000001</v>
      </c>
      <c r="J226">
        <v>0.45306918000000002</v>
      </c>
    </row>
    <row r="227" spans="1:10" x14ac:dyDescent="0.3">
      <c r="A227">
        <v>225</v>
      </c>
      <c r="B227">
        <v>4966</v>
      </c>
      <c r="C227" t="b">
        <v>1</v>
      </c>
      <c r="D227">
        <v>8030</v>
      </c>
      <c r="E227">
        <v>8105</v>
      </c>
      <c r="F227">
        <v>224.13333</v>
      </c>
      <c r="G227">
        <v>186.4</v>
      </c>
      <c r="H227">
        <v>1.2024319999999999</v>
      </c>
      <c r="I227">
        <v>-0.20243207999999999</v>
      </c>
      <c r="J227">
        <v>0.45404349999999999</v>
      </c>
    </row>
    <row r="228" spans="1:10" x14ac:dyDescent="0.3">
      <c r="A228">
        <v>226</v>
      </c>
      <c r="B228">
        <v>4982</v>
      </c>
      <c r="C228" t="b">
        <v>1</v>
      </c>
      <c r="D228">
        <v>8065</v>
      </c>
      <c r="E228">
        <v>8105</v>
      </c>
      <c r="F228">
        <v>224.46665999999999</v>
      </c>
      <c r="G228">
        <v>186.8</v>
      </c>
      <c r="H228">
        <v>1.2016416999999999</v>
      </c>
      <c r="I228">
        <v>-0.20164162999999999</v>
      </c>
      <c r="J228">
        <v>0.45420653</v>
      </c>
    </row>
    <row r="229" spans="1:10" x14ac:dyDescent="0.3">
      <c r="A229">
        <v>227</v>
      </c>
      <c r="B229">
        <v>4998</v>
      </c>
      <c r="C229" t="b">
        <v>1</v>
      </c>
      <c r="D229">
        <v>8054</v>
      </c>
      <c r="E229">
        <v>8105</v>
      </c>
      <c r="F229">
        <v>224.06666999999999</v>
      </c>
      <c r="G229">
        <v>186.4</v>
      </c>
      <c r="H229">
        <v>1.2020744000000001</v>
      </c>
      <c r="I229">
        <v>-0.20207442</v>
      </c>
      <c r="J229">
        <v>0.45411723999999998</v>
      </c>
    </row>
    <row r="230" spans="1:10" x14ac:dyDescent="0.3">
      <c r="A230">
        <v>228</v>
      </c>
      <c r="B230">
        <v>5030</v>
      </c>
      <c r="C230" t="b">
        <v>1</v>
      </c>
      <c r="D230">
        <v>8077</v>
      </c>
      <c r="E230">
        <v>8117</v>
      </c>
      <c r="F230">
        <v>223.66667000000001</v>
      </c>
      <c r="G230">
        <v>186</v>
      </c>
      <c r="H230">
        <v>1.2025090000000001</v>
      </c>
      <c r="I230">
        <v>-0.20250899</v>
      </c>
      <c r="J230">
        <v>0.45402765</v>
      </c>
    </row>
    <row r="231" spans="1:10" x14ac:dyDescent="0.3">
      <c r="A231">
        <v>229</v>
      </c>
      <c r="B231">
        <v>5061</v>
      </c>
      <c r="C231" t="b">
        <v>1</v>
      </c>
      <c r="D231">
        <v>8060</v>
      </c>
      <c r="E231">
        <v>8093</v>
      </c>
      <c r="F231">
        <v>224.06666999999999</v>
      </c>
      <c r="G231">
        <v>186.8</v>
      </c>
      <c r="H231">
        <v>1.1995003</v>
      </c>
      <c r="I231">
        <v>-0.19950034</v>
      </c>
      <c r="J231">
        <v>0.45464870000000002</v>
      </c>
    </row>
    <row r="232" spans="1:10" x14ac:dyDescent="0.3">
      <c r="A232">
        <v>230</v>
      </c>
      <c r="B232">
        <v>5093</v>
      </c>
      <c r="C232" t="b">
        <v>1</v>
      </c>
      <c r="D232">
        <v>8054</v>
      </c>
      <c r="E232">
        <v>8099</v>
      </c>
      <c r="F232">
        <v>224.06666999999999</v>
      </c>
      <c r="G232">
        <v>187.6</v>
      </c>
      <c r="H232">
        <v>1.1943851999999999</v>
      </c>
      <c r="I232">
        <v>-0.19438517</v>
      </c>
      <c r="J232">
        <v>0.45570850000000002</v>
      </c>
    </row>
    <row r="233" spans="1:10" x14ac:dyDescent="0.3">
      <c r="A233">
        <v>231</v>
      </c>
      <c r="B233">
        <v>5125</v>
      </c>
      <c r="C233" t="b">
        <v>1</v>
      </c>
      <c r="D233">
        <v>8065</v>
      </c>
      <c r="E233">
        <v>8099</v>
      </c>
      <c r="F233">
        <v>223.73334</v>
      </c>
      <c r="G233">
        <v>188</v>
      </c>
      <c r="H233">
        <v>1.1900710000000001</v>
      </c>
      <c r="I233">
        <v>-0.19007093999999999</v>
      </c>
      <c r="J233">
        <v>0.45660620000000002</v>
      </c>
    </row>
    <row r="234" spans="1:10" x14ac:dyDescent="0.3">
      <c r="A234">
        <v>232</v>
      </c>
      <c r="B234">
        <v>5157</v>
      </c>
      <c r="C234" t="b">
        <v>1</v>
      </c>
      <c r="D234">
        <v>8042</v>
      </c>
      <c r="E234">
        <v>8111</v>
      </c>
      <c r="F234">
        <v>223.4</v>
      </c>
      <c r="G234">
        <v>188.4</v>
      </c>
      <c r="H234">
        <v>1.1857749</v>
      </c>
      <c r="I234">
        <v>-0.18577494999999999</v>
      </c>
      <c r="J234">
        <v>0.45750364999999998</v>
      </c>
    </row>
    <row r="235" spans="1:10" x14ac:dyDescent="0.3">
      <c r="A235">
        <v>233</v>
      </c>
      <c r="B235">
        <v>5189</v>
      </c>
      <c r="C235" t="b">
        <v>1</v>
      </c>
      <c r="D235">
        <v>8048</v>
      </c>
      <c r="E235">
        <v>8111</v>
      </c>
      <c r="F235">
        <v>222.26666</v>
      </c>
      <c r="G235">
        <v>188.8</v>
      </c>
      <c r="H235">
        <v>1.1772598000000001</v>
      </c>
      <c r="I235">
        <v>-0.17725985</v>
      </c>
      <c r="J235">
        <v>0.45929291999999999</v>
      </c>
    </row>
    <row r="236" spans="1:10" x14ac:dyDescent="0.3">
      <c r="A236">
        <v>234</v>
      </c>
      <c r="B236">
        <v>5220</v>
      </c>
      <c r="C236" t="b">
        <v>1</v>
      </c>
      <c r="D236">
        <v>8065</v>
      </c>
      <c r="E236">
        <v>8105</v>
      </c>
      <c r="F236">
        <v>221.13333</v>
      </c>
      <c r="G236">
        <v>189.6</v>
      </c>
      <c r="H236">
        <v>1.166315</v>
      </c>
      <c r="I236">
        <v>-0.16631499999999999</v>
      </c>
      <c r="J236">
        <v>0.46161340000000001</v>
      </c>
    </row>
    <row r="237" spans="1:10" x14ac:dyDescent="0.3">
      <c r="A237">
        <v>235</v>
      </c>
      <c r="B237">
        <v>5252</v>
      </c>
      <c r="C237" t="b">
        <v>1</v>
      </c>
      <c r="D237">
        <v>8065</v>
      </c>
      <c r="E237">
        <v>8087</v>
      </c>
      <c r="F237">
        <v>221.13333</v>
      </c>
      <c r="G237">
        <v>189.2</v>
      </c>
      <c r="H237">
        <v>1.1687808</v>
      </c>
      <c r="I237">
        <v>-0.16878082999999999</v>
      </c>
      <c r="J237">
        <v>0.46108856999999998</v>
      </c>
    </row>
    <row r="238" spans="1:10" x14ac:dyDescent="0.3">
      <c r="A238">
        <v>236</v>
      </c>
      <c r="B238">
        <v>5284</v>
      </c>
      <c r="C238" t="b">
        <v>1</v>
      </c>
      <c r="D238">
        <v>8054</v>
      </c>
      <c r="E238">
        <v>8081</v>
      </c>
      <c r="F238">
        <v>220.4</v>
      </c>
      <c r="G238">
        <v>188.8</v>
      </c>
      <c r="H238">
        <v>1.1673728000000001</v>
      </c>
      <c r="I238">
        <v>-0.16737282000000001</v>
      </c>
      <c r="J238">
        <v>0.46138807999999998</v>
      </c>
    </row>
    <row r="239" spans="1:10" x14ac:dyDescent="0.3">
      <c r="A239">
        <v>237</v>
      </c>
      <c r="B239">
        <v>5300</v>
      </c>
      <c r="C239" t="b">
        <v>1</v>
      </c>
      <c r="D239">
        <v>8065</v>
      </c>
      <c r="E239">
        <v>8093</v>
      </c>
      <c r="F239">
        <v>220</v>
      </c>
      <c r="G239">
        <v>188</v>
      </c>
      <c r="H239">
        <v>1.1702127</v>
      </c>
      <c r="I239">
        <v>-0.17021275999999999</v>
      </c>
      <c r="J239">
        <v>0.46078432000000002</v>
      </c>
    </row>
    <row r="240" spans="1:10" x14ac:dyDescent="0.3">
      <c r="A240">
        <v>238</v>
      </c>
      <c r="B240">
        <v>5316</v>
      </c>
      <c r="C240" t="b">
        <v>1</v>
      </c>
      <c r="D240">
        <v>8065</v>
      </c>
      <c r="E240">
        <v>8093</v>
      </c>
      <c r="F240">
        <v>220</v>
      </c>
      <c r="G240">
        <v>187.2</v>
      </c>
      <c r="H240">
        <v>1.1752137</v>
      </c>
      <c r="I240">
        <v>-0.1752137</v>
      </c>
      <c r="J240">
        <v>0.45972492999999998</v>
      </c>
    </row>
    <row r="241" spans="1:10" x14ac:dyDescent="0.3">
      <c r="A241">
        <v>239</v>
      </c>
      <c r="B241">
        <v>5347</v>
      </c>
      <c r="C241" t="b">
        <v>1</v>
      </c>
      <c r="D241">
        <v>8065</v>
      </c>
      <c r="E241">
        <v>8134</v>
      </c>
      <c r="F241">
        <v>220</v>
      </c>
      <c r="G241">
        <v>186.4</v>
      </c>
      <c r="H241">
        <v>1.1802576</v>
      </c>
      <c r="I241">
        <v>-0.18025753999999999</v>
      </c>
      <c r="J241">
        <v>0.4586614</v>
      </c>
    </row>
    <row r="242" spans="1:10" x14ac:dyDescent="0.3">
      <c r="A242">
        <v>240</v>
      </c>
      <c r="B242">
        <v>5379</v>
      </c>
      <c r="C242" t="b">
        <v>1</v>
      </c>
      <c r="D242">
        <v>8060</v>
      </c>
      <c r="E242">
        <v>8099</v>
      </c>
      <c r="F242">
        <v>220</v>
      </c>
      <c r="G242">
        <v>185.6</v>
      </c>
      <c r="H242">
        <v>1.1853448</v>
      </c>
      <c r="I242">
        <v>-0.18534479000000001</v>
      </c>
      <c r="J242">
        <v>0.45759369999999999</v>
      </c>
    </row>
    <row r="243" spans="1:10" x14ac:dyDescent="0.3">
      <c r="A243">
        <v>241</v>
      </c>
      <c r="B243">
        <v>5395</v>
      </c>
      <c r="C243" t="b">
        <v>1</v>
      </c>
      <c r="D243">
        <v>8065</v>
      </c>
      <c r="E243">
        <v>8105</v>
      </c>
      <c r="F243">
        <v>220</v>
      </c>
      <c r="G243">
        <v>185.2</v>
      </c>
      <c r="H243">
        <v>1.187905</v>
      </c>
      <c r="I243">
        <v>-0.18790498</v>
      </c>
      <c r="J243">
        <v>0.45705822000000002</v>
      </c>
    </row>
    <row r="244" spans="1:10" x14ac:dyDescent="0.3">
      <c r="A244">
        <v>242</v>
      </c>
      <c r="B244">
        <v>5411</v>
      </c>
      <c r="C244" t="b">
        <v>1</v>
      </c>
      <c r="D244">
        <v>8077</v>
      </c>
      <c r="E244">
        <v>8087</v>
      </c>
      <c r="F244">
        <v>220.73334</v>
      </c>
      <c r="G244">
        <v>184.8</v>
      </c>
      <c r="H244">
        <v>1.1944444000000001</v>
      </c>
      <c r="I244">
        <v>-0.19444444999999999</v>
      </c>
      <c r="J244">
        <v>0.45569622999999998</v>
      </c>
    </row>
    <row r="245" spans="1:10" x14ac:dyDescent="0.3">
      <c r="A245">
        <v>243</v>
      </c>
      <c r="B245">
        <v>5441</v>
      </c>
      <c r="C245" t="b">
        <v>1</v>
      </c>
      <c r="D245">
        <v>8048</v>
      </c>
      <c r="E245">
        <v>8087</v>
      </c>
      <c r="F245">
        <v>221.46665999999999</v>
      </c>
      <c r="G245">
        <v>184.4</v>
      </c>
      <c r="H245">
        <v>1.2010122999999999</v>
      </c>
      <c r="I245">
        <v>-0.2010123</v>
      </c>
      <c r="J245">
        <v>0.45433639999999997</v>
      </c>
    </row>
    <row r="246" spans="1:10" x14ac:dyDescent="0.3">
      <c r="A246">
        <v>244</v>
      </c>
      <c r="B246">
        <v>5473</v>
      </c>
      <c r="C246" t="b">
        <v>1</v>
      </c>
      <c r="D246">
        <v>8060</v>
      </c>
      <c r="E246">
        <v>8123</v>
      </c>
      <c r="F246">
        <v>221.46665999999999</v>
      </c>
      <c r="G246">
        <v>184</v>
      </c>
      <c r="H246">
        <v>1.2036232</v>
      </c>
      <c r="I246">
        <v>-0.20362315</v>
      </c>
      <c r="J246">
        <v>0.45379809999999998</v>
      </c>
    </row>
    <row r="247" spans="1:10" x14ac:dyDescent="0.3">
      <c r="A247">
        <v>245</v>
      </c>
      <c r="B247">
        <v>5489</v>
      </c>
      <c r="C247" t="b">
        <v>1</v>
      </c>
      <c r="D247">
        <v>8060</v>
      </c>
      <c r="E247">
        <v>8093</v>
      </c>
      <c r="F247">
        <v>221.46665999999999</v>
      </c>
      <c r="G247">
        <v>183.2</v>
      </c>
      <c r="H247">
        <v>1.2088791000000001</v>
      </c>
      <c r="I247">
        <v>-0.20887917</v>
      </c>
      <c r="J247">
        <v>0.45271830000000002</v>
      </c>
    </row>
    <row r="248" spans="1:10" x14ac:dyDescent="0.3">
      <c r="A248">
        <v>246</v>
      </c>
      <c r="B248">
        <v>5521</v>
      </c>
      <c r="C248" t="b">
        <v>1</v>
      </c>
      <c r="D248">
        <v>8071</v>
      </c>
      <c r="E248">
        <v>8105</v>
      </c>
      <c r="F248">
        <v>221.46665999999999</v>
      </c>
      <c r="G248">
        <v>182.8</v>
      </c>
      <c r="H248">
        <v>1.2115244000000001</v>
      </c>
      <c r="I248">
        <v>-0.21152438000000001</v>
      </c>
      <c r="J248">
        <v>0.45217678</v>
      </c>
    </row>
    <row r="249" spans="1:10" x14ac:dyDescent="0.3">
      <c r="A249">
        <v>247</v>
      </c>
      <c r="B249">
        <v>5554</v>
      </c>
      <c r="C249" t="b">
        <v>1</v>
      </c>
      <c r="D249">
        <v>8048</v>
      </c>
      <c r="E249">
        <v>8087</v>
      </c>
      <c r="F249">
        <v>221.46665999999999</v>
      </c>
      <c r="G249">
        <v>182.4</v>
      </c>
      <c r="H249">
        <v>1.2141812999999999</v>
      </c>
      <c r="I249">
        <v>-0.21418129</v>
      </c>
      <c r="J249">
        <v>0.45163423000000003</v>
      </c>
    </row>
    <row r="250" spans="1:10" x14ac:dyDescent="0.3">
      <c r="A250">
        <v>248</v>
      </c>
      <c r="B250">
        <v>5569</v>
      </c>
      <c r="C250" t="b">
        <v>1</v>
      </c>
      <c r="D250">
        <v>8054</v>
      </c>
      <c r="E250">
        <v>8093</v>
      </c>
      <c r="F250">
        <v>221.86667</v>
      </c>
      <c r="G250">
        <v>182</v>
      </c>
      <c r="H250">
        <v>1.2190477</v>
      </c>
      <c r="I250">
        <v>-0.21904763999999999</v>
      </c>
      <c r="J250">
        <v>0.45064377999999999</v>
      </c>
    </row>
    <row r="251" spans="1:10" x14ac:dyDescent="0.3">
      <c r="A251">
        <v>249</v>
      </c>
      <c r="B251">
        <v>5602</v>
      </c>
      <c r="C251" t="b">
        <v>1</v>
      </c>
      <c r="D251">
        <v>8071</v>
      </c>
      <c r="E251">
        <v>8093</v>
      </c>
      <c r="F251">
        <v>222.26666</v>
      </c>
      <c r="G251">
        <v>181.2</v>
      </c>
      <c r="H251">
        <v>1.2266372000000001</v>
      </c>
      <c r="I251">
        <v>-0.22663723</v>
      </c>
      <c r="J251">
        <v>0.4491077</v>
      </c>
    </row>
    <row r="252" spans="1:10" x14ac:dyDescent="0.3">
      <c r="A252">
        <v>250</v>
      </c>
      <c r="B252">
        <v>5633</v>
      </c>
      <c r="C252" t="b">
        <v>1</v>
      </c>
      <c r="D252">
        <v>8042</v>
      </c>
      <c r="E252">
        <v>8075</v>
      </c>
      <c r="F252">
        <v>221.53334000000001</v>
      </c>
      <c r="G252">
        <v>180.4</v>
      </c>
      <c r="H252">
        <v>1.2280120000000001</v>
      </c>
      <c r="I252">
        <v>-0.22801189999999999</v>
      </c>
      <c r="J252">
        <v>0.44883060000000002</v>
      </c>
    </row>
    <row r="253" spans="1:10" x14ac:dyDescent="0.3">
      <c r="A253">
        <v>251</v>
      </c>
      <c r="B253">
        <v>5665</v>
      </c>
      <c r="C253" t="b">
        <v>1</v>
      </c>
      <c r="D253">
        <v>8065</v>
      </c>
      <c r="E253">
        <v>8105</v>
      </c>
      <c r="F253">
        <v>221.53334000000001</v>
      </c>
      <c r="G253">
        <v>179.6</v>
      </c>
      <c r="H253">
        <v>1.2334818000000001</v>
      </c>
      <c r="I253">
        <v>-0.23348181000000001</v>
      </c>
      <c r="J253">
        <v>0.4477314</v>
      </c>
    </row>
    <row r="254" spans="1:10" x14ac:dyDescent="0.3">
      <c r="A254">
        <v>252</v>
      </c>
      <c r="B254">
        <v>5681</v>
      </c>
      <c r="C254" t="b">
        <v>1</v>
      </c>
      <c r="D254">
        <v>8077</v>
      </c>
      <c r="E254">
        <v>8093</v>
      </c>
      <c r="F254">
        <v>221.53334000000001</v>
      </c>
      <c r="G254">
        <v>179.6</v>
      </c>
      <c r="H254">
        <v>1.2334818000000001</v>
      </c>
      <c r="I254">
        <v>-0.23348181000000001</v>
      </c>
      <c r="J254">
        <v>0.4477314</v>
      </c>
    </row>
    <row r="255" spans="1:10" x14ac:dyDescent="0.3">
      <c r="A255">
        <v>253</v>
      </c>
      <c r="B255">
        <v>5713</v>
      </c>
      <c r="C255" t="b">
        <v>1</v>
      </c>
      <c r="D255">
        <v>8042</v>
      </c>
      <c r="E255">
        <v>8111</v>
      </c>
      <c r="F255">
        <v>221.53334000000001</v>
      </c>
      <c r="G255">
        <v>179.6</v>
      </c>
      <c r="H255">
        <v>1.2334818000000001</v>
      </c>
      <c r="I255">
        <v>-0.23348181000000001</v>
      </c>
      <c r="J255">
        <v>0.4477314</v>
      </c>
    </row>
    <row r="256" spans="1:10" x14ac:dyDescent="0.3">
      <c r="A256">
        <v>254</v>
      </c>
      <c r="B256">
        <v>5728</v>
      </c>
      <c r="C256" t="b">
        <v>1</v>
      </c>
      <c r="D256">
        <v>8060</v>
      </c>
      <c r="E256">
        <v>8099</v>
      </c>
      <c r="F256">
        <v>221.2</v>
      </c>
      <c r="G256">
        <v>180</v>
      </c>
      <c r="H256">
        <v>1.2288889000000001</v>
      </c>
      <c r="I256">
        <v>-0.22888886999999999</v>
      </c>
      <c r="J256">
        <v>0.44865402999999998</v>
      </c>
    </row>
    <row r="257" spans="1:10" x14ac:dyDescent="0.3">
      <c r="A257">
        <v>255</v>
      </c>
      <c r="B257">
        <v>5761</v>
      </c>
      <c r="C257" t="b">
        <v>1</v>
      </c>
      <c r="D257">
        <v>8065</v>
      </c>
      <c r="E257">
        <v>8099</v>
      </c>
      <c r="F257">
        <v>221.2</v>
      </c>
      <c r="G257">
        <v>180.4</v>
      </c>
      <c r="H257">
        <v>1.2261641000000001</v>
      </c>
      <c r="I257">
        <v>-0.22616410000000001</v>
      </c>
      <c r="J257">
        <v>0.44920320000000002</v>
      </c>
    </row>
    <row r="258" spans="1:10" x14ac:dyDescent="0.3">
      <c r="A258">
        <v>256</v>
      </c>
      <c r="B258">
        <v>5791</v>
      </c>
      <c r="C258" t="b">
        <v>1</v>
      </c>
      <c r="D258">
        <v>8065</v>
      </c>
      <c r="E258">
        <v>8117</v>
      </c>
      <c r="F258">
        <v>221.2</v>
      </c>
      <c r="G258">
        <v>180.4</v>
      </c>
      <c r="H258">
        <v>1.2261641000000001</v>
      </c>
      <c r="I258">
        <v>-0.22616410000000001</v>
      </c>
      <c r="J258">
        <v>0.44920320000000002</v>
      </c>
    </row>
    <row r="259" spans="1:10" x14ac:dyDescent="0.3">
      <c r="A259">
        <v>257</v>
      </c>
      <c r="B259">
        <v>5823</v>
      </c>
      <c r="C259" t="b">
        <v>1</v>
      </c>
      <c r="D259">
        <v>8065</v>
      </c>
      <c r="E259">
        <v>8087</v>
      </c>
      <c r="F259">
        <v>221.2</v>
      </c>
      <c r="G259">
        <v>180.4</v>
      </c>
      <c r="H259">
        <v>1.2261641000000001</v>
      </c>
      <c r="I259">
        <v>-0.22616410000000001</v>
      </c>
      <c r="J259">
        <v>0.44920320000000002</v>
      </c>
    </row>
    <row r="260" spans="1:10" x14ac:dyDescent="0.3">
      <c r="A260">
        <v>258</v>
      </c>
      <c r="B260">
        <v>5839</v>
      </c>
      <c r="C260" t="b">
        <v>1</v>
      </c>
      <c r="D260">
        <v>8048</v>
      </c>
      <c r="E260">
        <v>8105</v>
      </c>
      <c r="F260">
        <v>221.2</v>
      </c>
      <c r="G260">
        <v>180.4</v>
      </c>
      <c r="H260">
        <v>1.2261641000000001</v>
      </c>
      <c r="I260">
        <v>-0.22616410000000001</v>
      </c>
      <c r="J260">
        <v>0.44920320000000002</v>
      </c>
    </row>
    <row r="261" spans="1:10" x14ac:dyDescent="0.3">
      <c r="A261">
        <v>259</v>
      </c>
      <c r="B261">
        <v>5871</v>
      </c>
      <c r="C261" t="b">
        <v>1</v>
      </c>
      <c r="D261">
        <v>8042</v>
      </c>
      <c r="E261">
        <v>8111</v>
      </c>
      <c r="F261">
        <v>221.53334000000001</v>
      </c>
      <c r="G261">
        <v>180.8</v>
      </c>
      <c r="H261">
        <v>1.225295</v>
      </c>
      <c r="I261">
        <v>-0.225295</v>
      </c>
      <c r="J261">
        <v>0.44937860000000002</v>
      </c>
    </row>
    <row r="262" spans="1:10" x14ac:dyDescent="0.3">
      <c r="A262">
        <v>260</v>
      </c>
      <c r="B262">
        <v>5903</v>
      </c>
      <c r="C262" t="b">
        <v>1</v>
      </c>
      <c r="D262">
        <v>8071</v>
      </c>
      <c r="E262">
        <v>8093</v>
      </c>
      <c r="F262">
        <v>221.86667</v>
      </c>
      <c r="G262">
        <v>181.6</v>
      </c>
      <c r="H262">
        <v>1.2217327</v>
      </c>
      <c r="I262">
        <v>-0.22173271999999999</v>
      </c>
      <c r="J262">
        <v>0.45009914000000001</v>
      </c>
    </row>
    <row r="263" spans="1:10" x14ac:dyDescent="0.3">
      <c r="A263">
        <v>261</v>
      </c>
      <c r="B263">
        <v>5919</v>
      </c>
      <c r="C263" t="b">
        <v>1</v>
      </c>
      <c r="D263">
        <v>8071</v>
      </c>
      <c r="E263">
        <v>8111</v>
      </c>
      <c r="F263">
        <v>222.2</v>
      </c>
      <c r="G263">
        <v>182.4</v>
      </c>
      <c r="H263">
        <v>1.2182017999999999</v>
      </c>
      <c r="I263">
        <v>-0.21820176999999999</v>
      </c>
      <c r="J263">
        <v>0.45081561999999997</v>
      </c>
    </row>
    <row r="264" spans="1:10" x14ac:dyDescent="0.3">
      <c r="A264">
        <v>262</v>
      </c>
      <c r="B264">
        <v>5950</v>
      </c>
      <c r="C264" t="b">
        <v>1</v>
      </c>
      <c r="D264">
        <v>8054</v>
      </c>
      <c r="E264">
        <v>8111</v>
      </c>
      <c r="F264">
        <v>221.8</v>
      </c>
      <c r="G264">
        <v>183.6</v>
      </c>
      <c r="H264">
        <v>1.2080610000000001</v>
      </c>
      <c r="I264">
        <v>-0.20806098000000001</v>
      </c>
      <c r="J264">
        <v>0.45288602</v>
      </c>
    </row>
    <row r="265" spans="1:10" x14ac:dyDescent="0.3">
      <c r="A265">
        <v>263</v>
      </c>
      <c r="B265">
        <v>5982</v>
      </c>
      <c r="C265" t="b">
        <v>1</v>
      </c>
      <c r="D265">
        <v>8048</v>
      </c>
      <c r="E265">
        <v>8129</v>
      </c>
      <c r="F265">
        <v>221.4</v>
      </c>
      <c r="G265">
        <v>184.8</v>
      </c>
      <c r="H265">
        <v>1.1980519000000001</v>
      </c>
      <c r="I265">
        <v>-0.1980519</v>
      </c>
      <c r="J265">
        <v>0.45494830000000003</v>
      </c>
    </row>
    <row r="266" spans="1:10" x14ac:dyDescent="0.3">
      <c r="A266">
        <v>264</v>
      </c>
      <c r="B266">
        <v>5998</v>
      </c>
      <c r="C266" t="b">
        <v>1</v>
      </c>
      <c r="D266">
        <v>8065</v>
      </c>
      <c r="E266">
        <v>8129</v>
      </c>
      <c r="F266">
        <v>221.73334</v>
      </c>
      <c r="G266">
        <v>186</v>
      </c>
      <c r="H266">
        <v>1.1921147000000001</v>
      </c>
      <c r="I266">
        <v>-0.19211470999999999</v>
      </c>
      <c r="J266">
        <v>0.45618049999999999</v>
      </c>
    </row>
    <row r="267" spans="1:10" x14ac:dyDescent="0.3">
      <c r="A267">
        <v>265</v>
      </c>
      <c r="B267">
        <v>6013</v>
      </c>
      <c r="C267" t="b">
        <v>1</v>
      </c>
      <c r="D267">
        <v>8071</v>
      </c>
      <c r="E267">
        <v>8099</v>
      </c>
      <c r="F267">
        <v>222.46665999999999</v>
      </c>
      <c r="G267">
        <v>187.2</v>
      </c>
      <c r="H267">
        <v>1.1883903</v>
      </c>
      <c r="I267">
        <v>-0.18839030000000001</v>
      </c>
      <c r="J267">
        <v>0.4569569</v>
      </c>
    </row>
    <row r="268" spans="1:10" x14ac:dyDescent="0.3">
      <c r="A268">
        <v>266</v>
      </c>
      <c r="B268">
        <v>6029</v>
      </c>
      <c r="C268" t="b">
        <v>1</v>
      </c>
      <c r="D268">
        <v>8065</v>
      </c>
      <c r="E268">
        <v>8093</v>
      </c>
      <c r="F268">
        <v>223.2</v>
      </c>
      <c r="G268">
        <v>188.4</v>
      </c>
      <c r="H268">
        <v>1.1847133999999999</v>
      </c>
      <c r="I268">
        <v>-0.1847134</v>
      </c>
      <c r="J268">
        <v>0.45772596999999998</v>
      </c>
    </row>
    <row r="269" spans="1:10" x14ac:dyDescent="0.3">
      <c r="A269">
        <v>267</v>
      </c>
      <c r="B269">
        <v>6045</v>
      </c>
      <c r="C269" t="b">
        <v>1</v>
      </c>
      <c r="D269">
        <v>8060</v>
      </c>
      <c r="E269">
        <v>8105</v>
      </c>
      <c r="F269">
        <v>223.2</v>
      </c>
      <c r="G269">
        <v>189.2</v>
      </c>
      <c r="H269">
        <v>1.1797040999999999</v>
      </c>
      <c r="I269">
        <v>-0.17970402999999999</v>
      </c>
      <c r="J269">
        <v>0.45877786999999998</v>
      </c>
    </row>
    <row r="270" spans="1:10" x14ac:dyDescent="0.3">
      <c r="A270">
        <v>268</v>
      </c>
      <c r="B270">
        <v>6076</v>
      </c>
      <c r="C270" t="b">
        <v>1</v>
      </c>
      <c r="D270">
        <v>8077</v>
      </c>
      <c r="E270">
        <v>8093</v>
      </c>
      <c r="F270">
        <v>223.2</v>
      </c>
      <c r="G270">
        <v>189.6</v>
      </c>
      <c r="H270">
        <v>1.1772151</v>
      </c>
      <c r="I270">
        <v>-0.17721513</v>
      </c>
      <c r="J270">
        <v>0.45930237000000002</v>
      </c>
    </row>
    <row r="271" spans="1:10" x14ac:dyDescent="0.3">
      <c r="A271">
        <v>269</v>
      </c>
      <c r="B271">
        <v>6108</v>
      </c>
      <c r="C271" t="b">
        <v>1</v>
      </c>
      <c r="D271">
        <v>8071</v>
      </c>
      <c r="E271">
        <v>8105</v>
      </c>
      <c r="F271">
        <v>223.93333000000001</v>
      </c>
      <c r="G271">
        <v>189.6</v>
      </c>
      <c r="H271">
        <v>1.1810830000000001</v>
      </c>
      <c r="I271">
        <v>-0.18108294999999999</v>
      </c>
      <c r="J271">
        <v>0.45848783999999998</v>
      </c>
    </row>
    <row r="272" spans="1:10" x14ac:dyDescent="0.3">
      <c r="A272">
        <v>270</v>
      </c>
      <c r="B272">
        <v>6140</v>
      </c>
      <c r="C272" t="b">
        <v>1</v>
      </c>
      <c r="D272">
        <v>8071</v>
      </c>
      <c r="E272">
        <v>8123</v>
      </c>
      <c r="F272">
        <v>224.33332999999999</v>
      </c>
      <c r="G272">
        <v>190</v>
      </c>
      <c r="H272">
        <v>1.1807017</v>
      </c>
      <c r="I272">
        <v>-0.18070173</v>
      </c>
      <c r="J272">
        <v>0.45856799999999998</v>
      </c>
    </row>
    <row r="273" spans="1:10" x14ac:dyDescent="0.3">
      <c r="A273">
        <v>271</v>
      </c>
      <c r="B273">
        <v>6156</v>
      </c>
      <c r="C273" t="b">
        <v>1</v>
      </c>
      <c r="D273">
        <v>8071</v>
      </c>
      <c r="E273">
        <v>8117</v>
      </c>
      <c r="F273">
        <v>224.73334</v>
      </c>
      <c r="G273">
        <v>190.4</v>
      </c>
      <c r="H273">
        <v>1.1803222</v>
      </c>
      <c r="I273">
        <v>-0.18032218999999999</v>
      </c>
      <c r="J273">
        <v>0.45864781999999998</v>
      </c>
    </row>
    <row r="274" spans="1:10" x14ac:dyDescent="0.3">
      <c r="A274">
        <v>272</v>
      </c>
      <c r="B274">
        <v>6172</v>
      </c>
      <c r="C274" t="b">
        <v>1</v>
      </c>
      <c r="D274">
        <v>8071</v>
      </c>
      <c r="E274">
        <v>8093</v>
      </c>
      <c r="F274">
        <v>225.13333</v>
      </c>
      <c r="G274">
        <v>190.8</v>
      </c>
      <c r="H274">
        <v>1.1799440000000001</v>
      </c>
      <c r="I274">
        <v>-0.17994407000000001</v>
      </c>
      <c r="J274">
        <v>0.45872735999999997</v>
      </c>
    </row>
    <row r="275" spans="1:10" x14ac:dyDescent="0.3">
      <c r="A275">
        <v>273</v>
      </c>
      <c r="B275">
        <v>6188</v>
      </c>
      <c r="C275" t="b">
        <v>1</v>
      </c>
      <c r="D275">
        <v>8083</v>
      </c>
      <c r="E275">
        <v>8117</v>
      </c>
      <c r="F275">
        <v>225.53334000000001</v>
      </c>
      <c r="G275">
        <v>192</v>
      </c>
      <c r="H275">
        <v>1.1746528000000001</v>
      </c>
      <c r="I275">
        <v>-0.17465280999999999</v>
      </c>
      <c r="J275">
        <v>0.45984354999999999</v>
      </c>
    </row>
    <row r="276" spans="1:10" x14ac:dyDescent="0.3">
      <c r="A276">
        <v>274</v>
      </c>
      <c r="B276">
        <v>6204</v>
      </c>
      <c r="C276" t="b">
        <v>1</v>
      </c>
      <c r="D276">
        <v>8060</v>
      </c>
      <c r="E276">
        <v>8129</v>
      </c>
      <c r="F276">
        <v>225.93333000000001</v>
      </c>
      <c r="G276">
        <v>192.8</v>
      </c>
      <c r="H276">
        <v>1.1718534</v>
      </c>
      <c r="I276">
        <v>-0.17185338</v>
      </c>
      <c r="J276">
        <v>0.46043622000000001</v>
      </c>
    </row>
    <row r="277" spans="1:10" x14ac:dyDescent="0.3">
      <c r="A277">
        <v>275</v>
      </c>
      <c r="B277">
        <v>6220</v>
      </c>
      <c r="C277" t="b">
        <v>1</v>
      </c>
      <c r="D277">
        <v>8060</v>
      </c>
      <c r="E277">
        <v>8087</v>
      </c>
      <c r="F277">
        <v>226.33332999999999</v>
      </c>
      <c r="G277">
        <v>193.6</v>
      </c>
      <c r="H277">
        <v>1.1690769999999999</v>
      </c>
      <c r="I277">
        <v>-0.16907707</v>
      </c>
      <c r="J277">
        <v>0.46102557</v>
      </c>
    </row>
    <row r="278" spans="1:10" x14ac:dyDescent="0.3">
      <c r="A278">
        <v>276</v>
      </c>
      <c r="B278">
        <v>6236</v>
      </c>
      <c r="C278" t="b">
        <v>1</v>
      </c>
      <c r="D278">
        <v>8071</v>
      </c>
      <c r="E278">
        <v>8099</v>
      </c>
      <c r="F278">
        <v>226.73334</v>
      </c>
      <c r="G278">
        <v>193.2</v>
      </c>
      <c r="H278">
        <v>1.1735679999999999</v>
      </c>
      <c r="I278">
        <v>-0.17356800999999999</v>
      </c>
      <c r="J278">
        <v>0.46007300000000001</v>
      </c>
    </row>
    <row r="279" spans="1:10" x14ac:dyDescent="0.3">
      <c r="A279">
        <v>277</v>
      </c>
      <c r="B279">
        <v>6252</v>
      </c>
      <c r="C279" t="b">
        <v>1</v>
      </c>
      <c r="D279">
        <v>8060</v>
      </c>
      <c r="E279">
        <v>8099</v>
      </c>
      <c r="F279">
        <v>227.13333</v>
      </c>
      <c r="G279">
        <v>192.4</v>
      </c>
      <c r="H279">
        <v>1.1805266999999999</v>
      </c>
      <c r="I279">
        <v>-0.18052670000000001</v>
      </c>
      <c r="J279">
        <v>0.45860477999999999</v>
      </c>
    </row>
    <row r="280" spans="1:10" x14ac:dyDescent="0.3">
      <c r="A280">
        <v>278</v>
      </c>
      <c r="B280">
        <v>6268</v>
      </c>
      <c r="C280" t="b">
        <v>1</v>
      </c>
      <c r="D280">
        <v>8054</v>
      </c>
      <c r="E280">
        <v>8105</v>
      </c>
      <c r="F280">
        <v>227.53334000000001</v>
      </c>
      <c r="G280">
        <v>191.6</v>
      </c>
      <c r="H280">
        <v>1.1875435000000001</v>
      </c>
      <c r="I280">
        <v>-0.1875435</v>
      </c>
      <c r="J280">
        <v>0.45713374000000001</v>
      </c>
    </row>
    <row r="281" spans="1:10" x14ac:dyDescent="0.3">
      <c r="A281">
        <v>279</v>
      </c>
      <c r="B281">
        <v>6299</v>
      </c>
      <c r="C281" t="b">
        <v>1</v>
      </c>
      <c r="D281">
        <v>8065</v>
      </c>
      <c r="E281">
        <v>8093</v>
      </c>
      <c r="F281">
        <v>227.2</v>
      </c>
      <c r="G281">
        <v>190.8</v>
      </c>
      <c r="H281">
        <v>1.1907756</v>
      </c>
      <c r="I281">
        <v>-0.19077564999999999</v>
      </c>
      <c r="J281">
        <v>0.45645933999999999</v>
      </c>
    </row>
    <row r="282" spans="1:10" x14ac:dyDescent="0.3">
      <c r="A282">
        <v>280</v>
      </c>
      <c r="B282">
        <v>6315</v>
      </c>
      <c r="C282" t="b">
        <v>1</v>
      </c>
      <c r="D282">
        <v>8060</v>
      </c>
      <c r="E282">
        <v>8129</v>
      </c>
      <c r="F282">
        <v>226.86667</v>
      </c>
      <c r="G282">
        <v>190</v>
      </c>
      <c r="H282">
        <v>1.194035</v>
      </c>
      <c r="I282">
        <v>-0.19403509999999999</v>
      </c>
      <c r="J282">
        <v>0.45578121999999999</v>
      </c>
    </row>
    <row r="283" spans="1:10" x14ac:dyDescent="0.3">
      <c r="A283">
        <v>281</v>
      </c>
      <c r="B283">
        <v>6331</v>
      </c>
      <c r="C283" t="b">
        <v>1</v>
      </c>
      <c r="D283">
        <v>8054</v>
      </c>
      <c r="E283">
        <v>8111</v>
      </c>
      <c r="F283">
        <v>226.53334000000001</v>
      </c>
      <c r="G283">
        <v>189.6</v>
      </c>
      <c r="H283">
        <v>1.1947961</v>
      </c>
      <c r="I283">
        <v>-0.19479605999999999</v>
      </c>
      <c r="J283">
        <v>0.45562318000000002</v>
      </c>
    </row>
    <row r="284" spans="1:10" x14ac:dyDescent="0.3">
      <c r="A284">
        <v>282</v>
      </c>
      <c r="B284">
        <v>6347</v>
      </c>
      <c r="C284" t="b">
        <v>1</v>
      </c>
      <c r="D284">
        <v>8060</v>
      </c>
      <c r="E284">
        <v>8129</v>
      </c>
      <c r="F284">
        <v>226.2</v>
      </c>
      <c r="G284">
        <v>190</v>
      </c>
      <c r="H284">
        <v>1.1905262000000001</v>
      </c>
      <c r="I284">
        <v>-0.19052630000000001</v>
      </c>
      <c r="J284">
        <v>0.45651130000000001</v>
      </c>
    </row>
    <row r="285" spans="1:10" x14ac:dyDescent="0.3">
      <c r="A285">
        <v>283</v>
      </c>
      <c r="B285">
        <v>6379</v>
      </c>
      <c r="C285" t="b">
        <v>1</v>
      </c>
      <c r="D285">
        <v>8077</v>
      </c>
      <c r="E285">
        <v>8105</v>
      </c>
      <c r="F285">
        <v>225.86667</v>
      </c>
      <c r="G285">
        <v>190.8</v>
      </c>
      <c r="H285">
        <v>1.1837876000000001</v>
      </c>
      <c r="I285">
        <v>-0.18378754999999999</v>
      </c>
      <c r="J285">
        <v>0.45791999</v>
      </c>
    </row>
    <row r="286" spans="1:10" x14ac:dyDescent="0.3">
      <c r="A286">
        <v>284</v>
      </c>
      <c r="B286">
        <v>6411</v>
      </c>
      <c r="C286" t="b">
        <v>1</v>
      </c>
      <c r="D286">
        <v>8054</v>
      </c>
      <c r="E286">
        <v>8087</v>
      </c>
      <c r="F286">
        <v>225.13333</v>
      </c>
      <c r="G286">
        <v>191.6</v>
      </c>
      <c r="H286">
        <v>1.1750174</v>
      </c>
      <c r="I286">
        <v>-0.17501733999999999</v>
      </c>
      <c r="J286">
        <v>0.45976644999999999</v>
      </c>
    </row>
    <row r="287" spans="1:10" x14ac:dyDescent="0.3">
      <c r="A287">
        <v>285</v>
      </c>
      <c r="B287">
        <v>6443</v>
      </c>
      <c r="C287" t="b">
        <v>1</v>
      </c>
      <c r="D287">
        <v>8083</v>
      </c>
      <c r="E287">
        <v>8081</v>
      </c>
      <c r="F287">
        <v>224.4</v>
      </c>
      <c r="G287">
        <v>191.6</v>
      </c>
      <c r="H287">
        <v>1.1711898999999999</v>
      </c>
      <c r="I287">
        <v>-0.17118990000000001</v>
      </c>
      <c r="J287">
        <v>0.46057694999999998</v>
      </c>
    </row>
    <row r="288" spans="1:10" x14ac:dyDescent="0.3">
      <c r="A288">
        <v>286</v>
      </c>
      <c r="B288">
        <v>6474</v>
      </c>
      <c r="C288" t="b">
        <v>1</v>
      </c>
      <c r="D288">
        <v>8071</v>
      </c>
      <c r="E288">
        <v>8093</v>
      </c>
      <c r="F288">
        <v>224.4</v>
      </c>
      <c r="G288">
        <v>190.8</v>
      </c>
      <c r="H288">
        <v>1.1761006000000001</v>
      </c>
      <c r="I288">
        <v>-0.17610058000000001</v>
      </c>
      <c r="J288">
        <v>0.45953757000000001</v>
      </c>
    </row>
    <row r="289" spans="1:10" x14ac:dyDescent="0.3">
      <c r="A289">
        <v>287</v>
      </c>
      <c r="B289">
        <v>6506</v>
      </c>
      <c r="C289" t="b">
        <v>1</v>
      </c>
      <c r="D289">
        <v>8054</v>
      </c>
      <c r="E289">
        <v>8105</v>
      </c>
      <c r="F289">
        <v>224.4</v>
      </c>
      <c r="G289">
        <v>190</v>
      </c>
      <c r="H289">
        <v>1.1810525999999999</v>
      </c>
      <c r="I289">
        <v>-0.18105260000000001</v>
      </c>
      <c r="J289">
        <v>0.45849422000000001</v>
      </c>
    </row>
    <row r="290" spans="1:10" x14ac:dyDescent="0.3">
      <c r="A290">
        <v>288</v>
      </c>
      <c r="B290">
        <v>6538</v>
      </c>
      <c r="C290" t="b">
        <v>1</v>
      </c>
      <c r="D290">
        <v>8065</v>
      </c>
      <c r="E290">
        <v>8099</v>
      </c>
      <c r="F290">
        <v>224</v>
      </c>
      <c r="G290">
        <v>188.4</v>
      </c>
      <c r="H290">
        <v>1.1889597000000001</v>
      </c>
      <c r="I290">
        <v>-0.18895970000000001</v>
      </c>
      <c r="J290">
        <v>0.45683800000000002</v>
      </c>
    </row>
    <row r="291" spans="1:10" x14ac:dyDescent="0.3">
      <c r="A291">
        <v>289</v>
      </c>
      <c r="B291">
        <v>6569</v>
      </c>
      <c r="C291" t="b">
        <v>1</v>
      </c>
      <c r="D291">
        <v>8071</v>
      </c>
      <c r="E291">
        <v>8099</v>
      </c>
      <c r="F291">
        <v>224</v>
      </c>
      <c r="G291">
        <v>187.2</v>
      </c>
      <c r="H291">
        <v>1.1965812</v>
      </c>
      <c r="I291">
        <v>-0.19658121000000001</v>
      </c>
      <c r="J291">
        <v>0.45525290000000002</v>
      </c>
    </row>
    <row r="292" spans="1:10" x14ac:dyDescent="0.3">
      <c r="A292">
        <v>290</v>
      </c>
      <c r="B292">
        <v>6601</v>
      </c>
      <c r="C292" t="b">
        <v>1</v>
      </c>
      <c r="D292">
        <v>8077</v>
      </c>
      <c r="E292">
        <v>8087</v>
      </c>
      <c r="F292">
        <v>224</v>
      </c>
      <c r="G292">
        <v>186</v>
      </c>
      <c r="H292">
        <v>1.2043010999999999</v>
      </c>
      <c r="I292">
        <v>-0.20430107</v>
      </c>
      <c r="J292">
        <v>0.45365854999999999</v>
      </c>
    </row>
    <row r="293" spans="1:10" x14ac:dyDescent="0.3">
      <c r="A293">
        <v>291</v>
      </c>
      <c r="B293">
        <v>6633</v>
      </c>
      <c r="C293" t="b">
        <v>1</v>
      </c>
      <c r="D293">
        <v>8060</v>
      </c>
      <c r="E293">
        <v>8105</v>
      </c>
      <c r="F293">
        <v>223.6</v>
      </c>
      <c r="G293">
        <v>186</v>
      </c>
      <c r="H293">
        <v>1.2021506</v>
      </c>
      <c r="I293">
        <v>-0.20215057</v>
      </c>
      <c r="J293">
        <v>0.45410156000000002</v>
      </c>
    </row>
    <row r="294" spans="1:10" x14ac:dyDescent="0.3">
      <c r="A294">
        <v>292</v>
      </c>
      <c r="B294">
        <v>6664</v>
      </c>
      <c r="C294" t="b">
        <v>1</v>
      </c>
      <c r="D294">
        <v>8065</v>
      </c>
      <c r="E294">
        <v>8093</v>
      </c>
      <c r="F294">
        <v>223.93333000000001</v>
      </c>
      <c r="G294">
        <v>186</v>
      </c>
      <c r="H294">
        <v>1.2039427</v>
      </c>
      <c r="I294">
        <v>-0.20394266</v>
      </c>
      <c r="J294">
        <v>0.45373227999999999</v>
      </c>
    </row>
    <row r="295" spans="1:10" x14ac:dyDescent="0.3">
      <c r="A295">
        <v>293</v>
      </c>
      <c r="B295">
        <v>6696</v>
      </c>
      <c r="C295" t="b">
        <v>1</v>
      </c>
      <c r="D295">
        <v>8077</v>
      </c>
      <c r="E295">
        <v>8093</v>
      </c>
      <c r="F295">
        <v>224.66667000000001</v>
      </c>
      <c r="G295">
        <v>185.6</v>
      </c>
      <c r="H295">
        <v>1.2104884</v>
      </c>
      <c r="I295">
        <v>-0.2104885</v>
      </c>
      <c r="J295">
        <v>0.45238869999999998</v>
      </c>
    </row>
    <row r="296" spans="1:10" x14ac:dyDescent="0.3">
      <c r="A296">
        <v>294</v>
      </c>
      <c r="B296">
        <v>6728</v>
      </c>
      <c r="C296" t="b">
        <v>1</v>
      </c>
      <c r="D296">
        <v>8054</v>
      </c>
      <c r="E296">
        <v>8117</v>
      </c>
      <c r="F296">
        <v>225</v>
      </c>
      <c r="G296">
        <v>185.2</v>
      </c>
      <c r="H296">
        <v>1.2149029</v>
      </c>
      <c r="I296">
        <v>-0.21490282999999999</v>
      </c>
      <c r="J296">
        <v>0.45148706</v>
      </c>
    </row>
    <row r="297" spans="1:10" x14ac:dyDescent="0.3">
      <c r="A297">
        <v>295</v>
      </c>
      <c r="B297">
        <v>6759</v>
      </c>
      <c r="C297" t="b">
        <v>1</v>
      </c>
      <c r="D297">
        <v>8054</v>
      </c>
      <c r="E297">
        <v>8105</v>
      </c>
      <c r="F297">
        <v>225</v>
      </c>
      <c r="G297">
        <v>185.6</v>
      </c>
      <c r="H297">
        <v>1.2122843999999999</v>
      </c>
      <c r="I297">
        <v>-0.21228445000000001</v>
      </c>
      <c r="J297">
        <v>0.45202144999999999</v>
      </c>
    </row>
    <row r="298" spans="1:10" x14ac:dyDescent="0.3">
      <c r="A298">
        <v>296</v>
      </c>
      <c r="B298">
        <v>6792</v>
      </c>
      <c r="C298" t="b">
        <v>1</v>
      </c>
      <c r="D298">
        <v>8048</v>
      </c>
      <c r="E298">
        <v>8087</v>
      </c>
      <c r="F298">
        <v>224.6</v>
      </c>
      <c r="G298">
        <v>184.8</v>
      </c>
      <c r="H298">
        <v>1.215368</v>
      </c>
      <c r="I298">
        <v>-0.21536796999999999</v>
      </c>
      <c r="J298">
        <v>0.45139225999999999</v>
      </c>
    </row>
    <row r="299" spans="1:10" x14ac:dyDescent="0.3">
      <c r="A299">
        <v>297</v>
      </c>
      <c r="B299">
        <v>6824</v>
      </c>
      <c r="C299" t="b">
        <v>1</v>
      </c>
      <c r="D299">
        <v>8048</v>
      </c>
      <c r="E299">
        <v>8093</v>
      </c>
      <c r="F299">
        <v>224.2</v>
      </c>
      <c r="G299">
        <v>183.6</v>
      </c>
      <c r="H299">
        <v>1.2211329</v>
      </c>
      <c r="I299">
        <v>-0.22113284</v>
      </c>
      <c r="J299">
        <v>0.45022073000000001</v>
      </c>
    </row>
    <row r="300" spans="1:10" x14ac:dyDescent="0.3">
      <c r="A300">
        <v>298</v>
      </c>
      <c r="B300">
        <v>6856</v>
      </c>
      <c r="C300" t="b">
        <v>1</v>
      </c>
      <c r="D300">
        <v>8048</v>
      </c>
      <c r="E300">
        <v>8075</v>
      </c>
      <c r="F300">
        <v>223.4</v>
      </c>
      <c r="G300">
        <v>182.4</v>
      </c>
      <c r="H300">
        <v>1.2247806999999999</v>
      </c>
      <c r="I300">
        <v>-0.22478070999999999</v>
      </c>
      <c r="J300">
        <v>0.44948250000000001</v>
      </c>
    </row>
    <row r="301" spans="1:10" x14ac:dyDescent="0.3">
      <c r="A301">
        <v>299</v>
      </c>
      <c r="B301">
        <v>6871</v>
      </c>
      <c r="C301" t="b">
        <v>1</v>
      </c>
      <c r="D301">
        <v>8071</v>
      </c>
      <c r="E301">
        <v>8093</v>
      </c>
      <c r="F301">
        <v>222.6</v>
      </c>
      <c r="G301">
        <v>181.2</v>
      </c>
      <c r="H301">
        <v>1.2284769</v>
      </c>
      <c r="I301">
        <v>-0.22847687999999999</v>
      </c>
      <c r="J301">
        <v>0.448737</v>
      </c>
    </row>
    <row r="302" spans="1:10" x14ac:dyDescent="0.3">
      <c r="A302">
        <v>300</v>
      </c>
      <c r="B302">
        <v>6888</v>
      </c>
      <c r="C302" t="b">
        <v>1</v>
      </c>
      <c r="D302">
        <v>8088</v>
      </c>
      <c r="E302">
        <v>8105</v>
      </c>
      <c r="F302">
        <v>221.8</v>
      </c>
      <c r="G302">
        <v>180.4</v>
      </c>
      <c r="H302">
        <v>1.22949</v>
      </c>
      <c r="I302">
        <v>-0.22949009000000001</v>
      </c>
      <c r="J302">
        <v>0.44853303</v>
      </c>
    </row>
    <row r="303" spans="1:10" x14ac:dyDescent="0.3">
      <c r="A303">
        <v>301</v>
      </c>
      <c r="B303">
        <v>6919</v>
      </c>
      <c r="C303" t="b">
        <v>1</v>
      </c>
      <c r="D303">
        <v>8065</v>
      </c>
      <c r="E303">
        <v>8093</v>
      </c>
      <c r="F303">
        <v>221.4</v>
      </c>
      <c r="G303">
        <v>180.4</v>
      </c>
      <c r="H303">
        <v>1.2272727000000001</v>
      </c>
      <c r="I303">
        <v>-0.22727273000000001</v>
      </c>
      <c r="J303">
        <v>0.44897959999999998</v>
      </c>
    </row>
    <row r="304" spans="1:10" x14ac:dyDescent="0.3">
      <c r="A304">
        <v>302</v>
      </c>
      <c r="B304">
        <v>6951</v>
      </c>
      <c r="C304" t="b">
        <v>1</v>
      </c>
      <c r="D304">
        <v>8083</v>
      </c>
      <c r="E304">
        <v>8111</v>
      </c>
      <c r="F304">
        <v>221.4</v>
      </c>
      <c r="G304">
        <v>180.4</v>
      </c>
      <c r="H304">
        <v>1.2272727000000001</v>
      </c>
      <c r="I304">
        <v>-0.22727273000000001</v>
      </c>
      <c r="J304">
        <v>0.44897959999999998</v>
      </c>
    </row>
    <row r="305" spans="1:10" x14ac:dyDescent="0.3">
      <c r="A305">
        <v>303</v>
      </c>
      <c r="B305">
        <v>6983</v>
      </c>
      <c r="C305" t="b">
        <v>1</v>
      </c>
      <c r="D305">
        <v>8030</v>
      </c>
      <c r="E305">
        <v>8099</v>
      </c>
      <c r="F305">
        <v>221.8</v>
      </c>
      <c r="G305">
        <v>180.8</v>
      </c>
      <c r="H305">
        <v>1.2267699000000001</v>
      </c>
      <c r="I305">
        <v>-0.22676990999999999</v>
      </c>
      <c r="J305">
        <v>0.44908097000000002</v>
      </c>
    </row>
    <row r="306" spans="1:10" x14ac:dyDescent="0.3">
      <c r="A306">
        <v>304</v>
      </c>
      <c r="B306">
        <v>7015</v>
      </c>
      <c r="C306" t="b">
        <v>1</v>
      </c>
      <c r="D306">
        <v>8042</v>
      </c>
      <c r="E306">
        <v>8140</v>
      </c>
      <c r="F306">
        <v>221.4</v>
      </c>
      <c r="G306">
        <v>181.2</v>
      </c>
      <c r="H306">
        <v>1.2218542999999999</v>
      </c>
      <c r="I306">
        <v>-0.22185427999999999</v>
      </c>
      <c r="J306">
        <v>0.45007451999999998</v>
      </c>
    </row>
    <row r="307" spans="1:10" x14ac:dyDescent="0.3">
      <c r="A307">
        <v>305</v>
      </c>
      <c r="B307">
        <v>7046</v>
      </c>
      <c r="C307" t="b">
        <v>1</v>
      </c>
      <c r="D307">
        <v>8060</v>
      </c>
      <c r="E307">
        <v>8093</v>
      </c>
      <c r="F307">
        <v>220.66667000000001</v>
      </c>
      <c r="G307">
        <v>181.2</v>
      </c>
      <c r="H307">
        <v>1.2178073</v>
      </c>
      <c r="I307">
        <v>-0.21780726</v>
      </c>
      <c r="J307">
        <v>0.45089582</v>
      </c>
    </row>
    <row r="308" spans="1:10" x14ac:dyDescent="0.3">
      <c r="A308">
        <v>306</v>
      </c>
      <c r="B308">
        <v>7062</v>
      </c>
      <c r="C308" t="b">
        <v>1</v>
      </c>
      <c r="D308">
        <v>8060</v>
      </c>
      <c r="E308">
        <v>8093</v>
      </c>
      <c r="F308">
        <v>220.33332999999999</v>
      </c>
      <c r="G308">
        <v>181.2</v>
      </c>
      <c r="H308">
        <v>1.2159677</v>
      </c>
      <c r="I308">
        <v>-0.21596761</v>
      </c>
      <c r="J308">
        <v>0.45127012999999999</v>
      </c>
    </row>
    <row r="309" spans="1:10" x14ac:dyDescent="0.3">
      <c r="A309">
        <v>307</v>
      </c>
      <c r="B309">
        <v>7094</v>
      </c>
      <c r="C309" t="b">
        <v>1</v>
      </c>
      <c r="D309">
        <v>8060</v>
      </c>
      <c r="E309">
        <v>8117</v>
      </c>
      <c r="F309">
        <v>220</v>
      </c>
      <c r="G309">
        <v>181.2</v>
      </c>
      <c r="H309">
        <v>1.2141280000000001</v>
      </c>
      <c r="I309">
        <v>-0.21412806000000001</v>
      </c>
      <c r="J309">
        <v>0.45164504999999999</v>
      </c>
    </row>
    <row r="310" spans="1:10" x14ac:dyDescent="0.3">
      <c r="A310">
        <v>308</v>
      </c>
      <c r="B310">
        <v>7125</v>
      </c>
      <c r="C310" t="b">
        <v>1</v>
      </c>
      <c r="D310">
        <v>8060</v>
      </c>
      <c r="E310">
        <v>8099</v>
      </c>
      <c r="F310">
        <v>219.26666</v>
      </c>
      <c r="G310">
        <v>181.6</v>
      </c>
      <c r="H310">
        <v>1.2074155</v>
      </c>
      <c r="I310">
        <v>-0.2074155</v>
      </c>
      <c r="J310">
        <v>0.45301849999999999</v>
      </c>
    </row>
    <row r="311" spans="1:10" x14ac:dyDescent="0.3">
      <c r="A311">
        <v>309</v>
      </c>
      <c r="B311">
        <v>7157</v>
      </c>
      <c r="C311" t="b">
        <v>1</v>
      </c>
      <c r="D311">
        <v>8083</v>
      </c>
      <c r="E311">
        <v>8111</v>
      </c>
      <c r="F311">
        <v>218.93333000000001</v>
      </c>
      <c r="G311">
        <v>182</v>
      </c>
      <c r="H311">
        <v>1.2029304999999999</v>
      </c>
      <c r="I311">
        <v>-0.20293040000000001</v>
      </c>
      <c r="J311">
        <v>0.45394077999999999</v>
      </c>
    </row>
    <row r="312" spans="1:10" x14ac:dyDescent="0.3">
      <c r="A312">
        <v>310</v>
      </c>
      <c r="B312">
        <v>7189</v>
      </c>
      <c r="C312" t="b">
        <v>1</v>
      </c>
      <c r="D312">
        <v>8065</v>
      </c>
      <c r="E312">
        <v>8105</v>
      </c>
      <c r="F312">
        <v>218.93333000000001</v>
      </c>
      <c r="G312">
        <v>182</v>
      </c>
      <c r="H312">
        <v>1.2029304999999999</v>
      </c>
      <c r="I312">
        <v>-0.20293040000000001</v>
      </c>
      <c r="J312">
        <v>0.45394077999999999</v>
      </c>
    </row>
    <row r="313" spans="1:10" x14ac:dyDescent="0.3">
      <c r="A313">
        <v>311</v>
      </c>
      <c r="B313">
        <v>7205</v>
      </c>
      <c r="C313" t="b">
        <v>1</v>
      </c>
      <c r="D313">
        <v>8060</v>
      </c>
      <c r="E313">
        <v>8087</v>
      </c>
      <c r="F313">
        <v>219.33332999999999</v>
      </c>
      <c r="G313">
        <v>182.8</v>
      </c>
      <c r="H313">
        <v>1.199854</v>
      </c>
      <c r="I313">
        <v>-0.19985407999999999</v>
      </c>
      <c r="J313">
        <v>0.45457560000000002</v>
      </c>
    </row>
    <row r="314" spans="1:10" x14ac:dyDescent="0.3">
      <c r="A314">
        <v>312</v>
      </c>
      <c r="B314">
        <v>7221</v>
      </c>
      <c r="C314" t="b">
        <v>1</v>
      </c>
      <c r="D314">
        <v>8065</v>
      </c>
      <c r="E314">
        <v>8123</v>
      </c>
      <c r="F314">
        <v>220.06666999999999</v>
      </c>
      <c r="G314">
        <v>183.6</v>
      </c>
      <c r="H314">
        <v>1.1986201999999999</v>
      </c>
      <c r="I314">
        <v>-0.19862014</v>
      </c>
      <c r="J314">
        <v>0.45483069999999998</v>
      </c>
    </row>
    <row r="315" spans="1:10" x14ac:dyDescent="0.3">
      <c r="A315">
        <v>313</v>
      </c>
      <c r="B315">
        <v>7237</v>
      </c>
      <c r="C315" t="b">
        <v>1</v>
      </c>
      <c r="D315">
        <v>8083</v>
      </c>
      <c r="E315">
        <v>8111</v>
      </c>
      <c r="F315">
        <v>221.2</v>
      </c>
      <c r="G315">
        <v>184.8</v>
      </c>
      <c r="H315">
        <v>1.1969696000000001</v>
      </c>
      <c r="I315">
        <v>-0.19696965999999999</v>
      </c>
      <c r="J315">
        <v>0.45517242000000002</v>
      </c>
    </row>
    <row r="316" spans="1:10" x14ac:dyDescent="0.3">
      <c r="A316">
        <v>314</v>
      </c>
      <c r="B316">
        <v>7269</v>
      </c>
      <c r="C316" t="b">
        <v>1</v>
      </c>
      <c r="D316">
        <v>8065</v>
      </c>
      <c r="E316">
        <v>8099</v>
      </c>
      <c r="F316">
        <v>222.33332999999999</v>
      </c>
      <c r="G316">
        <v>185.6</v>
      </c>
      <c r="H316">
        <v>1.1979166000000001</v>
      </c>
      <c r="I316">
        <v>-0.1979166</v>
      </c>
      <c r="J316">
        <v>0.4549763</v>
      </c>
    </row>
    <row r="317" spans="1:10" x14ac:dyDescent="0.3">
      <c r="A317">
        <v>315</v>
      </c>
      <c r="B317">
        <v>7300</v>
      </c>
      <c r="C317" t="b">
        <v>1</v>
      </c>
      <c r="D317">
        <v>8065</v>
      </c>
      <c r="E317">
        <v>8099</v>
      </c>
      <c r="F317">
        <v>223.46665999999999</v>
      </c>
      <c r="G317">
        <v>186</v>
      </c>
      <c r="H317">
        <v>1.2014336999999999</v>
      </c>
      <c r="I317">
        <v>-0.20143365999999999</v>
      </c>
      <c r="J317">
        <v>0.45424940000000003</v>
      </c>
    </row>
    <row r="318" spans="1:10" x14ac:dyDescent="0.3">
      <c r="A318">
        <v>316</v>
      </c>
      <c r="B318">
        <v>7316</v>
      </c>
      <c r="C318" t="b">
        <v>1</v>
      </c>
      <c r="D318">
        <v>8048</v>
      </c>
      <c r="E318">
        <v>8099</v>
      </c>
      <c r="F318">
        <v>223.46665999999999</v>
      </c>
      <c r="G318">
        <v>186.4</v>
      </c>
      <c r="H318">
        <v>1.1988555000000001</v>
      </c>
      <c r="I318">
        <v>-0.19885549999999999</v>
      </c>
      <c r="J318">
        <v>0.45478206999999998</v>
      </c>
    </row>
    <row r="319" spans="1:10" x14ac:dyDescent="0.3">
      <c r="A319">
        <v>317</v>
      </c>
      <c r="B319">
        <v>7332</v>
      </c>
      <c r="C319" t="b">
        <v>1</v>
      </c>
      <c r="D319">
        <v>8060</v>
      </c>
      <c r="E319">
        <v>8087</v>
      </c>
      <c r="F319">
        <v>223.06666999999999</v>
      </c>
      <c r="G319">
        <v>186.8</v>
      </c>
      <c r="H319">
        <v>1.1941470000000001</v>
      </c>
      <c r="I319">
        <v>-0.19414699999999999</v>
      </c>
      <c r="J319">
        <v>0.45575798000000001</v>
      </c>
    </row>
    <row r="320" spans="1:10" x14ac:dyDescent="0.3">
      <c r="A320">
        <v>318</v>
      </c>
      <c r="B320">
        <v>7348</v>
      </c>
      <c r="C320" t="b">
        <v>1</v>
      </c>
      <c r="D320">
        <v>8071</v>
      </c>
      <c r="E320">
        <v>8111</v>
      </c>
      <c r="F320">
        <v>222.66667000000001</v>
      </c>
      <c r="G320">
        <v>186.8</v>
      </c>
      <c r="H320">
        <v>1.1920058</v>
      </c>
      <c r="I320">
        <v>-0.19200571999999999</v>
      </c>
      <c r="J320">
        <v>0.45620319999999998</v>
      </c>
    </row>
    <row r="321" spans="1:10" x14ac:dyDescent="0.3">
      <c r="A321">
        <v>319</v>
      </c>
      <c r="B321">
        <v>7364</v>
      </c>
      <c r="C321" t="b">
        <v>1</v>
      </c>
      <c r="D321">
        <v>8060</v>
      </c>
      <c r="E321">
        <v>8099</v>
      </c>
      <c r="F321">
        <v>222.33332999999999</v>
      </c>
      <c r="G321">
        <v>186.4</v>
      </c>
      <c r="H321">
        <v>1.1927753999999999</v>
      </c>
      <c r="I321">
        <v>-0.19277540000000001</v>
      </c>
      <c r="J321">
        <v>0.45604303000000002</v>
      </c>
    </row>
    <row r="322" spans="1:10" x14ac:dyDescent="0.3">
      <c r="A322">
        <v>320</v>
      </c>
      <c r="B322">
        <v>7380</v>
      </c>
      <c r="C322" t="b">
        <v>1</v>
      </c>
      <c r="D322">
        <v>8077</v>
      </c>
      <c r="E322">
        <v>8081</v>
      </c>
      <c r="F322">
        <v>222.33332999999999</v>
      </c>
      <c r="G322">
        <v>186.4</v>
      </c>
      <c r="H322">
        <v>1.1927753999999999</v>
      </c>
      <c r="I322">
        <v>-0.19277540000000001</v>
      </c>
      <c r="J322">
        <v>0.45604303000000002</v>
      </c>
    </row>
    <row r="323" spans="1:10" x14ac:dyDescent="0.3">
      <c r="A323">
        <v>321</v>
      </c>
      <c r="B323">
        <v>7395</v>
      </c>
      <c r="C323" t="b">
        <v>1</v>
      </c>
      <c r="D323">
        <v>8060</v>
      </c>
      <c r="E323">
        <v>8087</v>
      </c>
      <c r="F323">
        <v>222.33332999999999</v>
      </c>
      <c r="G323">
        <v>185.6</v>
      </c>
      <c r="H323">
        <v>1.1979166000000001</v>
      </c>
      <c r="I323">
        <v>-0.1979166</v>
      </c>
      <c r="J323">
        <v>0.4549763</v>
      </c>
    </row>
    <row r="324" spans="1:10" x14ac:dyDescent="0.3">
      <c r="A324">
        <v>322</v>
      </c>
      <c r="B324">
        <v>7427</v>
      </c>
      <c r="C324" t="b">
        <v>1</v>
      </c>
      <c r="D324">
        <v>8065</v>
      </c>
      <c r="E324">
        <v>8105</v>
      </c>
      <c r="F324">
        <v>222.66667000000001</v>
      </c>
      <c r="G324">
        <v>185.6</v>
      </c>
      <c r="H324">
        <v>1.1997126</v>
      </c>
      <c r="I324">
        <v>-0.19971263</v>
      </c>
      <c r="J324">
        <v>0.45460486</v>
      </c>
    </row>
    <row r="325" spans="1:10" x14ac:dyDescent="0.3">
      <c r="A325">
        <v>323</v>
      </c>
      <c r="B325">
        <v>7459</v>
      </c>
      <c r="C325" t="b">
        <v>1</v>
      </c>
      <c r="D325">
        <v>8071</v>
      </c>
      <c r="E325">
        <v>8105</v>
      </c>
      <c r="F325">
        <v>223</v>
      </c>
      <c r="G325">
        <v>185.6</v>
      </c>
      <c r="H325">
        <v>1.2015085000000001</v>
      </c>
      <c r="I325">
        <v>-0.20150857999999999</v>
      </c>
      <c r="J325">
        <v>0.45423396999999999</v>
      </c>
    </row>
    <row r="326" spans="1:10" x14ac:dyDescent="0.3">
      <c r="A326">
        <v>324</v>
      </c>
      <c r="B326">
        <v>7490</v>
      </c>
      <c r="C326" t="b">
        <v>1</v>
      </c>
      <c r="D326">
        <v>8071</v>
      </c>
      <c r="E326">
        <v>8105</v>
      </c>
      <c r="F326">
        <v>223.73334</v>
      </c>
      <c r="G326">
        <v>186</v>
      </c>
      <c r="H326">
        <v>1.2028673999999999</v>
      </c>
      <c r="I326">
        <v>-0.2028674</v>
      </c>
      <c r="J326">
        <v>0.45395376999999998</v>
      </c>
    </row>
    <row r="327" spans="1:10" x14ac:dyDescent="0.3">
      <c r="A327">
        <v>325</v>
      </c>
      <c r="B327">
        <v>7506</v>
      </c>
      <c r="C327" t="b">
        <v>1</v>
      </c>
      <c r="D327">
        <v>8060</v>
      </c>
      <c r="E327">
        <v>8105</v>
      </c>
      <c r="F327">
        <v>224.06666999999999</v>
      </c>
      <c r="G327">
        <v>186</v>
      </c>
      <c r="H327">
        <v>1.2046595</v>
      </c>
      <c r="I327">
        <v>-0.20465949</v>
      </c>
      <c r="J327">
        <v>0.45358480000000001</v>
      </c>
    </row>
    <row r="328" spans="1:10" x14ac:dyDescent="0.3">
      <c r="A328">
        <v>326</v>
      </c>
      <c r="B328">
        <v>7522</v>
      </c>
      <c r="C328" t="b">
        <v>1</v>
      </c>
      <c r="D328">
        <v>8060</v>
      </c>
      <c r="E328">
        <v>8111</v>
      </c>
      <c r="F328">
        <v>224.4</v>
      </c>
      <c r="G328">
        <v>186</v>
      </c>
      <c r="H328">
        <v>1.2064515</v>
      </c>
      <c r="I328">
        <v>-0.20645158</v>
      </c>
      <c r="J328">
        <v>0.45321636999999998</v>
      </c>
    </row>
    <row r="329" spans="1:10" x14ac:dyDescent="0.3">
      <c r="A329">
        <v>327</v>
      </c>
      <c r="B329">
        <v>7537</v>
      </c>
      <c r="C329" t="b">
        <v>1</v>
      </c>
      <c r="D329">
        <v>8071</v>
      </c>
      <c r="E329">
        <v>8105</v>
      </c>
      <c r="F329">
        <v>224.8</v>
      </c>
      <c r="G329">
        <v>186</v>
      </c>
      <c r="H329">
        <v>1.2086022000000001</v>
      </c>
      <c r="I329">
        <v>-0.20860216000000001</v>
      </c>
      <c r="J329">
        <v>0.45277509999999999</v>
      </c>
    </row>
    <row r="330" spans="1:10" x14ac:dyDescent="0.3">
      <c r="A330">
        <v>328</v>
      </c>
      <c r="B330">
        <v>7553</v>
      </c>
      <c r="C330" t="b">
        <v>1</v>
      </c>
      <c r="D330">
        <v>8060</v>
      </c>
      <c r="E330">
        <v>8129</v>
      </c>
      <c r="F330">
        <v>224.46665999999999</v>
      </c>
      <c r="G330">
        <v>185.6</v>
      </c>
      <c r="H330">
        <v>1.2094107999999999</v>
      </c>
      <c r="I330">
        <v>-0.20941085000000001</v>
      </c>
      <c r="J330">
        <v>0.45260936000000002</v>
      </c>
    </row>
    <row r="331" spans="1:10" x14ac:dyDescent="0.3">
      <c r="A331">
        <v>329</v>
      </c>
      <c r="B331">
        <v>7585</v>
      </c>
      <c r="C331" t="b">
        <v>1</v>
      </c>
      <c r="D331">
        <v>8054</v>
      </c>
      <c r="E331">
        <v>8105</v>
      </c>
      <c r="F331">
        <v>224.13333</v>
      </c>
      <c r="G331">
        <v>185.6</v>
      </c>
      <c r="H331">
        <v>1.2076149</v>
      </c>
      <c r="I331">
        <v>-0.20761489999999999</v>
      </c>
      <c r="J331">
        <v>0.45297757</v>
      </c>
    </row>
    <row r="332" spans="1:10" x14ac:dyDescent="0.3">
      <c r="A332">
        <v>330</v>
      </c>
      <c r="B332">
        <v>7601</v>
      </c>
      <c r="C332" t="b">
        <v>1</v>
      </c>
      <c r="D332">
        <v>8054</v>
      </c>
      <c r="E332">
        <v>8099</v>
      </c>
      <c r="F332">
        <v>223.8</v>
      </c>
      <c r="G332">
        <v>186</v>
      </c>
      <c r="H332">
        <v>1.2032259000000001</v>
      </c>
      <c r="I332">
        <v>-0.20322582</v>
      </c>
      <c r="J332">
        <v>0.45387994999999998</v>
      </c>
    </row>
    <row r="333" spans="1:10" x14ac:dyDescent="0.3">
      <c r="A333">
        <v>331</v>
      </c>
      <c r="B333">
        <v>7632</v>
      </c>
      <c r="C333" t="b">
        <v>1</v>
      </c>
      <c r="D333">
        <v>8054</v>
      </c>
      <c r="E333">
        <v>8075</v>
      </c>
      <c r="F333">
        <v>223.06666999999999</v>
      </c>
      <c r="G333">
        <v>186.4</v>
      </c>
      <c r="H333">
        <v>1.1967095999999999</v>
      </c>
      <c r="I333">
        <v>-0.19670962</v>
      </c>
      <c r="J333">
        <v>0.45522626999999999</v>
      </c>
    </row>
    <row r="334" spans="1:10" x14ac:dyDescent="0.3">
      <c r="A334">
        <v>332</v>
      </c>
      <c r="B334">
        <v>7648</v>
      </c>
      <c r="C334" t="b">
        <v>1</v>
      </c>
      <c r="D334">
        <v>8071</v>
      </c>
      <c r="E334">
        <v>8087</v>
      </c>
      <c r="F334">
        <v>222.33332999999999</v>
      </c>
      <c r="G334">
        <v>186.4</v>
      </c>
      <c r="H334">
        <v>1.1927753999999999</v>
      </c>
      <c r="I334">
        <v>-0.19277540000000001</v>
      </c>
      <c r="J334">
        <v>0.45604303000000002</v>
      </c>
    </row>
    <row r="335" spans="1:10" x14ac:dyDescent="0.3">
      <c r="A335">
        <v>333</v>
      </c>
      <c r="B335">
        <v>7664</v>
      </c>
      <c r="C335" t="b">
        <v>1</v>
      </c>
      <c r="D335">
        <v>8054</v>
      </c>
      <c r="E335">
        <v>8093</v>
      </c>
      <c r="F335">
        <v>221.6</v>
      </c>
      <c r="G335">
        <v>186</v>
      </c>
      <c r="H335">
        <v>1.1913978999999999</v>
      </c>
      <c r="I335">
        <v>-0.19139787999999999</v>
      </c>
      <c r="J335">
        <v>0.45632972999999999</v>
      </c>
    </row>
    <row r="336" spans="1:10" x14ac:dyDescent="0.3">
      <c r="A336">
        <v>334</v>
      </c>
      <c r="B336">
        <v>7680</v>
      </c>
      <c r="C336" t="b">
        <v>1</v>
      </c>
      <c r="D336">
        <v>8054</v>
      </c>
      <c r="E336">
        <v>8117</v>
      </c>
      <c r="F336">
        <v>221.2</v>
      </c>
      <c r="G336">
        <v>185.6</v>
      </c>
      <c r="H336">
        <v>1.1918103</v>
      </c>
      <c r="I336">
        <v>-0.19181029999999999</v>
      </c>
      <c r="J336">
        <v>0.45624387</v>
      </c>
    </row>
    <row r="337" spans="1:10" x14ac:dyDescent="0.3">
      <c r="A337">
        <v>335</v>
      </c>
      <c r="B337">
        <v>7696</v>
      </c>
      <c r="C337" t="b">
        <v>1</v>
      </c>
      <c r="D337">
        <v>8060</v>
      </c>
      <c r="E337">
        <v>8105</v>
      </c>
      <c r="F337">
        <v>220.8</v>
      </c>
      <c r="G337">
        <v>185.2</v>
      </c>
      <c r="H337">
        <v>1.1922246000000001</v>
      </c>
      <c r="I337">
        <v>-0.19222465</v>
      </c>
      <c r="J337">
        <v>0.45615761999999999</v>
      </c>
    </row>
    <row r="338" spans="1:10" x14ac:dyDescent="0.3">
      <c r="A338">
        <v>336</v>
      </c>
      <c r="B338">
        <v>7712</v>
      </c>
      <c r="C338" t="b">
        <v>1</v>
      </c>
      <c r="D338">
        <v>8065</v>
      </c>
      <c r="E338">
        <v>8117</v>
      </c>
      <c r="F338">
        <v>220.8</v>
      </c>
      <c r="G338">
        <v>186.4</v>
      </c>
      <c r="H338">
        <v>1.1845494999999999</v>
      </c>
      <c r="I338">
        <v>-0.1845494</v>
      </c>
      <c r="J338">
        <v>0.45776027000000002</v>
      </c>
    </row>
    <row r="339" spans="1:10" x14ac:dyDescent="0.3">
      <c r="A339">
        <v>337</v>
      </c>
      <c r="B339">
        <v>7728</v>
      </c>
      <c r="C339" t="b">
        <v>1</v>
      </c>
      <c r="D339">
        <v>8077</v>
      </c>
      <c r="E339">
        <v>8123</v>
      </c>
      <c r="F339">
        <v>220.46665999999999</v>
      </c>
      <c r="G339">
        <v>187.6</v>
      </c>
      <c r="H339">
        <v>1.1751952999999999</v>
      </c>
      <c r="I339">
        <v>-0.17519538000000001</v>
      </c>
      <c r="J339">
        <v>0.45972884000000003</v>
      </c>
    </row>
    <row r="340" spans="1:10" x14ac:dyDescent="0.3">
      <c r="A340">
        <v>338</v>
      </c>
      <c r="B340">
        <v>7744</v>
      </c>
      <c r="C340" t="b">
        <v>1</v>
      </c>
      <c r="D340">
        <v>8065</v>
      </c>
      <c r="E340">
        <v>8105</v>
      </c>
      <c r="F340">
        <v>220.46665999999999</v>
      </c>
      <c r="G340">
        <v>188.8</v>
      </c>
      <c r="H340">
        <v>1.1677259</v>
      </c>
      <c r="I340">
        <v>-0.16772593999999999</v>
      </c>
      <c r="J340">
        <v>0.46131292000000002</v>
      </c>
    </row>
    <row r="341" spans="1:10" x14ac:dyDescent="0.3">
      <c r="A341">
        <v>339</v>
      </c>
      <c r="B341">
        <v>7776</v>
      </c>
      <c r="C341" t="b">
        <v>1</v>
      </c>
      <c r="D341">
        <v>8054</v>
      </c>
      <c r="E341">
        <v>8105</v>
      </c>
      <c r="F341">
        <v>220.06666999999999</v>
      </c>
      <c r="G341">
        <v>188.8</v>
      </c>
      <c r="H341">
        <v>1.1656073</v>
      </c>
      <c r="I341">
        <v>-0.16560732</v>
      </c>
      <c r="J341">
        <v>0.46176424999999999</v>
      </c>
    </row>
    <row r="342" spans="1:10" x14ac:dyDescent="0.3">
      <c r="A342">
        <v>340</v>
      </c>
      <c r="B342">
        <v>7807</v>
      </c>
      <c r="C342" t="b">
        <v>1</v>
      </c>
      <c r="D342">
        <v>8065</v>
      </c>
      <c r="E342">
        <v>8081</v>
      </c>
      <c r="F342">
        <v>220.06666999999999</v>
      </c>
      <c r="G342">
        <v>188.8</v>
      </c>
      <c r="H342">
        <v>1.1656073</v>
      </c>
      <c r="I342">
        <v>-0.16560732</v>
      </c>
      <c r="J342">
        <v>0.46176424999999999</v>
      </c>
    </row>
    <row r="343" spans="1:10" x14ac:dyDescent="0.3">
      <c r="A343">
        <v>341</v>
      </c>
      <c r="B343">
        <v>7839</v>
      </c>
      <c r="C343" t="b">
        <v>1</v>
      </c>
      <c r="D343">
        <v>8083</v>
      </c>
      <c r="E343">
        <v>8099</v>
      </c>
      <c r="F343">
        <v>220.06666999999999</v>
      </c>
      <c r="G343">
        <v>188.8</v>
      </c>
      <c r="H343">
        <v>1.1656073</v>
      </c>
      <c r="I343">
        <v>-0.16560732</v>
      </c>
      <c r="J343">
        <v>0.46176424999999999</v>
      </c>
    </row>
    <row r="344" spans="1:10" x14ac:dyDescent="0.3">
      <c r="A344">
        <v>342</v>
      </c>
      <c r="B344">
        <v>7855</v>
      </c>
      <c r="C344" t="b">
        <v>1</v>
      </c>
      <c r="D344">
        <v>8065</v>
      </c>
      <c r="E344">
        <v>8099</v>
      </c>
      <c r="F344">
        <v>219.66667000000001</v>
      </c>
      <c r="G344">
        <v>188.4</v>
      </c>
      <c r="H344">
        <v>1.165959</v>
      </c>
      <c r="I344">
        <v>-0.16595902000000001</v>
      </c>
      <c r="J344">
        <v>0.46168925999999999</v>
      </c>
    </row>
    <row r="345" spans="1:10" x14ac:dyDescent="0.3">
      <c r="A345">
        <v>343</v>
      </c>
      <c r="B345">
        <v>7871</v>
      </c>
      <c r="C345" t="b">
        <v>1</v>
      </c>
      <c r="D345">
        <v>8065</v>
      </c>
      <c r="E345">
        <v>8081</v>
      </c>
      <c r="F345">
        <v>220</v>
      </c>
      <c r="G345">
        <v>188</v>
      </c>
      <c r="H345">
        <v>1.1702127</v>
      </c>
      <c r="I345">
        <v>-0.17021275999999999</v>
      </c>
      <c r="J345">
        <v>0.46078432000000002</v>
      </c>
    </row>
    <row r="346" spans="1:10" x14ac:dyDescent="0.3">
      <c r="A346">
        <v>344</v>
      </c>
      <c r="B346">
        <v>7903</v>
      </c>
      <c r="C346" t="b">
        <v>1</v>
      </c>
      <c r="D346">
        <v>8083</v>
      </c>
      <c r="E346">
        <v>8117</v>
      </c>
      <c r="F346">
        <v>220.33332999999999</v>
      </c>
      <c r="G346">
        <v>187.6</v>
      </c>
      <c r="H346">
        <v>1.1744846</v>
      </c>
      <c r="I346">
        <v>-0.17448466000000001</v>
      </c>
      <c r="J346">
        <v>0.45987907</v>
      </c>
    </row>
    <row r="347" spans="1:10" x14ac:dyDescent="0.3">
      <c r="A347">
        <v>345</v>
      </c>
      <c r="B347">
        <v>7935</v>
      </c>
      <c r="C347" t="b">
        <v>1</v>
      </c>
      <c r="D347">
        <v>8065</v>
      </c>
      <c r="E347">
        <v>8117</v>
      </c>
      <c r="F347">
        <v>220.66667000000001</v>
      </c>
      <c r="G347">
        <v>187.2</v>
      </c>
      <c r="H347">
        <v>1.1787749999999999</v>
      </c>
      <c r="I347">
        <v>-0.17877497000000001</v>
      </c>
      <c r="J347">
        <v>0.45897349999999998</v>
      </c>
    </row>
    <row r="348" spans="1:10" x14ac:dyDescent="0.3">
      <c r="A348">
        <v>346</v>
      </c>
      <c r="B348">
        <v>7966</v>
      </c>
      <c r="C348" t="b">
        <v>1</v>
      </c>
      <c r="D348">
        <v>8060</v>
      </c>
      <c r="E348">
        <v>8117</v>
      </c>
      <c r="F348">
        <v>221.4</v>
      </c>
      <c r="G348">
        <v>188</v>
      </c>
      <c r="H348">
        <v>1.1776595000000001</v>
      </c>
      <c r="I348">
        <v>-0.17765954</v>
      </c>
      <c r="J348">
        <v>0.45920860000000002</v>
      </c>
    </row>
    <row r="349" spans="1:10" x14ac:dyDescent="0.3">
      <c r="A349">
        <v>347</v>
      </c>
      <c r="B349">
        <v>7998</v>
      </c>
      <c r="C349" t="b">
        <v>1</v>
      </c>
      <c r="D349">
        <v>8065</v>
      </c>
      <c r="E349">
        <v>8099</v>
      </c>
      <c r="F349">
        <v>222.13333</v>
      </c>
      <c r="G349">
        <v>189.2</v>
      </c>
      <c r="H349">
        <v>1.1740663</v>
      </c>
      <c r="I349">
        <v>-0.17406625000000001</v>
      </c>
      <c r="J349">
        <v>0.45996759999999998</v>
      </c>
    </row>
    <row r="350" spans="1:10" x14ac:dyDescent="0.3">
      <c r="A350">
        <v>348</v>
      </c>
      <c r="B350">
        <v>8030</v>
      </c>
      <c r="C350" t="b">
        <v>1</v>
      </c>
      <c r="D350">
        <v>8054</v>
      </c>
      <c r="E350">
        <v>8117</v>
      </c>
      <c r="F350">
        <v>222.86667</v>
      </c>
      <c r="G350">
        <v>190.8</v>
      </c>
      <c r="H350">
        <v>1.1680642000000001</v>
      </c>
      <c r="I350">
        <v>-0.16806428000000001</v>
      </c>
      <c r="J350">
        <v>0.46124092</v>
      </c>
    </row>
    <row r="351" spans="1:10" x14ac:dyDescent="0.3">
      <c r="A351">
        <v>349</v>
      </c>
      <c r="B351">
        <v>8062</v>
      </c>
      <c r="C351" t="b">
        <v>1</v>
      </c>
      <c r="D351">
        <v>8037</v>
      </c>
      <c r="E351">
        <v>8093</v>
      </c>
      <c r="F351">
        <v>223.26666</v>
      </c>
      <c r="G351">
        <v>192.4</v>
      </c>
      <c r="H351">
        <v>1.1604296999999999</v>
      </c>
      <c r="I351">
        <v>-0.16042967</v>
      </c>
      <c r="J351">
        <v>0.46287089999999997</v>
      </c>
    </row>
    <row r="352" spans="1:10" x14ac:dyDescent="0.3">
      <c r="A352">
        <v>350</v>
      </c>
      <c r="B352">
        <v>8077</v>
      </c>
      <c r="C352" t="b">
        <v>1</v>
      </c>
      <c r="D352">
        <v>8054</v>
      </c>
      <c r="E352">
        <v>8105</v>
      </c>
      <c r="F352">
        <v>223.26666</v>
      </c>
      <c r="G352">
        <v>193.2</v>
      </c>
      <c r="H352">
        <v>1.1556245000000001</v>
      </c>
      <c r="I352">
        <v>-0.15562456999999999</v>
      </c>
      <c r="J352">
        <v>0.46390265000000003</v>
      </c>
    </row>
    <row r="353" spans="1:10" x14ac:dyDescent="0.3">
      <c r="A353">
        <v>351</v>
      </c>
      <c r="B353">
        <v>8093</v>
      </c>
      <c r="C353" t="b">
        <v>1</v>
      </c>
      <c r="D353">
        <v>8054</v>
      </c>
      <c r="E353">
        <v>8105</v>
      </c>
      <c r="F353">
        <v>222.86667</v>
      </c>
      <c r="G353">
        <v>193.2</v>
      </c>
      <c r="H353">
        <v>1.1535542000000001</v>
      </c>
      <c r="I353">
        <v>-0.1535542</v>
      </c>
      <c r="J353">
        <v>0.46434867000000002</v>
      </c>
    </row>
    <row r="354" spans="1:10" x14ac:dyDescent="0.3">
      <c r="A354">
        <v>352</v>
      </c>
      <c r="B354">
        <v>8125</v>
      </c>
      <c r="C354" t="b">
        <v>1</v>
      </c>
      <c r="D354">
        <v>8054</v>
      </c>
      <c r="E354">
        <v>8087</v>
      </c>
      <c r="F354">
        <v>222.46665999999999</v>
      </c>
      <c r="G354">
        <v>192.4</v>
      </c>
      <c r="H354">
        <v>1.1562717</v>
      </c>
      <c r="I354">
        <v>-0.15627165000000001</v>
      </c>
      <c r="J354">
        <v>0.46376348000000001</v>
      </c>
    </row>
    <row r="355" spans="1:10" x14ac:dyDescent="0.3">
      <c r="A355">
        <v>353</v>
      </c>
      <c r="B355">
        <v>8157</v>
      </c>
      <c r="C355" t="b">
        <v>1</v>
      </c>
      <c r="D355">
        <v>8071</v>
      </c>
      <c r="E355">
        <v>8111</v>
      </c>
      <c r="F355">
        <v>221.73334</v>
      </c>
      <c r="G355">
        <v>191.6</v>
      </c>
      <c r="H355">
        <v>1.1572720999999999</v>
      </c>
      <c r="I355">
        <v>-0.15727209</v>
      </c>
      <c r="J355">
        <v>0.46354840000000003</v>
      </c>
    </row>
    <row r="356" spans="1:10" x14ac:dyDescent="0.3">
      <c r="A356">
        <v>354</v>
      </c>
      <c r="B356">
        <v>8188</v>
      </c>
      <c r="C356" t="b">
        <v>1</v>
      </c>
      <c r="D356">
        <v>8060</v>
      </c>
      <c r="E356">
        <v>8105</v>
      </c>
      <c r="F356">
        <v>221</v>
      </c>
      <c r="G356">
        <v>191.6</v>
      </c>
      <c r="H356">
        <v>1.1534446</v>
      </c>
      <c r="I356">
        <v>-0.15344463</v>
      </c>
      <c r="J356">
        <v>0.46437228000000003</v>
      </c>
    </row>
    <row r="357" spans="1:10" x14ac:dyDescent="0.3">
      <c r="A357">
        <v>355</v>
      </c>
      <c r="B357">
        <v>8204</v>
      </c>
      <c r="C357" t="b">
        <v>1</v>
      </c>
      <c r="D357">
        <v>8054</v>
      </c>
      <c r="E357">
        <v>8099</v>
      </c>
      <c r="F357">
        <v>220.26666</v>
      </c>
      <c r="G357">
        <v>191.6</v>
      </c>
      <c r="H357">
        <v>1.1496172</v>
      </c>
      <c r="I357">
        <v>-0.14961720000000001</v>
      </c>
      <c r="J357">
        <v>0.46519909999999998</v>
      </c>
    </row>
    <row r="358" spans="1:10" x14ac:dyDescent="0.3">
      <c r="A358">
        <v>356</v>
      </c>
      <c r="B358">
        <v>8220</v>
      </c>
      <c r="C358" t="b">
        <v>1</v>
      </c>
      <c r="D358">
        <v>8042</v>
      </c>
      <c r="E358">
        <v>8105</v>
      </c>
      <c r="F358">
        <v>219.53334000000001</v>
      </c>
      <c r="G358">
        <v>191.6</v>
      </c>
      <c r="H358">
        <v>1.1457899</v>
      </c>
      <c r="I358">
        <v>-0.14578985</v>
      </c>
      <c r="J358">
        <v>0.46602884</v>
      </c>
    </row>
    <row r="359" spans="1:10" x14ac:dyDescent="0.3">
      <c r="A359">
        <v>357</v>
      </c>
      <c r="B359">
        <v>8235</v>
      </c>
      <c r="C359" t="b">
        <v>1</v>
      </c>
      <c r="D359">
        <v>8048</v>
      </c>
      <c r="E359">
        <v>8099</v>
      </c>
      <c r="F359">
        <v>218.8</v>
      </c>
      <c r="G359">
        <v>192</v>
      </c>
      <c r="H359">
        <v>1.1395833</v>
      </c>
      <c r="I359">
        <v>-0.13958334999999999</v>
      </c>
      <c r="J359">
        <v>0.46738073000000002</v>
      </c>
    </row>
    <row r="360" spans="1:10" x14ac:dyDescent="0.3">
      <c r="A360">
        <v>358</v>
      </c>
      <c r="B360">
        <v>8251</v>
      </c>
      <c r="C360" t="b">
        <v>1</v>
      </c>
      <c r="D360">
        <v>8077</v>
      </c>
      <c r="E360">
        <v>8093</v>
      </c>
      <c r="F360">
        <v>218.06666999999999</v>
      </c>
      <c r="G360">
        <v>192</v>
      </c>
      <c r="H360">
        <v>1.1357638999999999</v>
      </c>
      <c r="I360">
        <v>-0.13576388</v>
      </c>
      <c r="J360">
        <v>0.46821657</v>
      </c>
    </row>
    <row r="361" spans="1:10" x14ac:dyDescent="0.3">
      <c r="A361">
        <v>359</v>
      </c>
      <c r="B361">
        <v>8267</v>
      </c>
      <c r="C361" t="b">
        <v>1</v>
      </c>
      <c r="D361">
        <v>8054</v>
      </c>
      <c r="E361">
        <v>8117</v>
      </c>
      <c r="F361">
        <v>217.33332999999999</v>
      </c>
      <c r="G361">
        <v>192</v>
      </c>
      <c r="H361">
        <v>1.1319444000000001</v>
      </c>
      <c r="I361">
        <v>-0.13194442000000001</v>
      </c>
      <c r="J361">
        <v>0.46905538000000002</v>
      </c>
    </row>
    <row r="362" spans="1:10" x14ac:dyDescent="0.3">
      <c r="A362">
        <v>360</v>
      </c>
      <c r="B362">
        <v>8283</v>
      </c>
      <c r="C362" t="b">
        <v>1</v>
      </c>
      <c r="D362">
        <v>8030</v>
      </c>
      <c r="E362">
        <v>8117</v>
      </c>
      <c r="F362">
        <v>216.2</v>
      </c>
      <c r="G362">
        <v>192.4</v>
      </c>
      <c r="H362">
        <v>1.1237006</v>
      </c>
      <c r="I362">
        <v>-0.12370064</v>
      </c>
      <c r="J362">
        <v>0.47087620000000002</v>
      </c>
    </row>
    <row r="363" spans="1:10" x14ac:dyDescent="0.3">
      <c r="A363">
        <v>361</v>
      </c>
      <c r="B363">
        <v>8315</v>
      </c>
      <c r="C363" t="b">
        <v>1</v>
      </c>
      <c r="D363">
        <v>8060</v>
      </c>
      <c r="E363">
        <v>8105</v>
      </c>
      <c r="F363">
        <v>215.46665999999999</v>
      </c>
      <c r="G363">
        <v>191.6</v>
      </c>
      <c r="H363">
        <v>1.124565</v>
      </c>
      <c r="I363">
        <v>-0.12456499</v>
      </c>
      <c r="J363">
        <v>0.47068462</v>
      </c>
    </row>
    <row r="364" spans="1:10" x14ac:dyDescent="0.3">
      <c r="A364">
        <v>362</v>
      </c>
      <c r="B364">
        <v>8331</v>
      </c>
      <c r="C364" t="b">
        <v>1</v>
      </c>
      <c r="D364">
        <v>8071</v>
      </c>
      <c r="E364">
        <v>8111</v>
      </c>
      <c r="F364">
        <v>215.13333</v>
      </c>
      <c r="G364">
        <v>191.2</v>
      </c>
      <c r="H364">
        <v>1.1251743999999999</v>
      </c>
      <c r="I364">
        <v>-0.12517434</v>
      </c>
      <c r="J364">
        <v>0.47054963999999999</v>
      </c>
    </row>
    <row r="365" spans="1:10" x14ac:dyDescent="0.3">
      <c r="A365">
        <v>363</v>
      </c>
      <c r="B365">
        <v>8347</v>
      </c>
      <c r="C365" t="b">
        <v>1</v>
      </c>
      <c r="D365">
        <v>8060</v>
      </c>
      <c r="E365">
        <v>8105</v>
      </c>
      <c r="F365">
        <v>214.8</v>
      </c>
      <c r="G365">
        <v>190.8</v>
      </c>
      <c r="H365">
        <v>1.1257862000000001</v>
      </c>
      <c r="I365">
        <v>-0.12578616000000001</v>
      </c>
      <c r="J365">
        <v>0.4704142</v>
      </c>
    </row>
    <row r="366" spans="1:10" x14ac:dyDescent="0.3">
      <c r="A366">
        <v>364</v>
      </c>
      <c r="B366">
        <v>8363</v>
      </c>
      <c r="C366" t="b">
        <v>1</v>
      </c>
      <c r="D366">
        <v>8054</v>
      </c>
      <c r="E366">
        <v>8081</v>
      </c>
      <c r="F366">
        <v>214.8</v>
      </c>
      <c r="G366">
        <v>190</v>
      </c>
      <c r="H366">
        <v>1.1305263000000001</v>
      </c>
      <c r="I366">
        <v>-0.13052633</v>
      </c>
      <c r="J366">
        <v>0.4693676</v>
      </c>
    </row>
    <row r="367" spans="1:10" x14ac:dyDescent="0.3">
      <c r="A367">
        <v>365</v>
      </c>
      <c r="B367">
        <v>8379</v>
      </c>
      <c r="C367" t="b">
        <v>1</v>
      </c>
      <c r="D367">
        <v>8060</v>
      </c>
      <c r="E367">
        <v>8093</v>
      </c>
      <c r="F367">
        <v>215.2</v>
      </c>
      <c r="G367">
        <v>190</v>
      </c>
      <c r="H367">
        <v>1.1326315</v>
      </c>
      <c r="I367">
        <v>-0.13263157</v>
      </c>
      <c r="J367">
        <v>0.46890422999999998</v>
      </c>
    </row>
    <row r="368" spans="1:10" x14ac:dyDescent="0.3">
      <c r="A368">
        <v>366</v>
      </c>
      <c r="B368">
        <v>8410</v>
      </c>
      <c r="C368" t="b">
        <v>1</v>
      </c>
      <c r="D368">
        <v>8065</v>
      </c>
      <c r="E368">
        <v>8129</v>
      </c>
      <c r="F368">
        <v>215.6</v>
      </c>
      <c r="G368">
        <v>190</v>
      </c>
      <c r="H368">
        <v>1.1347369</v>
      </c>
      <c r="I368">
        <v>-0.13473688</v>
      </c>
      <c r="J368">
        <v>0.46844180000000002</v>
      </c>
    </row>
    <row r="369" spans="1:10" x14ac:dyDescent="0.3">
      <c r="A369">
        <v>367</v>
      </c>
      <c r="B369">
        <v>8442</v>
      </c>
      <c r="C369" t="b">
        <v>1</v>
      </c>
      <c r="D369">
        <v>8054</v>
      </c>
      <c r="E369">
        <v>8093</v>
      </c>
      <c r="F369">
        <v>216</v>
      </c>
      <c r="G369">
        <v>189.2</v>
      </c>
      <c r="H369">
        <v>1.1416489999999999</v>
      </c>
      <c r="I369">
        <v>-0.14164906999999999</v>
      </c>
      <c r="J369">
        <v>0.46692988000000002</v>
      </c>
    </row>
    <row r="370" spans="1:10" x14ac:dyDescent="0.3">
      <c r="A370">
        <v>368</v>
      </c>
      <c r="B370">
        <v>8474</v>
      </c>
      <c r="C370" t="b">
        <v>1</v>
      </c>
      <c r="D370">
        <v>8071</v>
      </c>
      <c r="E370">
        <v>8123</v>
      </c>
      <c r="F370">
        <v>216.4</v>
      </c>
      <c r="G370">
        <v>188.4</v>
      </c>
      <c r="H370">
        <v>1.14862</v>
      </c>
      <c r="I370">
        <v>-0.14861996</v>
      </c>
      <c r="J370">
        <v>0.46541503000000001</v>
      </c>
    </row>
    <row r="371" spans="1:10" x14ac:dyDescent="0.3">
      <c r="A371">
        <v>369</v>
      </c>
      <c r="B371">
        <v>8505</v>
      </c>
      <c r="C371" t="b">
        <v>1</v>
      </c>
      <c r="D371">
        <v>8088</v>
      </c>
      <c r="E371">
        <v>8093</v>
      </c>
      <c r="F371">
        <v>217.13333</v>
      </c>
      <c r="G371">
        <v>187.6</v>
      </c>
      <c r="H371">
        <v>1.1574271</v>
      </c>
      <c r="I371">
        <v>-0.15742709999999999</v>
      </c>
      <c r="J371">
        <v>0.46351506999999997</v>
      </c>
    </row>
    <row r="372" spans="1:10" x14ac:dyDescent="0.3">
      <c r="A372">
        <v>370</v>
      </c>
      <c r="B372">
        <v>8537</v>
      </c>
      <c r="C372" t="b">
        <v>1</v>
      </c>
      <c r="D372">
        <v>8077</v>
      </c>
      <c r="E372">
        <v>8093</v>
      </c>
      <c r="F372">
        <v>218.26666</v>
      </c>
      <c r="G372">
        <v>186.8</v>
      </c>
      <c r="H372">
        <v>1.1684511</v>
      </c>
      <c r="I372">
        <v>-0.16845107000000001</v>
      </c>
      <c r="J372">
        <v>0.46115869999999998</v>
      </c>
    </row>
    <row r="373" spans="1:10" x14ac:dyDescent="0.3">
      <c r="A373">
        <v>371</v>
      </c>
      <c r="B373">
        <v>8553</v>
      </c>
      <c r="C373" t="b">
        <v>1</v>
      </c>
      <c r="D373">
        <v>8060</v>
      </c>
      <c r="E373">
        <v>8093</v>
      </c>
      <c r="F373">
        <v>219.4</v>
      </c>
      <c r="G373">
        <v>186</v>
      </c>
      <c r="H373">
        <v>1.1795697999999999</v>
      </c>
      <c r="I373">
        <v>-0.17956986</v>
      </c>
      <c r="J373">
        <v>0.45880612999999998</v>
      </c>
    </row>
    <row r="374" spans="1:10" x14ac:dyDescent="0.3">
      <c r="A374">
        <v>372</v>
      </c>
      <c r="B374">
        <v>8569</v>
      </c>
      <c r="C374" t="b">
        <v>1</v>
      </c>
      <c r="D374">
        <v>8065</v>
      </c>
      <c r="E374">
        <v>8087</v>
      </c>
      <c r="F374">
        <v>220.53334000000001</v>
      </c>
      <c r="G374">
        <v>185.2</v>
      </c>
      <c r="H374">
        <v>1.1907848000000001</v>
      </c>
      <c r="I374">
        <v>-0.1907848</v>
      </c>
      <c r="J374">
        <v>0.45645743999999999</v>
      </c>
    </row>
    <row r="375" spans="1:10" x14ac:dyDescent="0.3">
      <c r="A375">
        <v>373</v>
      </c>
      <c r="B375">
        <v>8600</v>
      </c>
      <c r="C375" t="b">
        <v>1</v>
      </c>
      <c r="D375">
        <v>8054</v>
      </c>
      <c r="E375">
        <v>8099</v>
      </c>
      <c r="F375">
        <v>221.26666</v>
      </c>
      <c r="G375">
        <v>184.8</v>
      </c>
      <c r="H375">
        <v>1.1973304</v>
      </c>
      <c r="I375">
        <v>-0.19733039999999999</v>
      </c>
      <c r="J375">
        <v>0.45509769999999999</v>
      </c>
    </row>
    <row r="376" spans="1:10" x14ac:dyDescent="0.3">
      <c r="A376">
        <v>374</v>
      </c>
      <c r="B376">
        <v>8616</v>
      </c>
      <c r="C376" t="b">
        <v>1</v>
      </c>
      <c r="D376">
        <v>8048</v>
      </c>
      <c r="E376">
        <v>8099</v>
      </c>
      <c r="F376">
        <v>221.66667000000001</v>
      </c>
      <c r="G376">
        <v>184.4</v>
      </c>
      <c r="H376">
        <v>1.2020968999999999</v>
      </c>
      <c r="I376">
        <v>-0.20209695</v>
      </c>
      <c r="J376">
        <v>0.45411262000000002</v>
      </c>
    </row>
    <row r="377" spans="1:10" x14ac:dyDescent="0.3">
      <c r="A377">
        <v>375</v>
      </c>
      <c r="B377">
        <v>8648</v>
      </c>
      <c r="C377" t="b">
        <v>1</v>
      </c>
      <c r="D377">
        <v>8094</v>
      </c>
      <c r="E377">
        <v>8117</v>
      </c>
      <c r="F377">
        <v>222.46665999999999</v>
      </c>
      <c r="G377">
        <v>184</v>
      </c>
      <c r="H377">
        <v>1.2090578999999999</v>
      </c>
      <c r="I377">
        <v>-0.20905793</v>
      </c>
      <c r="J377">
        <v>0.45268163</v>
      </c>
    </row>
    <row r="378" spans="1:10" x14ac:dyDescent="0.3">
      <c r="A378">
        <v>376</v>
      </c>
      <c r="B378">
        <v>8680</v>
      </c>
      <c r="C378" t="b">
        <v>1</v>
      </c>
      <c r="D378">
        <v>8060</v>
      </c>
      <c r="E378">
        <v>8117</v>
      </c>
      <c r="F378">
        <v>222.86667</v>
      </c>
      <c r="G378">
        <v>183.6</v>
      </c>
      <c r="H378">
        <v>1.2138708</v>
      </c>
      <c r="I378">
        <v>-0.2138707</v>
      </c>
      <c r="J378">
        <v>0.45169756</v>
      </c>
    </row>
    <row r="379" spans="1:10" x14ac:dyDescent="0.3">
      <c r="A379">
        <v>377</v>
      </c>
      <c r="B379">
        <v>8712</v>
      </c>
      <c r="C379" t="b">
        <v>1</v>
      </c>
      <c r="D379">
        <v>8065</v>
      </c>
      <c r="E379">
        <v>8105</v>
      </c>
      <c r="F379">
        <v>222.86667</v>
      </c>
      <c r="G379">
        <v>183.2</v>
      </c>
      <c r="H379">
        <v>1.2165211</v>
      </c>
      <c r="I379">
        <v>-0.21652114</v>
      </c>
      <c r="J379">
        <v>0.45115745000000002</v>
      </c>
    </row>
    <row r="380" spans="1:10" x14ac:dyDescent="0.3">
      <c r="A380">
        <v>378</v>
      </c>
      <c r="B380">
        <v>8727</v>
      </c>
      <c r="C380" t="b">
        <v>1</v>
      </c>
      <c r="D380">
        <v>8065</v>
      </c>
      <c r="E380">
        <v>8093</v>
      </c>
      <c r="F380">
        <v>223.2</v>
      </c>
      <c r="G380">
        <v>182.8</v>
      </c>
      <c r="H380">
        <v>1.2210065000000001</v>
      </c>
      <c r="I380">
        <v>-0.22100653000000001</v>
      </c>
      <c r="J380">
        <v>0.45024629999999999</v>
      </c>
    </row>
    <row r="381" spans="1:10" x14ac:dyDescent="0.3">
      <c r="A381">
        <v>379</v>
      </c>
      <c r="B381">
        <v>8743</v>
      </c>
      <c r="C381" t="b">
        <v>1</v>
      </c>
      <c r="D381">
        <v>8048</v>
      </c>
      <c r="E381">
        <v>8105</v>
      </c>
      <c r="F381">
        <v>223.53334000000001</v>
      </c>
      <c r="G381">
        <v>182.8</v>
      </c>
      <c r="H381">
        <v>1.2228300000000001</v>
      </c>
      <c r="I381">
        <v>-0.22283006999999999</v>
      </c>
      <c r="J381">
        <v>0.44987693000000001</v>
      </c>
    </row>
    <row r="382" spans="1:10" x14ac:dyDescent="0.3">
      <c r="A382">
        <v>380</v>
      </c>
      <c r="B382">
        <v>8759</v>
      </c>
      <c r="C382" t="b">
        <v>1</v>
      </c>
      <c r="D382">
        <v>8048</v>
      </c>
      <c r="E382">
        <v>8123</v>
      </c>
      <c r="F382">
        <v>223.53334000000001</v>
      </c>
      <c r="G382">
        <v>182.8</v>
      </c>
      <c r="H382">
        <v>1.2228300000000001</v>
      </c>
      <c r="I382">
        <v>-0.22283006999999999</v>
      </c>
      <c r="J382">
        <v>0.44987693000000001</v>
      </c>
    </row>
    <row r="383" spans="1:10" x14ac:dyDescent="0.3">
      <c r="A383">
        <v>381</v>
      </c>
      <c r="B383">
        <v>8791</v>
      </c>
      <c r="C383" t="b">
        <v>1</v>
      </c>
      <c r="D383">
        <v>8065</v>
      </c>
      <c r="E383">
        <v>8075</v>
      </c>
      <c r="F383">
        <v>223.86667</v>
      </c>
      <c r="G383">
        <v>182.8</v>
      </c>
      <c r="H383">
        <v>1.2246535000000001</v>
      </c>
      <c r="I383">
        <v>-0.22465352999999999</v>
      </c>
      <c r="J383">
        <v>0.44950820000000002</v>
      </c>
    </row>
    <row r="384" spans="1:10" x14ac:dyDescent="0.3">
      <c r="A384">
        <v>382</v>
      </c>
      <c r="B384">
        <v>8823</v>
      </c>
      <c r="C384" t="b">
        <v>1</v>
      </c>
      <c r="D384">
        <v>8065</v>
      </c>
      <c r="E384">
        <v>8105</v>
      </c>
      <c r="F384">
        <v>224.2</v>
      </c>
      <c r="G384">
        <v>183.6</v>
      </c>
      <c r="H384">
        <v>1.2211329</v>
      </c>
      <c r="I384">
        <v>-0.22113284</v>
      </c>
      <c r="J384">
        <v>0.45022073000000001</v>
      </c>
    </row>
    <row r="385" spans="1:10" x14ac:dyDescent="0.3">
      <c r="A385">
        <v>383</v>
      </c>
      <c r="B385">
        <v>8839</v>
      </c>
      <c r="C385" t="b">
        <v>1</v>
      </c>
      <c r="D385">
        <v>8054</v>
      </c>
      <c r="E385">
        <v>8105</v>
      </c>
      <c r="F385">
        <v>223.8</v>
      </c>
      <c r="G385">
        <v>184.4</v>
      </c>
      <c r="H385">
        <v>1.2136659999999999</v>
      </c>
      <c r="I385">
        <v>-0.21366599999999999</v>
      </c>
      <c r="J385">
        <v>0.45173930000000001</v>
      </c>
    </row>
    <row r="386" spans="1:10" x14ac:dyDescent="0.3">
      <c r="A386">
        <v>384</v>
      </c>
      <c r="B386">
        <v>8854</v>
      </c>
      <c r="C386" t="b">
        <v>1</v>
      </c>
      <c r="D386">
        <v>8030</v>
      </c>
      <c r="E386">
        <v>8111</v>
      </c>
      <c r="F386">
        <v>223.06666999999999</v>
      </c>
      <c r="G386">
        <v>185.2</v>
      </c>
      <c r="H386">
        <v>1.2044636</v>
      </c>
      <c r="I386">
        <v>-0.20446365999999999</v>
      </c>
      <c r="J386">
        <v>0.45362508000000001</v>
      </c>
    </row>
    <row r="387" spans="1:10" x14ac:dyDescent="0.3">
      <c r="A387">
        <v>385</v>
      </c>
      <c r="B387">
        <v>8870</v>
      </c>
      <c r="C387" t="b">
        <v>1</v>
      </c>
      <c r="D387">
        <v>8054</v>
      </c>
      <c r="E387">
        <v>8129</v>
      </c>
      <c r="F387">
        <v>221.93333000000001</v>
      </c>
      <c r="G387">
        <v>186</v>
      </c>
      <c r="H387">
        <v>1.19319</v>
      </c>
      <c r="I387">
        <v>-0.19318995999999999</v>
      </c>
      <c r="J387">
        <v>0.45595685000000002</v>
      </c>
    </row>
    <row r="388" spans="1:10" x14ac:dyDescent="0.3">
      <c r="A388">
        <v>386</v>
      </c>
      <c r="B388">
        <v>8886</v>
      </c>
      <c r="C388" t="b">
        <v>1</v>
      </c>
      <c r="D388">
        <v>8060</v>
      </c>
      <c r="E388">
        <v>8117</v>
      </c>
      <c r="F388">
        <v>220.8</v>
      </c>
      <c r="G388">
        <v>187.2</v>
      </c>
      <c r="H388">
        <v>1.1794872000000001</v>
      </c>
      <c r="I388">
        <v>-0.17948721000000001</v>
      </c>
      <c r="J388">
        <v>0.45882352999999998</v>
      </c>
    </row>
    <row r="389" spans="1:10" x14ac:dyDescent="0.3">
      <c r="A389">
        <v>387</v>
      </c>
      <c r="B389">
        <v>8918</v>
      </c>
      <c r="C389" t="b">
        <v>1</v>
      </c>
      <c r="D389">
        <v>8048</v>
      </c>
      <c r="E389">
        <v>8117</v>
      </c>
      <c r="F389">
        <v>219.66667000000001</v>
      </c>
      <c r="G389">
        <v>188.8</v>
      </c>
      <c r="H389">
        <v>1.1634887</v>
      </c>
      <c r="I389">
        <v>-0.16348872</v>
      </c>
      <c r="J389">
        <v>0.46221640000000003</v>
      </c>
    </row>
    <row r="390" spans="1:10" x14ac:dyDescent="0.3">
      <c r="A390">
        <v>388</v>
      </c>
      <c r="B390">
        <v>8934</v>
      </c>
      <c r="C390" t="b">
        <v>1</v>
      </c>
      <c r="D390">
        <v>8065</v>
      </c>
      <c r="E390">
        <v>8134</v>
      </c>
      <c r="F390">
        <v>218.93333000000001</v>
      </c>
      <c r="G390">
        <v>190.4</v>
      </c>
      <c r="H390">
        <v>1.1498600000000001</v>
      </c>
      <c r="I390">
        <v>-0.14985998</v>
      </c>
      <c r="J390">
        <v>0.46514660000000002</v>
      </c>
    </row>
    <row r="391" spans="1:10" x14ac:dyDescent="0.3">
      <c r="A391">
        <v>389</v>
      </c>
      <c r="B391">
        <v>8950</v>
      </c>
      <c r="C391" t="b">
        <v>1</v>
      </c>
      <c r="D391">
        <v>8054</v>
      </c>
      <c r="E391">
        <v>8111</v>
      </c>
      <c r="F391">
        <v>218.53334000000001</v>
      </c>
      <c r="G391">
        <v>192</v>
      </c>
      <c r="H391">
        <v>1.1381943999999999</v>
      </c>
      <c r="I391">
        <v>-0.13819449</v>
      </c>
      <c r="J391">
        <v>0.46768432999999998</v>
      </c>
    </row>
    <row r="392" spans="1:10" x14ac:dyDescent="0.3">
      <c r="A392">
        <v>390</v>
      </c>
      <c r="B392">
        <v>8966</v>
      </c>
      <c r="C392" t="b">
        <v>1</v>
      </c>
      <c r="D392">
        <v>8065</v>
      </c>
      <c r="E392">
        <v>8099</v>
      </c>
      <c r="F392">
        <v>218.53334000000001</v>
      </c>
      <c r="G392">
        <v>193.2</v>
      </c>
      <c r="H392">
        <v>1.1311249999999999</v>
      </c>
      <c r="I392">
        <v>-0.13112497000000001</v>
      </c>
      <c r="J392">
        <v>0.46923575000000001</v>
      </c>
    </row>
    <row r="393" spans="1:10" x14ac:dyDescent="0.3">
      <c r="A393">
        <v>391</v>
      </c>
      <c r="B393">
        <v>8982</v>
      </c>
      <c r="C393" t="b">
        <v>1</v>
      </c>
      <c r="D393">
        <v>8037</v>
      </c>
      <c r="E393">
        <v>8105</v>
      </c>
      <c r="F393">
        <v>218.13333</v>
      </c>
      <c r="G393">
        <v>194</v>
      </c>
      <c r="H393">
        <v>1.1243985999999999</v>
      </c>
      <c r="I393">
        <v>-0.12439861000000001</v>
      </c>
      <c r="J393">
        <v>0.47072144999999999</v>
      </c>
    </row>
    <row r="394" spans="1:10" x14ac:dyDescent="0.3">
      <c r="A394">
        <v>392</v>
      </c>
      <c r="B394">
        <v>8998</v>
      </c>
      <c r="C394" t="b">
        <v>1</v>
      </c>
      <c r="D394">
        <v>8060</v>
      </c>
      <c r="E394">
        <v>8117</v>
      </c>
      <c r="F394">
        <v>218.13333</v>
      </c>
      <c r="G394">
        <v>194.4</v>
      </c>
      <c r="H394">
        <v>1.1220851000000001</v>
      </c>
      <c r="I394">
        <v>-0.12208507</v>
      </c>
      <c r="J394">
        <v>0.47123464999999998</v>
      </c>
    </row>
    <row r="395" spans="1:10" x14ac:dyDescent="0.3">
      <c r="A395">
        <v>393</v>
      </c>
      <c r="B395">
        <v>9014</v>
      </c>
      <c r="C395" t="b">
        <v>1</v>
      </c>
      <c r="D395">
        <v>8037</v>
      </c>
      <c r="E395">
        <v>8117</v>
      </c>
      <c r="F395">
        <v>217.4</v>
      </c>
      <c r="G395">
        <v>194.8</v>
      </c>
      <c r="H395">
        <v>1.1160163999999999</v>
      </c>
      <c r="I395">
        <v>-0.11601638</v>
      </c>
      <c r="J395">
        <v>0.47258612999999999</v>
      </c>
    </row>
    <row r="396" spans="1:10" x14ac:dyDescent="0.3">
      <c r="A396">
        <v>394</v>
      </c>
      <c r="B396">
        <v>9029</v>
      </c>
      <c r="C396" t="b">
        <v>1</v>
      </c>
      <c r="D396">
        <v>8048</v>
      </c>
      <c r="E396">
        <v>8117</v>
      </c>
      <c r="F396">
        <v>216.26666</v>
      </c>
      <c r="G396">
        <v>195.6</v>
      </c>
      <c r="H396">
        <v>1.1056577000000001</v>
      </c>
      <c r="I396">
        <v>-0.10565774999999999</v>
      </c>
      <c r="J396">
        <v>0.47491096999999999</v>
      </c>
    </row>
    <row r="397" spans="1:10" x14ac:dyDescent="0.3">
      <c r="A397">
        <v>395</v>
      </c>
      <c r="B397">
        <v>9045</v>
      </c>
      <c r="C397" t="b">
        <v>1</v>
      </c>
      <c r="D397">
        <v>8042</v>
      </c>
      <c r="E397">
        <v>8117</v>
      </c>
      <c r="F397">
        <v>215.06666999999999</v>
      </c>
      <c r="G397">
        <v>196.4</v>
      </c>
      <c r="H397">
        <v>1.0950441</v>
      </c>
      <c r="I397">
        <v>-9.5044160000000003E-2</v>
      </c>
      <c r="J397">
        <v>0.47731689999999999</v>
      </c>
    </row>
    <row r="398" spans="1:10" x14ac:dyDescent="0.3">
      <c r="A398">
        <v>396</v>
      </c>
      <c r="B398">
        <v>9061</v>
      </c>
      <c r="C398" t="b">
        <v>1</v>
      </c>
      <c r="D398">
        <v>8054</v>
      </c>
      <c r="E398">
        <v>8111</v>
      </c>
      <c r="F398">
        <v>213.93333000000001</v>
      </c>
      <c r="G398">
        <v>197.2</v>
      </c>
      <c r="H398">
        <v>1.0848545999999999</v>
      </c>
      <c r="I398">
        <v>-8.4854655000000001E-2</v>
      </c>
      <c r="J398">
        <v>0.47964974999999999</v>
      </c>
    </row>
    <row r="399" spans="1:10" x14ac:dyDescent="0.3">
      <c r="A399">
        <v>397</v>
      </c>
      <c r="B399">
        <v>9077</v>
      </c>
      <c r="C399" t="b">
        <v>1</v>
      </c>
      <c r="D399">
        <v>8083</v>
      </c>
      <c r="E399">
        <v>8117</v>
      </c>
      <c r="F399">
        <v>212.8</v>
      </c>
      <c r="G399">
        <v>198</v>
      </c>
      <c r="H399">
        <v>1.0747473999999999</v>
      </c>
      <c r="I399">
        <v>-7.474749E-2</v>
      </c>
      <c r="J399">
        <v>0.48198637</v>
      </c>
    </row>
    <row r="400" spans="1:10" x14ac:dyDescent="0.3">
      <c r="A400">
        <v>398</v>
      </c>
      <c r="B400">
        <v>9109</v>
      </c>
      <c r="C400" t="b">
        <v>1</v>
      </c>
      <c r="D400">
        <v>8042</v>
      </c>
      <c r="E400">
        <v>8117</v>
      </c>
      <c r="F400">
        <v>212.4</v>
      </c>
      <c r="G400">
        <v>198.8</v>
      </c>
      <c r="H400">
        <v>1.0684104000000001</v>
      </c>
      <c r="I400">
        <v>-6.841042E-2</v>
      </c>
      <c r="J400">
        <v>0.48346302000000002</v>
      </c>
    </row>
    <row r="401" spans="1:10" x14ac:dyDescent="0.3">
      <c r="A401">
        <v>399</v>
      </c>
      <c r="B401">
        <v>9141</v>
      </c>
      <c r="C401" t="b">
        <v>1</v>
      </c>
      <c r="D401">
        <v>8048</v>
      </c>
      <c r="E401">
        <v>8105</v>
      </c>
      <c r="F401">
        <v>212</v>
      </c>
      <c r="G401">
        <v>199.6</v>
      </c>
      <c r="H401">
        <v>1.0621243</v>
      </c>
      <c r="I401">
        <v>-6.2124215000000003E-2</v>
      </c>
      <c r="J401">
        <v>0.48493682999999999</v>
      </c>
    </row>
    <row r="402" spans="1:10" x14ac:dyDescent="0.3">
      <c r="A402">
        <v>400</v>
      </c>
      <c r="B402">
        <v>9172</v>
      </c>
      <c r="C402" t="b">
        <v>1</v>
      </c>
      <c r="D402">
        <v>8077</v>
      </c>
      <c r="E402">
        <v>8111</v>
      </c>
      <c r="F402">
        <v>212</v>
      </c>
      <c r="G402">
        <v>200</v>
      </c>
      <c r="H402">
        <v>1.06</v>
      </c>
      <c r="I402">
        <v>-0.06</v>
      </c>
      <c r="J402">
        <v>0.4854369</v>
      </c>
    </row>
    <row r="403" spans="1:10" x14ac:dyDescent="0.3">
      <c r="A403">
        <v>401</v>
      </c>
      <c r="B403">
        <v>9188</v>
      </c>
      <c r="C403" t="b">
        <v>1</v>
      </c>
      <c r="D403">
        <v>8060</v>
      </c>
      <c r="E403">
        <v>8129</v>
      </c>
      <c r="F403">
        <v>212.4</v>
      </c>
      <c r="G403">
        <v>200.4</v>
      </c>
      <c r="H403">
        <v>1.0598803000000001</v>
      </c>
      <c r="I403">
        <v>-5.9880240000000001E-2</v>
      </c>
      <c r="J403">
        <v>0.48546509999999998</v>
      </c>
    </row>
    <row r="404" spans="1:10" x14ac:dyDescent="0.3">
      <c r="A404">
        <v>402</v>
      </c>
      <c r="B404">
        <v>9220</v>
      </c>
      <c r="C404" t="b">
        <v>1</v>
      </c>
      <c r="D404">
        <v>8065</v>
      </c>
      <c r="E404">
        <v>8087</v>
      </c>
      <c r="F404">
        <v>212.8</v>
      </c>
      <c r="G404">
        <v>200</v>
      </c>
      <c r="H404">
        <v>1.0640000000000001</v>
      </c>
      <c r="I404">
        <v>-6.4000020000000005E-2</v>
      </c>
      <c r="J404">
        <v>0.48449615000000001</v>
      </c>
    </row>
    <row r="405" spans="1:10" x14ac:dyDescent="0.3">
      <c r="A405">
        <v>403</v>
      </c>
      <c r="B405">
        <v>9236</v>
      </c>
      <c r="C405" t="b">
        <v>1</v>
      </c>
      <c r="D405">
        <v>8071</v>
      </c>
      <c r="E405">
        <v>8111</v>
      </c>
      <c r="F405">
        <v>213.53334000000001</v>
      </c>
      <c r="G405">
        <v>199.6</v>
      </c>
      <c r="H405">
        <v>1.0698063</v>
      </c>
      <c r="I405">
        <v>-6.9806284999999996E-2</v>
      </c>
      <c r="J405">
        <v>0.48313697999999999</v>
      </c>
    </row>
    <row r="406" spans="1:10" x14ac:dyDescent="0.3">
      <c r="A406">
        <v>404</v>
      </c>
      <c r="B406">
        <v>9251</v>
      </c>
      <c r="C406" t="b">
        <v>1</v>
      </c>
      <c r="D406">
        <v>8065</v>
      </c>
      <c r="E406">
        <v>8093</v>
      </c>
      <c r="F406">
        <v>214.26666</v>
      </c>
      <c r="G406">
        <v>199.2</v>
      </c>
      <c r="H406">
        <v>1.0756359</v>
      </c>
      <c r="I406">
        <v>-7.5635869999999994E-2</v>
      </c>
      <c r="J406">
        <v>0.48178005000000002</v>
      </c>
    </row>
    <row r="407" spans="1:10" x14ac:dyDescent="0.3">
      <c r="A407">
        <v>405</v>
      </c>
      <c r="B407">
        <v>9267</v>
      </c>
      <c r="C407" t="b">
        <v>1</v>
      </c>
      <c r="D407">
        <v>8065</v>
      </c>
      <c r="E407">
        <v>8111</v>
      </c>
      <c r="F407">
        <v>214.6</v>
      </c>
      <c r="G407">
        <v>198.8</v>
      </c>
      <c r="H407">
        <v>1.0794767999999999</v>
      </c>
      <c r="I407">
        <v>-7.947688E-2</v>
      </c>
      <c r="J407">
        <v>0.48089015000000002</v>
      </c>
    </row>
    <row r="408" spans="1:10" x14ac:dyDescent="0.3">
      <c r="A408">
        <v>406</v>
      </c>
      <c r="B408">
        <v>9283</v>
      </c>
      <c r="C408" t="b">
        <v>1</v>
      </c>
      <c r="D408">
        <v>8077</v>
      </c>
      <c r="E408">
        <v>8093</v>
      </c>
      <c r="F408">
        <v>215.33332999999999</v>
      </c>
      <c r="G408">
        <v>197.6</v>
      </c>
      <c r="H408">
        <v>1.0897435</v>
      </c>
      <c r="I408">
        <v>-8.9743530000000002E-2</v>
      </c>
      <c r="J408">
        <v>0.4785276</v>
      </c>
    </row>
    <row r="409" spans="1:10" x14ac:dyDescent="0.3">
      <c r="A409">
        <v>407</v>
      </c>
      <c r="B409">
        <v>9299</v>
      </c>
      <c r="C409" t="b">
        <v>1</v>
      </c>
      <c r="D409">
        <v>8065</v>
      </c>
      <c r="E409">
        <v>8099</v>
      </c>
      <c r="F409">
        <v>215.66667000000001</v>
      </c>
      <c r="G409">
        <v>196.8</v>
      </c>
      <c r="H409">
        <v>1.0958673000000001</v>
      </c>
      <c r="I409">
        <v>-9.5867220000000003E-2</v>
      </c>
      <c r="J409">
        <v>0.47712946000000001</v>
      </c>
    </row>
    <row r="410" spans="1:10" x14ac:dyDescent="0.3">
      <c r="A410">
        <v>408</v>
      </c>
      <c r="B410">
        <v>9315</v>
      </c>
      <c r="C410" t="b">
        <v>1</v>
      </c>
      <c r="D410">
        <v>8083</v>
      </c>
      <c r="E410">
        <v>8093</v>
      </c>
      <c r="F410">
        <v>216.4</v>
      </c>
      <c r="G410">
        <v>195.6</v>
      </c>
      <c r="H410">
        <v>1.1063395</v>
      </c>
      <c r="I410">
        <v>-0.1063394</v>
      </c>
      <c r="J410">
        <v>0.47475728</v>
      </c>
    </row>
    <row r="411" spans="1:10" x14ac:dyDescent="0.3">
      <c r="A411">
        <v>409</v>
      </c>
      <c r="B411">
        <v>9331</v>
      </c>
      <c r="C411" t="b">
        <v>1</v>
      </c>
      <c r="D411">
        <v>8071</v>
      </c>
      <c r="E411">
        <v>8099</v>
      </c>
      <c r="F411">
        <v>217.93333000000001</v>
      </c>
      <c r="G411">
        <v>194.4</v>
      </c>
      <c r="H411">
        <v>1.1210563</v>
      </c>
      <c r="I411">
        <v>-0.12105628</v>
      </c>
      <c r="J411">
        <v>0.47146323000000001</v>
      </c>
    </row>
    <row r="412" spans="1:10" x14ac:dyDescent="0.3">
      <c r="A412">
        <v>410</v>
      </c>
      <c r="B412">
        <v>9347</v>
      </c>
      <c r="C412" t="b">
        <v>1</v>
      </c>
      <c r="D412">
        <v>8071</v>
      </c>
      <c r="E412">
        <v>8099</v>
      </c>
      <c r="F412">
        <v>219.86667</v>
      </c>
      <c r="G412">
        <v>193.2</v>
      </c>
      <c r="H412">
        <v>1.1380262000000001</v>
      </c>
      <c r="I412">
        <v>-0.13802624999999999</v>
      </c>
      <c r="J412">
        <v>0.46772112999999998</v>
      </c>
    </row>
    <row r="413" spans="1:10" x14ac:dyDescent="0.3">
      <c r="A413">
        <v>411</v>
      </c>
      <c r="B413">
        <v>9363</v>
      </c>
      <c r="C413" t="b">
        <v>1</v>
      </c>
      <c r="D413">
        <v>8065</v>
      </c>
      <c r="E413">
        <v>8105</v>
      </c>
      <c r="F413">
        <v>221.4</v>
      </c>
      <c r="G413">
        <v>192</v>
      </c>
      <c r="H413">
        <v>1.1531248999999999</v>
      </c>
      <c r="I413">
        <v>-0.15312497</v>
      </c>
      <c r="J413">
        <v>0.46444123999999998</v>
      </c>
    </row>
    <row r="414" spans="1:10" x14ac:dyDescent="0.3">
      <c r="A414">
        <v>412</v>
      </c>
      <c r="B414">
        <v>9378</v>
      </c>
      <c r="C414" t="b">
        <v>1</v>
      </c>
      <c r="D414">
        <v>8065</v>
      </c>
      <c r="E414">
        <v>8117</v>
      </c>
      <c r="F414">
        <v>222.93333000000001</v>
      </c>
      <c r="G414">
        <v>190.8</v>
      </c>
      <c r="H414">
        <v>1.1684136000000001</v>
      </c>
      <c r="I414">
        <v>-0.16841368000000001</v>
      </c>
      <c r="J414">
        <v>0.46116662000000003</v>
      </c>
    </row>
    <row r="415" spans="1:10" x14ac:dyDescent="0.3">
      <c r="A415">
        <v>413</v>
      </c>
      <c r="B415">
        <v>9394</v>
      </c>
      <c r="C415" t="b">
        <v>1</v>
      </c>
      <c r="D415">
        <v>8065</v>
      </c>
      <c r="E415">
        <v>8081</v>
      </c>
      <c r="F415">
        <v>224.06666999999999</v>
      </c>
      <c r="G415">
        <v>189.6</v>
      </c>
      <c r="H415">
        <v>1.1817861999999999</v>
      </c>
      <c r="I415">
        <v>-0.18178617999999999</v>
      </c>
      <c r="J415">
        <v>0.45834005</v>
      </c>
    </row>
    <row r="416" spans="1:10" x14ac:dyDescent="0.3">
      <c r="A416">
        <v>414</v>
      </c>
      <c r="B416">
        <v>9410</v>
      </c>
      <c r="C416" t="b">
        <v>1</v>
      </c>
      <c r="D416">
        <v>8054</v>
      </c>
      <c r="E416">
        <v>8099</v>
      </c>
      <c r="F416">
        <v>225.2</v>
      </c>
      <c r="G416">
        <v>188.4</v>
      </c>
      <c r="H416">
        <v>1.1953290999999999</v>
      </c>
      <c r="I416">
        <v>-0.19532911</v>
      </c>
      <c r="J416">
        <v>0.45551258</v>
      </c>
    </row>
    <row r="417" spans="1:10" x14ac:dyDescent="0.3">
      <c r="A417">
        <v>415</v>
      </c>
      <c r="B417">
        <v>9426</v>
      </c>
      <c r="C417" t="b">
        <v>1</v>
      </c>
      <c r="D417">
        <v>8065</v>
      </c>
      <c r="E417">
        <v>8123</v>
      </c>
      <c r="F417">
        <v>225.93333000000001</v>
      </c>
      <c r="G417">
        <v>188</v>
      </c>
      <c r="H417">
        <v>1.201773</v>
      </c>
      <c r="I417">
        <v>-0.20177306</v>
      </c>
      <c r="J417">
        <v>0.45417940000000001</v>
      </c>
    </row>
    <row r="418" spans="1:10" x14ac:dyDescent="0.3">
      <c r="A418">
        <v>416</v>
      </c>
      <c r="B418">
        <v>9442</v>
      </c>
      <c r="C418" t="b">
        <v>1</v>
      </c>
      <c r="D418">
        <v>8071</v>
      </c>
      <c r="E418">
        <v>8117</v>
      </c>
      <c r="F418">
        <v>226.26666</v>
      </c>
      <c r="G418">
        <v>188</v>
      </c>
      <c r="H418">
        <v>1.203546</v>
      </c>
      <c r="I418">
        <v>-0.20354607999999999</v>
      </c>
      <c r="J418">
        <v>0.45381397000000001</v>
      </c>
    </row>
    <row r="419" spans="1:10" x14ac:dyDescent="0.3">
      <c r="A419">
        <v>417</v>
      </c>
      <c r="B419">
        <v>9458</v>
      </c>
      <c r="C419" t="b">
        <v>1</v>
      </c>
      <c r="D419">
        <v>8083</v>
      </c>
      <c r="E419">
        <v>8129</v>
      </c>
      <c r="F419">
        <v>226.6</v>
      </c>
      <c r="G419">
        <v>188.4</v>
      </c>
      <c r="H419">
        <v>1.2027601000000001</v>
      </c>
      <c r="I419">
        <v>-0.20276015999999999</v>
      </c>
      <c r="J419">
        <v>0.45397589999999999</v>
      </c>
    </row>
    <row r="420" spans="1:10" x14ac:dyDescent="0.3">
      <c r="A420">
        <v>418</v>
      </c>
      <c r="B420">
        <v>9474</v>
      </c>
      <c r="C420" t="b">
        <v>1</v>
      </c>
      <c r="D420">
        <v>8071</v>
      </c>
      <c r="E420">
        <v>8105</v>
      </c>
      <c r="F420">
        <v>227</v>
      </c>
      <c r="G420">
        <v>188.8</v>
      </c>
      <c r="H420">
        <v>1.2023305</v>
      </c>
      <c r="I420">
        <v>-0.20233048000000001</v>
      </c>
      <c r="J420">
        <v>0.45406449999999998</v>
      </c>
    </row>
    <row r="421" spans="1:10" x14ac:dyDescent="0.3">
      <c r="A421">
        <v>419</v>
      </c>
      <c r="B421">
        <v>9506</v>
      </c>
      <c r="C421" t="b">
        <v>1</v>
      </c>
      <c r="D421">
        <v>8065</v>
      </c>
      <c r="E421">
        <v>8063</v>
      </c>
      <c r="F421">
        <v>227.4</v>
      </c>
      <c r="G421">
        <v>189.2</v>
      </c>
      <c r="H421">
        <v>1.2019027</v>
      </c>
      <c r="I421">
        <v>-0.20190273</v>
      </c>
      <c r="J421">
        <v>0.45415266999999998</v>
      </c>
    </row>
    <row r="422" spans="1:10" x14ac:dyDescent="0.3">
      <c r="A422">
        <v>420</v>
      </c>
      <c r="B422">
        <v>9537</v>
      </c>
      <c r="C422" t="b">
        <v>1</v>
      </c>
      <c r="D422">
        <v>8071</v>
      </c>
      <c r="E422">
        <v>8117</v>
      </c>
      <c r="F422">
        <v>227.8</v>
      </c>
      <c r="G422">
        <v>189.6</v>
      </c>
      <c r="H422">
        <v>1.2014768</v>
      </c>
      <c r="I422">
        <v>-0.20147677</v>
      </c>
      <c r="J422">
        <v>0.45424052999999998</v>
      </c>
    </row>
    <row r="423" spans="1:10" x14ac:dyDescent="0.3">
      <c r="A423">
        <v>421</v>
      </c>
      <c r="B423">
        <v>9553</v>
      </c>
      <c r="C423" t="b">
        <v>1</v>
      </c>
      <c r="D423">
        <v>8060</v>
      </c>
      <c r="E423">
        <v>8093</v>
      </c>
      <c r="F423">
        <v>228.2</v>
      </c>
      <c r="G423">
        <v>190.4</v>
      </c>
      <c r="H423">
        <v>1.1985295</v>
      </c>
      <c r="I423">
        <v>-0.19852944</v>
      </c>
      <c r="J423">
        <v>0.45484950000000002</v>
      </c>
    </row>
    <row r="424" spans="1:10" x14ac:dyDescent="0.3">
      <c r="A424">
        <v>422</v>
      </c>
      <c r="B424">
        <v>9569</v>
      </c>
      <c r="C424" t="b">
        <v>1</v>
      </c>
      <c r="D424">
        <v>8060</v>
      </c>
      <c r="E424">
        <v>8093</v>
      </c>
      <c r="F424">
        <v>228.2</v>
      </c>
      <c r="G424">
        <v>190</v>
      </c>
      <c r="H424">
        <v>1.2010527</v>
      </c>
      <c r="I424">
        <v>-0.20105261999999999</v>
      </c>
      <c r="J424">
        <v>0.45432805999999998</v>
      </c>
    </row>
    <row r="425" spans="1:10" x14ac:dyDescent="0.3">
      <c r="A425">
        <v>423</v>
      </c>
      <c r="B425">
        <v>9585</v>
      </c>
      <c r="C425" t="b">
        <v>1</v>
      </c>
      <c r="D425">
        <v>8071</v>
      </c>
      <c r="E425">
        <v>8105</v>
      </c>
      <c r="F425">
        <v>228.2</v>
      </c>
      <c r="G425">
        <v>190</v>
      </c>
      <c r="H425">
        <v>1.2010527</v>
      </c>
      <c r="I425">
        <v>-0.20105261999999999</v>
      </c>
      <c r="J425">
        <v>0.45432805999999998</v>
      </c>
    </row>
    <row r="426" spans="1:10" x14ac:dyDescent="0.3">
      <c r="A426">
        <v>424</v>
      </c>
      <c r="B426">
        <v>9617</v>
      </c>
      <c r="C426" t="b">
        <v>1</v>
      </c>
      <c r="D426">
        <v>8060</v>
      </c>
      <c r="E426">
        <v>8105</v>
      </c>
      <c r="F426">
        <v>227.46665999999999</v>
      </c>
      <c r="G426">
        <v>190.4</v>
      </c>
      <c r="H426">
        <v>1.1946778</v>
      </c>
      <c r="I426">
        <v>-0.19467787</v>
      </c>
      <c r="J426">
        <v>0.45564774000000002</v>
      </c>
    </row>
    <row r="427" spans="1:10" x14ac:dyDescent="0.3">
      <c r="A427">
        <v>425</v>
      </c>
      <c r="B427">
        <v>9650</v>
      </c>
      <c r="C427" t="b">
        <v>1</v>
      </c>
      <c r="D427">
        <v>8071</v>
      </c>
      <c r="E427">
        <v>8111</v>
      </c>
      <c r="F427">
        <v>226.73334</v>
      </c>
      <c r="G427">
        <v>190.8</v>
      </c>
      <c r="H427">
        <v>1.1883298</v>
      </c>
      <c r="I427">
        <v>-0.18832984999999999</v>
      </c>
      <c r="J427">
        <v>0.45696953000000001</v>
      </c>
    </row>
    <row r="428" spans="1:10" x14ac:dyDescent="0.3">
      <c r="A428">
        <v>426</v>
      </c>
      <c r="B428">
        <v>9682</v>
      </c>
      <c r="C428" t="b">
        <v>1</v>
      </c>
      <c r="D428">
        <v>8065</v>
      </c>
      <c r="E428">
        <v>8081</v>
      </c>
      <c r="F428">
        <v>226.33332999999999</v>
      </c>
      <c r="G428">
        <v>191.2</v>
      </c>
      <c r="H428">
        <v>1.1837517</v>
      </c>
      <c r="I428">
        <v>-0.18375173</v>
      </c>
      <c r="J428">
        <v>0.45792753000000003</v>
      </c>
    </row>
    <row r="429" spans="1:10" x14ac:dyDescent="0.3">
      <c r="A429">
        <v>427</v>
      </c>
      <c r="B429">
        <v>9697</v>
      </c>
      <c r="C429" t="b">
        <v>1</v>
      </c>
      <c r="D429">
        <v>8077</v>
      </c>
      <c r="E429">
        <v>8117</v>
      </c>
      <c r="F429">
        <v>226.33332999999999</v>
      </c>
      <c r="G429">
        <v>191.6</v>
      </c>
      <c r="H429">
        <v>1.1812803999999999</v>
      </c>
      <c r="I429">
        <v>-0.18128037</v>
      </c>
      <c r="J429">
        <v>0.45844632000000002</v>
      </c>
    </row>
    <row r="430" spans="1:10" x14ac:dyDescent="0.3">
      <c r="A430">
        <v>428</v>
      </c>
      <c r="B430">
        <v>9729</v>
      </c>
      <c r="C430" t="b">
        <v>1</v>
      </c>
      <c r="D430">
        <v>8054</v>
      </c>
      <c r="E430">
        <v>8093</v>
      </c>
      <c r="F430">
        <v>226.33332999999999</v>
      </c>
      <c r="G430">
        <v>192</v>
      </c>
      <c r="H430">
        <v>1.1788194000000001</v>
      </c>
      <c r="I430">
        <v>-0.17881942000000001</v>
      </c>
      <c r="J430">
        <v>0.45896417</v>
      </c>
    </row>
    <row r="431" spans="1:10" x14ac:dyDescent="0.3">
      <c r="A431">
        <v>429</v>
      </c>
      <c r="B431">
        <v>9761</v>
      </c>
      <c r="C431" t="b">
        <v>1</v>
      </c>
      <c r="D431">
        <v>8054</v>
      </c>
      <c r="E431">
        <v>8105</v>
      </c>
      <c r="F431">
        <v>226.33332999999999</v>
      </c>
      <c r="G431">
        <v>192.4</v>
      </c>
      <c r="H431">
        <v>1.1763687</v>
      </c>
      <c r="I431">
        <v>-0.17636868</v>
      </c>
      <c r="J431">
        <v>0.45948094</v>
      </c>
    </row>
    <row r="432" spans="1:10" x14ac:dyDescent="0.3">
      <c r="A432">
        <v>430</v>
      </c>
      <c r="B432">
        <v>9792</v>
      </c>
      <c r="C432" t="b">
        <v>1</v>
      </c>
      <c r="D432">
        <v>8071</v>
      </c>
      <c r="E432">
        <v>8129</v>
      </c>
      <c r="F432">
        <v>226.33332999999999</v>
      </c>
      <c r="G432">
        <v>192.4</v>
      </c>
      <c r="H432">
        <v>1.1763687</v>
      </c>
      <c r="I432">
        <v>-0.17636868</v>
      </c>
      <c r="J432">
        <v>0.45948094</v>
      </c>
    </row>
    <row r="433" spans="1:10" x14ac:dyDescent="0.3">
      <c r="A433">
        <v>431</v>
      </c>
      <c r="B433">
        <v>9824</v>
      </c>
      <c r="C433" t="b">
        <v>1</v>
      </c>
      <c r="D433">
        <v>8054</v>
      </c>
      <c r="E433">
        <v>8146</v>
      </c>
      <c r="F433">
        <v>225.6</v>
      </c>
      <c r="G433">
        <v>192.4</v>
      </c>
      <c r="H433">
        <v>1.1725572</v>
      </c>
      <c r="I433">
        <v>-0.17255723000000001</v>
      </c>
      <c r="J433">
        <v>0.46028706000000003</v>
      </c>
    </row>
    <row r="434" spans="1:10" x14ac:dyDescent="0.3">
      <c r="A434">
        <v>432</v>
      </c>
      <c r="B434">
        <v>9840</v>
      </c>
      <c r="C434" t="b">
        <v>1</v>
      </c>
      <c r="D434">
        <v>8077</v>
      </c>
      <c r="E434">
        <v>8111</v>
      </c>
      <c r="F434">
        <v>224.86667</v>
      </c>
      <c r="G434">
        <v>192</v>
      </c>
      <c r="H434">
        <v>1.1711806</v>
      </c>
      <c r="I434">
        <v>-0.17118056000000001</v>
      </c>
      <c r="J434">
        <v>0.46057892</v>
      </c>
    </row>
    <row r="435" spans="1:10" x14ac:dyDescent="0.3">
      <c r="A435">
        <v>433</v>
      </c>
      <c r="B435">
        <v>9856</v>
      </c>
      <c r="C435" t="b">
        <v>1</v>
      </c>
      <c r="D435">
        <v>8048</v>
      </c>
      <c r="E435">
        <v>8105</v>
      </c>
      <c r="F435">
        <v>223.73334</v>
      </c>
      <c r="G435">
        <v>191.6</v>
      </c>
      <c r="H435">
        <v>1.1677105000000001</v>
      </c>
      <c r="I435">
        <v>-0.16771050000000001</v>
      </c>
      <c r="J435">
        <v>0.46131622999999999</v>
      </c>
    </row>
    <row r="436" spans="1:10" x14ac:dyDescent="0.3">
      <c r="A436">
        <v>434</v>
      </c>
      <c r="B436">
        <v>9872</v>
      </c>
      <c r="C436" t="b">
        <v>1</v>
      </c>
      <c r="D436">
        <v>8060</v>
      </c>
      <c r="E436">
        <v>8099</v>
      </c>
      <c r="F436">
        <v>223</v>
      </c>
      <c r="G436">
        <v>191.2</v>
      </c>
      <c r="H436">
        <v>1.166318</v>
      </c>
      <c r="I436">
        <v>-0.16631800999999999</v>
      </c>
      <c r="J436">
        <v>0.46161273000000003</v>
      </c>
    </row>
    <row r="437" spans="1:10" x14ac:dyDescent="0.3">
      <c r="A437">
        <v>435</v>
      </c>
      <c r="B437">
        <v>9888</v>
      </c>
      <c r="C437" t="b">
        <v>1</v>
      </c>
      <c r="D437">
        <v>8060</v>
      </c>
      <c r="E437">
        <v>8093</v>
      </c>
      <c r="F437">
        <v>222.26666</v>
      </c>
      <c r="G437">
        <v>190.4</v>
      </c>
      <c r="H437">
        <v>1.167367</v>
      </c>
      <c r="I437">
        <v>-0.16736697</v>
      </c>
      <c r="J437">
        <v>0.46138932999999999</v>
      </c>
    </row>
    <row r="438" spans="1:10" x14ac:dyDescent="0.3">
      <c r="A438">
        <v>436</v>
      </c>
      <c r="B438">
        <v>9904</v>
      </c>
      <c r="C438" t="b">
        <v>1</v>
      </c>
      <c r="D438">
        <v>8083</v>
      </c>
      <c r="E438">
        <v>8093</v>
      </c>
      <c r="F438">
        <v>221.53334000000001</v>
      </c>
      <c r="G438">
        <v>190</v>
      </c>
      <c r="H438">
        <v>1.1659649999999999</v>
      </c>
      <c r="I438">
        <v>-0.16596495</v>
      </c>
      <c r="J438">
        <v>0.46168799999999999</v>
      </c>
    </row>
    <row r="439" spans="1:10" x14ac:dyDescent="0.3">
      <c r="A439">
        <v>437</v>
      </c>
      <c r="B439">
        <v>9920</v>
      </c>
      <c r="C439" t="b">
        <v>1</v>
      </c>
      <c r="D439">
        <v>8077</v>
      </c>
      <c r="E439">
        <v>8129</v>
      </c>
      <c r="F439">
        <v>221.2</v>
      </c>
      <c r="G439">
        <v>190.4</v>
      </c>
      <c r="H439">
        <v>1.1617647</v>
      </c>
      <c r="I439">
        <v>-0.16176473</v>
      </c>
      <c r="J439">
        <v>0.46258503000000001</v>
      </c>
    </row>
    <row r="440" spans="1:10" x14ac:dyDescent="0.3">
      <c r="A440">
        <v>438</v>
      </c>
      <c r="B440">
        <v>9951</v>
      </c>
      <c r="C440" t="b">
        <v>1</v>
      </c>
      <c r="D440">
        <v>8060</v>
      </c>
      <c r="E440">
        <v>8111</v>
      </c>
      <c r="F440">
        <v>220.86667</v>
      </c>
      <c r="G440">
        <v>190.8</v>
      </c>
      <c r="H440">
        <v>1.1575820000000001</v>
      </c>
      <c r="I440">
        <v>-0.1575821</v>
      </c>
      <c r="J440">
        <v>0.46348175000000003</v>
      </c>
    </row>
    <row r="441" spans="1:10" x14ac:dyDescent="0.3">
      <c r="A441">
        <v>439</v>
      </c>
      <c r="B441">
        <v>9982</v>
      </c>
      <c r="C441" t="b">
        <v>1</v>
      </c>
      <c r="D441">
        <v>8065</v>
      </c>
      <c r="E441">
        <v>8099</v>
      </c>
      <c r="F441">
        <v>221.2</v>
      </c>
      <c r="G441">
        <v>190.4</v>
      </c>
      <c r="H441">
        <v>1.1617647</v>
      </c>
      <c r="I441">
        <v>-0.16176473</v>
      </c>
      <c r="J441">
        <v>0.46258503000000001</v>
      </c>
    </row>
    <row r="442" spans="1:10" x14ac:dyDescent="0.3">
      <c r="A442">
        <v>440</v>
      </c>
      <c r="B442">
        <v>9998</v>
      </c>
      <c r="C442" t="b">
        <v>1</v>
      </c>
      <c r="D442">
        <v>8071</v>
      </c>
      <c r="E442">
        <v>8099</v>
      </c>
      <c r="F442">
        <v>221.93333000000001</v>
      </c>
      <c r="G442">
        <v>190</v>
      </c>
      <c r="H442">
        <v>1.1680702000000001</v>
      </c>
      <c r="I442">
        <v>-0.16807018000000001</v>
      </c>
      <c r="J442">
        <v>0.46123966999999999</v>
      </c>
    </row>
    <row r="443" spans="1:10" x14ac:dyDescent="0.3">
      <c r="A443">
        <v>441</v>
      </c>
      <c r="B443">
        <v>10030</v>
      </c>
      <c r="C443" t="b">
        <v>1</v>
      </c>
      <c r="D443">
        <v>8083</v>
      </c>
      <c r="E443">
        <v>8105</v>
      </c>
      <c r="F443">
        <v>222.33332999999999</v>
      </c>
      <c r="G443">
        <v>190</v>
      </c>
      <c r="H443">
        <v>1.1701754</v>
      </c>
      <c r="I443">
        <v>-0.17017541999999999</v>
      </c>
      <c r="J443">
        <v>0.46079227</v>
      </c>
    </row>
    <row r="444" spans="1:10" x14ac:dyDescent="0.3">
      <c r="A444">
        <v>442</v>
      </c>
      <c r="B444">
        <v>10062</v>
      </c>
      <c r="C444" t="b">
        <v>1</v>
      </c>
      <c r="D444">
        <v>8054</v>
      </c>
      <c r="E444">
        <v>8105</v>
      </c>
      <c r="F444">
        <v>221.93333000000001</v>
      </c>
      <c r="G444">
        <v>190</v>
      </c>
      <c r="H444">
        <v>1.1680702000000001</v>
      </c>
      <c r="I444">
        <v>-0.16807018000000001</v>
      </c>
      <c r="J444">
        <v>0.46123966999999999</v>
      </c>
    </row>
    <row r="445" spans="1:10" x14ac:dyDescent="0.3">
      <c r="A445">
        <v>443</v>
      </c>
      <c r="B445">
        <v>10094</v>
      </c>
      <c r="C445" t="b">
        <v>1</v>
      </c>
      <c r="D445">
        <v>8065</v>
      </c>
      <c r="E445">
        <v>8087</v>
      </c>
      <c r="F445">
        <v>221.93333000000001</v>
      </c>
      <c r="G445">
        <v>189.6</v>
      </c>
      <c r="H445">
        <v>1.1705344</v>
      </c>
      <c r="I445">
        <v>-0.17053442999999999</v>
      </c>
      <c r="J445">
        <v>0.46071603999999999</v>
      </c>
    </row>
    <row r="446" spans="1:10" x14ac:dyDescent="0.3">
      <c r="A446">
        <v>444</v>
      </c>
      <c r="B446">
        <v>10125</v>
      </c>
      <c r="C446" t="b">
        <v>1</v>
      </c>
      <c r="D446">
        <v>8042</v>
      </c>
      <c r="E446">
        <v>8111</v>
      </c>
      <c r="F446">
        <v>221.93333000000001</v>
      </c>
      <c r="G446">
        <v>189.6</v>
      </c>
      <c r="H446">
        <v>1.1705344</v>
      </c>
      <c r="I446">
        <v>-0.17053442999999999</v>
      </c>
      <c r="J446">
        <v>0.46071603999999999</v>
      </c>
    </row>
    <row r="447" spans="1:10" x14ac:dyDescent="0.3">
      <c r="A447">
        <v>445</v>
      </c>
      <c r="B447">
        <v>10157</v>
      </c>
      <c r="C447" t="b">
        <v>1</v>
      </c>
      <c r="D447">
        <v>8054</v>
      </c>
      <c r="E447">
        <v>8105</v>
      </c>
      <c r="F447">
        <v>221.2</v>
      </c>
      <c r="G447">
        <v>189.6</v>
      </c>
      <c r="H447">
        <v>1.1666666000000001</v>
      </c>
      <c r="I447">
        <v>-0.16666660999999999</v>
      </c>
      <c r="J447">
        <v>0.46153850000000002</v>
      </c>
    </row>
    <row r="448" spans="1:10" x14ac:dyDescent="0.3">
      <c r="A448">
        <v>446</v>
      </c>
      <c r="B448">
        <v>10189</v>
      </c>
      <c r="C448" t="b">
        <v>1</v>
      </c>
      <c r="D448">
        <v>8065</v>
      </c>
      <c r="E448">
        <v>8093</v>
      </c>
      <c r="F448">
        <v>221.2</v>
      </c>
      <c r="G448">
        <v>188.8</v>
      </c>
      <c r="H448">
        <v>1.1716101000000001</v>
      </c>
      <c r="I448">
        <v>-0.17161013</v>
      </c>
      <c r="J448">
        <v>0.4604878</v>
      </c>
    </row>
    <row r="449" spans="1:10" x14ac:dyDescent="0.3">
      <c r="A449">
        <v>447</v>
      </c>
      <c r="B449">
        <v>10205</v>
      </c>
      <c r="C449" t="b">
        <v>1</v>
      </c>
      <c r="D449">
        <v>8071</v>
      </c>
      <c r="E449">
        <v>8099</v>
      </c>
      <c r="F449">
        <v>221.93333000000001</v>
      </c>
      <c r="G449">
        <v>188</v>
      </c>
      <c r="H449">
        <v>1.1804965000000001</v>
      </c>
      <c r="I449">
        <v>-0.18049645</v>
      </c>
      <c r="J449">
        <v>0.45861112999999998</v>
      </c>
    </row>
    <row r="450" spans="1:10" x14ac:dyDescent="0.3">
      <c r="A450">
        <v>448</v>
      </c>
      <c r="B450">
        <v>10236</v>
      </c>
      <c r="C450" t="b">
        <v>1</v>
      </c>
      <c r="D450">
        <v>8060</v>
      </c>
      <c r="E450">
        <v>8129</v>
      </c>
      <c r="F450">
        <v>222.33332999999999</v>
      </c>
      <c r="G450">
        <v>187.6</v>
      </c>
      <c r="H450">
        <v>1.1851456</v>
      </c>
      <c r="I450">
        <v>-0.18514563000000001</v>
      </c>
      <c r="J450">
        <v>0.45763536999999999</v>
      </c>
    </row>
    <row r="451" spans="1:10" x14ac:dyDescent="0.3">
      <c r="A451">
        <v>449</v>
      </c>
      <c r="B451">
        <v>10268</v>
      </c>
      <c r="C451" t="b">
        <v>1</v>
      </c>
      <c r="D451">
        <v>8054</v>
      </c>
      <c r="E451">
        <v>8087</v>
      </c>
      <c r="F451">
        <v>222.33332999999999</v>
      </c>
      <c r="G451">
        <v>186.8</v>
      </c>
      <c r="H451">
        <v>1.1902212000000001</v>
      </c>
      <c r="I451">
        <v>-0.19022122</v>
      </c>
      <c r="J451">
        <v>0.45657490000000001</v>
      </c>
    </row>
    <row r="452" spans="1:10" x14ac:dyDescent="0.3">
      <c r="A452">
        <v>450</v>
      </c>
      <c r="B452">
        <v>10299</v>
      </c>
      <c r="C452" t="b">
        <v>1</v>
      </c>
      <c r="D452">
        <v>8060</v>
      </c>
      <c r="E452">
        <v>8111</v>
      </c>
      <c r="F452">
        <v>222.33332999999999</v>
      </c>
      <c r="G452">
        <v>186.4</v>
      </c>
      <c r="H452">
        <v>1.1927753999999999</v>
      </c>
      <c r="I452">
        <v>-0.19277540000000001</v>
      </c>
      <c r="J452">
        <v>0.45604303000000002</v>
      </c>
    </row>
    <row r="453" spans="1:10" x14ac:dyDescent="0.3">
      <c r="A453">
        <v>451</v>
      </c>
      <c r="B453">
        <v>10331</v>
      </c>
      <c r="C453" t="b">
        <v>1</v>
      </c>
      <c r="D453">
        <v>8042</v>
      </c>
      <c r="E453">
        <v>8087</v>
      </c>
      <c r="F453">
        <v>222.33332999999999</v>
      </c>
      <c r="G453">
        <v>186.4</v>
      </c>
      <c r="H453">
        <v>1.1927753999999999</v>
      </c>
      <c r="I453">
        <v>-0.19277540000000001</v>
      </c>
      <c r="J453">
        <v>0.45604303000000002</v>
      </c>
    </row>
    <row r="454" spans="1:10" x14ac:dyDescent="0.3">
      <c r="A454">
        <v>452</v>
      </c>
      <c r="B454">
        <v>10361</v>
      </c>
      <c r="C454" t="b">
        <v>1</v>
      </c>
      <c r="D454">
        <v>8077</v>
      </c>
      <c r="E454">
        <v>8146</v>
      </c>
      <c r="F454">
        <v>222.33332999999999</v>
      </c>
      <c r="G454">
        <v>187.2</v>
      </c>
      <c r="H454">
        <v>1.1876781000000001</v>
      </c>
      <c r="I454">
        <v>-0.18767805000000001</v>
      </c>
      <c r="J454">
        <v>0.45710563999999998</v>
      </c>
    </row>
    <row r="455" spans="1:10" x14ac:dyDescent="0.3">
      <c r="A455">
        <v>453</v>
      </c>
      <c r="B455">
        <v>10393</v>
      </c>
      <c r="C455" t="b">
        <v>1</v>
      </c>
      <c r="D455">
        <v>8048</v>
      </c>
      <c r="E455">
        <v>8099</v>
      </c>
      <c r="F455">
        <v>221.93333000000001</v>
      </c>
      <c r="G455">
        <v>187.2</v>
      </c>
      <c r="H455">
        <v>1.1855414</v>
      </c>
      <c r="I455">
        <v>-0.18554133</v>
      </c>
      <c r="J455">
        <v>0.45755255</v>
      </c>
    </row>
    <row r="456" spans="1:10" x14ac:dyDescent="0.3">
      <c r="A456">
        <v>454</v>
      </c>
      <c r="B456">
        <v>10425</v>
      </c>
      <c r="C456" t="b">
        <v>1</v>
      </c>
      <c r="D456">
        <v>8071</v>
      </c>
      <c r="E456">
        <v>8117</v>
      </c>
      <c r="F456">
        <v>221.6</v>
      </c>
      <c r="G456">
        <v>188</v>
      </c>
      <c r="H456">
        <v>1.1787235</v>
      </c>
      <c r="I456">
        <v>-0.17872344000000001</v>
      </c>
      <c r="J456">
        <v>0.45898438000000003</v>
      </c>
    </row>
    <row r="457" spans="1:10" x14ac:dyDescent="0.3">
      <c r="A457">
        <v>455</v>
      </c>
      <c r="B457">
        <v>10456</v>
      </c>
      <c r="C457" t="b">
        <v>1</v>
      </c>
      <c r="D457">
        <v>8071</v>
      </c>
      <c r="E457">
        <v>8093</v>
      </c>
      <c r="F457">
        <v>221.6</v>
      </c>
      <c r="G457">
        <v>188</v>
      </c>
      <c r="H457">
        <v>1.1787235</v>
      </c>
      <c r="I457">
        <v>-0.17872344000000001</v>
      </c>
      <c r="J457">
        <v>0.45898438000000003</v>
      </c>
    </row>
    <row r="458" spans="1:10" x14ac:dyDescent="0.3">
      <c r="A458">
        <v>456</v>
      </c>
      <c r="B458">
        <v>10488</v>
      </c>
      <c r="C458" t="b">
        <v>1</v>
      </c>
      <c r="D458">
        <v>8060</v>
      </c>
      <c r="E458">
        <v>8093</v>
      </c>
      <c r="F458">
        <v>221.6</v>
      </c>
      <c r="G458">
        <v>187.6</v>
      </c>
      <c r="H458">
        <v>1.1812366000000001</v>
      </c>
      <c r="I458">
        <v>-0.18123666999999999</v>
      </c>
      <c r="J458">
        <v>0.45845553</v>
      </c>
    </row>
    <row r="459" spans="1:10" x14ac:dyDescent="0.3">
      <c r="A459">
        <v>457</v>
      </c>
      <c r="B459">
        <v>10519</v>
      </c>
      <c r="C459" t="b">
        <v>1</v>
      </c>
      <c r="D459">
        <v>8065</v>
      </c>
      <c r="E459">
        <v>8093</v>
      </c>
      <c r="F459">
        <v>221.6</v>
      </c>
      <c r="G459">
        <v>186.8</v>
      </c>
      <c r="H459">
        <v>1.1862954999999999</v>
      </c>
      <c r="I459">
        <v>-0.18629551</v>
      </c>
      <c r="J459">
        <v>0.45739469999999999</v>
      </c>
    </row>
    <row r="460" spans="1:10" x14ac:dyDescent="0.3">
      <c r="A460">
        <v>458</v>
      </c>
      <c r="B460">
        <v>10535</v>
      </c>
      <c r="C460" t="b">
        <v>1</v>
      </c>
      <c r="D460">
        <v>8060</v>
      </c>
      <c r="E460">
        <v>8081</v>
      </c>
      <c r="F460">
        <v>221.6</v>
      </c>
      <c r="G460">
        <v>186.4</v>
      </c>
      <c r="H460">
        <v>1.1888411999999999</v>
      </c>
      <c r="I460">
        <v>-0.18884127000000001</v>
      </c>
      <c r="J460">
        <v>0.45686272</v>
      </c>
    </row>
    <row r="461" spans="1:10" x14ac:dyDescent="0.3">
      <c r="A461">
        <v>459</v>
      </c>
      <c r="B461">
        <v>10551</v>
      </c>
      <c r="C461" t="b">
        <v>1</v>
      </c>
      <c r="D461">
        <v>8065</v>
      </c>
      <c r="E461">
        <v>8105</v>
      </c>
      <c r="F461">
        <v>221.6</v>
      </c>
      <c r="G461">
        <v>185.6</v>
      </c>
      <c r="H461">
        <v>1.1939656000000001</v>
      </c>
      <c r="I461">
        <v>-0.19396551000000001</v>
      </c>
      <c r="J461">
        <v>0.45579567999999998</v>
      </c>
    </row>
    <row r="462" spans="1:10" x14ac:dyDescent="0.3">
      <c r="A462">
        <v>460</v>
      </c>
      <c r="B462">
        <v>10583</v>
      </c>
      <c r="C462" t="b">
        <v>1</v>
      </c>
      <c r="D462">
        <v>8077</v>
      </c>
      <c r="E462">
        <v>8093</v>
      </c>
      <c r="F462">
        <v>222.33332999999999</v>
      </c>
      <c r="G462">
        <v>184.8</v>
      </c>
      <c r="H462">
        <v>1.2031023999999999</v>
      </c>
      <c r="I462">
        <v>-0.20310241000000001</v>
      </c>
      <c r="J462">
        <v>0.45390536999999997</v>
      </c>
    </row>
    <row r="463" spans="1:10" x14ac:dyDescent="0.3">
      <c r="A463">
        <v>461</v>
      </c>
      <c r="B463">
        <v>10615</v>
      </c>
      <c r="C463" t="b">
        <v>1</v>
      </c>
      <c r="D463">
        <v>8077</v>
      </c>
      <c r="E463">
        <v>8099</v>
      </c>
      <c r="F463">
        <v>223.06666999999999</v>
      </c>
      <c r="G463">
        <v>184</v>
      </c>
      <c r="H463">
        <v>1.2123188</v>
      </c>
      <c r="I463">
        <v>-0.21231884000000001</v>
      </c>
      <c r="J463">
        <v>0.45201441999999997</v>
      </c>
    </row>
    <row r="464" spans="1:10" x14ac:dyDescent="0.3">
      <c r="A464">
        <v>462</v>
      </c>
      <c r="B464">
        <v>10646</v>
      </c>
      <c r="C464" t="b">
        <v>1</v>
      </c>
      <c r="D464">
        <v>8071</v>
      </c>
      <c r="E464">
        <v>8105</v>
      </c>
      <c r="F464">
        <v>223.46665999999999</v>
      </c>
      <c r="G464">
        <v>184</v>
      </c>
      <c r="H464">
        <v>1.2144927000000001</v>
      </c>
      <c r="I464">
        <v>-0.21449271</v>
      </c>
      <c r="J464">
        <v>0.45157066000000001</v>
      </c>
    </row>
    <row r="465" spans="1:10" x14ac:dyDescent="0.3">
      <c r="A465">
        <v>463</v>
      </c>
      <c r="B465">
        <v>10678</v>
      </c>
      <c r="C465" t="b">
        <v>1</v>
      </c>
      <c r="D465">
        <v>8060</v>
      </c>
      <c r="E465">
        <v>8111</v>
      </c>
      <c r="F465">
        <v>224.2</v>
      </c>
      <c r="G465">
        <v>184</v>
      </c>
      <c r="H465">
        <v>1.2184782000000001</v>
      </c>
      <c r="I465">
        <v>-0.21847825000000001</v>
      </c>
      <c r="J465">
        <v>0.45075939999999998</v>
      </c>
    </row>
    <row r="466" spans="1:10" x14ac:dyDescent="0.3">
      <c r="A466">
        <v>464</v>
      </c>
      <c r="B466">
        <v>10709</v>
      </c>
      <c r="C466" t="b">
        <v>1</v>
      </c>
      <c r="D466">
        <v>8065</v>
      </c>
      <c r="E466">
        <v>8099</v>
      </c>
      <c r="F466">
        <v>224.93333000000001</v>
      </c>
      <c r="G466">
        <v>184</v>
      </c>
      <c r="H466">
        <v>1.2224637</v>
      </c>
      <c r="I466">
        <v>-0.22246377000000001</v>
      </c>
      <c r="J466">
        <v>0.44995108</v>
      </c>
    </row>
    <row r="467" spans="1:10" x14ac:dyDescent="0.3">
      <c r="A467">
        <v>465</v>
      </c>
      <c r="B467">
        <v>10740</v>
      </c>
      <c r="C467" t="b">
        <v>1</v>
      </c>
      <c r="D467">
        <v>8071</v>
      </c>
      <c r="E467">
        <v>8111</v>
      </c>
      <c r="F467">
        <v>225.66667000000001</v>
      </c>
      <c r="G467">
        <v>184.4</v>
      </c>
      <c r="H467">
        <v>1.223789</v>
      </c>
      <c r="I467">
        <v>-0.22378893</v>
      </c>
      <c r="J467">
        <v>0.44968298000000001</v>
      </c>
    </row>
    <row r="468" spans="1:10" x14ac:dyDescent="0.3">
      <c r="A468">
        <v>466</v>
      </c>
      <c r="B468">
        <v>10771</v>
      </c>
      <c r="C468" t="b">
        <v>1</v>
      </c>
      <c r="D468">
        <v>8071</v>
      </c>
      <c r="E468">
        <v>8093</v>
      </c>
      <c r="F468">
        <v>226.4</v>
      </c>
      <c r="G468">
        <v>184.8</v>
      </c>
      <c r="H468">
        <v>1.2251080999999999</v>
      </c>
      <c r="I468">
        <v>-0.22510817999999999</v>
      </c>
      <c r="J468">
        <v>0.44941634000000003</v>
      </c>
    </row>
    <row r="469" spans="1:10" x14ac:dyDescent="0.3">
      <c r="A469">
        <v>467</v>
      </c>
      <c r="B469">
        <v>10801</v>
      </c>
      <c r="C469" t="b">
        <v>1</v>
      </c>
      <c r="D469">
        <v>8060</v>
      </c>
      <c r="E469">
        <v>8105</v>
      </c>
      <c r="F469">
        <v>226.73334</v>
      </c>
      <c r="G469">
        <v>184.4</v>
      </c>
      <c r="H469">
        <v>1.2295735000000001</v>
      </c>
      <c r="I469">
        <v>-0.22957346000000001</v>
      </c>
      <c r="J469">
        <v>0.44851627999999999</v>
      </c>
    </row>
    <row r="470" spans="1:10" x14ac:dyDescent="0.3">
      <c r="A470">
        <v>468</v>
      </c>
      <c r="B470">
        <v>10817</v>
      </c>
      <c r="C470" t="b">
        <v>1</v>
      </c>
      <c r="D470">
        <v>8071</v>
      </c>
      <c r="E470">
        <v>8111</v>
      </c>
      <c r="F470">
        <v>227.86667</v>
      </c>
      <c r="G470">
        <v>184.8</v>
      </c>
      <c r="H470">
        <v>1.2330447</v>
      </c>
      <c r="I470">
        <v>-0.23304473000000001</v>
      </c>
      <c r="J470">
        <v>0.44781905</v>
      </c>
    </row>
    <row r="471" spans="1:10" x14ac:dyDescent="0.3">
      <c r="A471">
        <v>469</v>
      </c>
      <c r="B471">
        <v>10849</v>
      </c>
      <c r="C471" t="b">
        <v>1</v>
      </c>
      <c r="D471">
        <v>8071</v>
      </c>
      <c r="E471">
        <v>8099</v>
      </c>
      <c r="F471">
        <v>228.6</v>
      </c>
      <c r="G471">
        <v>184.4</v>
      </c>
      <c r="H471">
        <v>1.2396963999999999</v>
      </c>
      <c r="I471">
        <v>-0.23969637999999999</v>
      </c>
      <c r="J471">
        <v>0.44648910000000003</v>
      </c>
    </row>
    <row r="472" spans="1:10" x14ac:dyDescent="0.3">
      <c r="A472">
        <v>470</v>
      </c>
      <c r="B472">
        <v>10881</v>
      </c>
      <c r="C472" t="b">
        <v>1</v>
      </c>
      <c r="D472">
        <v>8048</v>
      </c>
      <c r="E472">
        <v>8093</v>
      </c>
      <c r="F472">
        <v>228.6</v>
      </c>
      <c r="G472">
        <v>184.4</v>
      </c>
      <c r="H472">
        <v>1.2396963999999999</v>
      </c>
      <c r="I472">
        <v>-0.23969637999999999</v>
      </c>
      <c r="J472">
        <v>0.44648910000000003</v>
      </c>
    </row>
    <row r="473" spans="1:10" x14ac:dyDescent="0.3">
      <c r="A473">
        <v>471</v>
      </c>
      <c r="B473">
        <v>10897</v>
      </c>
      <c r="C473" t="b">
        <v>1</v>
      </c>
      <c r="D473">
        <v>8071</v>
      </c>
      <c r="E473">
        <v>8099</v>
      </c>
      <c r="F473">
        <v>228.6</v>
      </c>
      <c r="G473">
        <v>184.4</v>
      </c>
      <c r="H473">
        <v>1.2396963999999999</v>
      </c>
      <c r="I473">
        <v>-0.23969637999999999</v>
      </c>
      <c r="J473">
        <v>0.44648910000000003</v>
      </c>
    </row>
    <row r="474" spans="1:10" x14ac:dyDescent="0.3">
      <c r="A474">
        <v>472</v>
      </c>
      <c r="B474">
        <v>10929</v>
      </c>
      <c r="C474" t="b">
        <v>1</v>
      </c>
      <c r="D474">
        <v>8060</v>
      </c>
      <c r="E474">
        <v>8093</v>
      </c>
      <c r="F474">
        <v>229</v>
      </c>
      <c r="G474">
        <v>184.8</v>
      </c>
      <c r="H474">
        <v>1.2391775</v>
      </c>
      <c r="I474">
        <v>-0.23917747</v>
      </c>
      <c r="J474">
        <v>0.44659257000000002</v>
      </c>
    </row>
    <row r="475" spans="1:10" x14ac:dyDescent="0.3">
      <c r="A475">
        <v>473</v>
      </c>
      <c r="B475">
        <v>10961</v>
      </c>
      <c r="C475" t="b">
        <v>1</v>
      </c>
      <c r="D475">
        <v>8065</v>
      </c>
      <c r="E475">
        <v>8105</v>
      </c>
      <c r="F475">
        <v>229</v>
      </c>
      <c r="G475">
        <v>185.2</v>
      </c>
      <c r="H475">
        <v>1.2365010999999999</v>
      </c>
      <c r="I475">
        <v>-0.23650109999999999</v>
      </c>
      <c r="J475">
        <v>0.44712698000000001</v>
      </c>
    </row>
    <row r="476" spans="1:10" x14ac:dyDescent="0.3">
      <c r="A476">
        <v>474</v>
      </c>
      <c r="B476">
        <v>10992</v>
      </c>
      <c r="C476" t="b">
        <v>1</v>
      </c>
      <c r="D476">
        <v>8071</v>
      </c>
      <c r="E476">
        <v>8123</v>
      </c>
      <c r="F476">
        <v>229</v>
      </c>
      <c r="G476">
        <v>185.6</v>
      </c>
      <c r="H476">
        <v>1.2338362</v>
      </c>
      <c r="I476">
        <v>-0.23383615999999999</v>
      </c>
      <c r="J476">
        <v>0.44766042</v>
      </c>
    </row>
    <row r="477" spans="1:10" x14ac:dyDescent="0.3">
      <c r="A477">
        <v>475</v>
      </c>
      <c r="B477">
        <v>11008</v>
      </c>
      <c r="C477" t="b">
        <v>1</v>
      </c>
      <c r="D477">
        <v>8042</v>
      </c>
      <c r="E477">
        <v>8129</v>
      </c>
      <c r="F477">
        <v>229</v>
      </c>
      <c r="G477">
        <v>186.4</v>
      </c>
      <c r="H477">
        <v>1.2285408</v>
      </c>
      <c r="I477">
        <v>-0.22854081000000001</v>
      </c>
      <c r="J477">
        <v>0.44872412</v>
      </c>
    </row>
    <row r="478" spans="1:10" x14ac:dyDescent="0.3">
      <c r="A478">
        <v>476</v>
      </c>
      <c r="B478">
        <v>11040</v>
      </c>
      <c r="C478" t="b">
        <v>1</v>
      </c>
      <c r="D478">
        <v>8071</v>
      </c>
      <c r="E478">
        <v>8099</v>
      </c>
      <c r="F478">
        <v>229</v>
      </c>
      <c r="G478">
        <v>187.2</v>
      </c>
      <c r="H478">
        <v>1.2232905999999999</v>
      </c>
      <c r="I478">
        <v>-0.22329062</v>
      </c>
      <c r="J478">
        <v>0.44978373999999999</v>
      </c>
    </row>
    <row r="479" spans="1:10" x14ac:dyDescent="0.3">
      <c r="A479">
        <v>477</v>
      </c>
      <c r="B479">
        <v>11056</v>
      </c>
      <c r="C479" t="b">
        <v>1</v>
      </c>
      <c r="D479">
        <v>8071</v>
      </c>
      <c r="E479">
        <v>8105</v>
      </c>
      <c r="F479">
        <v>229</v>
      </c>
      <c r="G479">
        <v>187.6</v>
      </c>
      <c r="H479">
        <v>1.2206823</v>
      </c>
      <c r="I479">
        <v>-0.22068225999999999</v>
      </c>
      <c r="J479">
        <v>0.45031205000000002</v>
      </c>
    </row>
    <row r="480" spans="1:10" x14ac:dyDescent="0.3">
      <c r="A480">
        <v>478</v>
      </c>
      <c r="B480">
        <v>11072</v>
      </c>
      <c r="C480" t="b">
        <v>1</v>
      </c>
      <c r="D480">
        <v>8083</v>
      </c>
      <c r="E480">
        <v>8105</v>
      </c>
      <c r="F480">
        <v>229</v>
      </c>
      <c r="G480">
        <v>187.6</v>
      </c>
      <c r="H480">
        <v>1.2206823</v>
      </c>
      <c r="I480">
        <v>-0.22068225999999999</v>
      </c>
      <c r="J480">
        <v>0.45031205000000002</v>
      </c>
    </row>
    <row r="481" spans="1:10" x14ac:dyDescent="0.3">
      <c r="A481">
        <v>479</v>
      </c>
      <c r="B481">
        <v>11103</v>
      </c>
      <c r="C481" t="b">
        <v>1</v>
      </c>
      <c r="D481">
        <v>8060</v>
      </c>
      <c r="E481">
        <v>8152</v>
      </c>
      <c r="F481">
        <v>229</v>
      </c>
      <c r="G481">
        <v>188</v>
      </c>
      <c r="H481">
        <v>1.2180850000000001</v>
      </c>
      <c r="I481">
        <v>-0.21808511</v>
      </c>
      <c r="J481">
        <v>0.45083933999999998</v>
      </c>
    </row>
    <row r="482" spans="1:10" x14ac:dyDescent="0.3">
      <c r="A482">
        <v>480</v>
      </c>
      <c r="B482">
        <v>11119</v>
      </c>
      <c r="C482" t="b">
        <v>1</v>
      </c>
      <c r="D482">
        <v>8054</v>
      </c>
      <c r="E482">
        <v>8099</v>
      </c>
      <c r="F482">
        <v>229</v>
      </c>
      <c r="G482">
        <v>188</v>
      </c>
      <c r="H482">
        <v>1.2180850000000001</v>
      </c>
      <c r="I482">
        <v>-0.21808511</v>
      </c>
      <c r="J482">
        <v>0.45083933999999998</v>
      </c>
    </row>
    <row r="483" spans="1:10" x14ac:dyDescent="0.3">
      <c r="A483">
        <v>481</v>
      </c>
      <c r="B483">
        <v>11150</v>
      </c>
      <c r="C483" t="b">
        <v>1</v>
      </c>
      <c r="D483">
        <v>8065</v>
      </c>
      <c r="E483">
        <v>8093</v>
      </c>
      <c r="F483">
        <v>228.6</v>
      </c>
      <c r="G483">
        <v>188</v>
      </c>
      <c r="H483">
        <v>1.2159575</v>
      </c>
      <c r="I483">
        <v>-0.21595748000000001</v>
      </c>
      <c r="J483">
        <v>0.45127220000000001</v>
      </c>
    </row>
    <row r="484" spans="1:10" x14ac:dyDescent="0.3">
      <c r="A484">
        <v>482</v>
      </c>
      <c r="B484">
        <v>11182</v>
      </c>
      <c r="C484" t="b">
        <v>1</v>
      </c>
      <c r="D484">
        <v>8054</v>
      </c>
      <c r="E484">
        <v>8111</v>
      </c>
      <c r="F484">
        <v>228.26666</v>
      </c>
      <c r="G484">
        <v>188</v>
      </c>
      <c r="H484">
        <v>1.2141843999999999</v>
      </c>
      <c r="I484">
        <v>-0.21418437000000001</v>
      </c>
      <c r="J484">
        <v>0.45163356999999998</v>
      </c>
    </row>
    <row r="485" spans="1:10" x14ac:dyDescent="0.3">
      <c r="A485">
        <v>483</v>
      </c>
      <c r="B485">
        <v>11197</v>
      </c>
      <c r="C485" t="b">
        <v>1</v>
      </c>
      <c r="D485">
        <v>8048</v>
      </c>
      <c r="E485">
        <v>8087</v>
      </c>
      <c r="F485">
        <v>227.13333</v>
      </c>
      <c r="G485">
        <v>187.6</v>
      </c>
      <c r="H485">
        <v>1.2107319999999999</v>
      </c>
      <c r="I485">
        <v>-0.210732</v>
      </c>
      <c r="J485">
        <v>0.45233887</v>
      </c>
    </row>
    <row r="486" spans="1:10" x14ac:dyDescent="0.3">
      <c r="A486">
        <v>484</v>
      </c>
      <c r="B486">
        <v>11213</v>
      </c>
      <c r="C486" t="b">
        <v>1</v>
      </c>
      <c r="D486">
        <v>8077</v>
      </c>
      <c r="E486">
        <v>8105</v>
      </c>
      <c r="F486">
        <v>226</v>
      </c>
      <c r="G486">
        <v>187.2</v>
      </c>
      <c r="H486">
        <v>1.207265</v>
      </c>
      <c r="I486">
        <v>-0.20726496999999999</v>
      </c>
      <c r="J486">
        <v>0.45304936000000001</v>
      </c>
    </row>
    <row r="487" spans="1:10" x14ac:dyDescent="0.3">
      <c r="A487">
        <v>485</v>
      </c>
      <c r="B487">
        <v>11229</v>
      </c>
      <c r="C487" t="b">
        <v>1</v>
      </c>
      <c r="D487">
        <v>8060</v>
      </c>
      <c r="E487">
        <v>8105</v>
      </c>
      <c r="F487">
        <v>225.26666</v>
      </c>
      <c r="G487">
        <v>187.6</v>
      </c>
      <c r="H487">
        <v>1.2007817000000001</v>
      </c>
      <c r="I487">
        <v>-0.20078175000000001</v>
      </c>
      <c r="J487">
        <v>0.45438400000000001</v>
      </c>
    </row>
    <row r="488" spans="1:10" x14ac:dyDescent="0.3">
      <c r="A488">
        <v>486</v>
      </c>
      <c r="B488">
        <v>11245</v>
      </c>
      <c r="C488" t="b">
        <v>1</v>
      </c>
      <c r="D488">
        <v>8054</v>
      </c>
      <c r="E488">
        <v>8099</v>
      </c>
      <c r="F488">
        <v>224.13333</v>
      </c>
      <c r="G488">
        <v>188</v>
      </c>
      <c r="H488">
        <v>1.1921984999999999</v>
      </c>
      <c r="I488">
        <v>-0.19219857000000001</v>
      </c>
      <c r="J488">
        <v>0.45616305000000001</v>
      </c>
    </row>
    <row r="489" spans="1:10" x14ac:dyDescent="0.3">
      <c r="A489">
        <v>487</v>
      </c>
      <c r="B489">
        <v>11277</v>
      </c>
      <c r="C489" t="b">
        <v>1</v>
      </c>
      <c r="D489">
        <v>8048</v>
      </c>
      <c r="E489">
        <v>8105</v>
      </c>
      <c r="F489">
        <v>223</v>
      </c>
      <c r="G489">
        <v>188.4</v>
      </c>
      <c r="H489">
        <v>1.1836518</v>
      </c>
      <c r="I489">
        <v>-0.18365185000000001</v>
      </c>
      <c r="J489">
        <v>0.45794845000000001</v>
      </c>
    </row>
    <row r="490" spans="1:10" x14ac:dyDescent="0.3">
      <c r="A490">
        <v>488</v>
      </c>
      <c r="B490">
        <v>11292</v>
      </c>
      <c r="C490" t="b">
        <v>1</v>
      </c>
      <c r="D490">
        <v>8065</v>
      </c>
      <c r="E490">
        <v>8093</v>
      </c>
      <c r="F490">
        <v>222.66667000000001</v>
      </c>
      <c r="G490">
        <v>188.8</v>
      </c>
      <c r="H490">
        <v>1.1793785000000001</v>
      </c>
      <c r="I490">
        <v>-0.17937854</v>
      </c>
      <c r="J490">
        <v>0.45884639999999999</v>
      </c>
    </row>
    <row r="491" spans="1:10" x14ac:dyDescent="0.3">
      <c r="A491">
        <v>489</v>
      </c>
      <c r="B491">
        <v>11308</v>
      </c>
      <c r="C491" t="b">
        <v>1</v>
      </c>
      <c r="D491">
        <v>8065</v>
      </c>
      <c r="E491">
        <v>8093</v>
      </c>
      <c r="F491">
        <v>222.33332999999999</v>
      </c>
      <c r="G491">
        <v>188.8</v>
      </c>
      <c r="H491">
        <v>1.1776129</v>
      </c>
      <c r="I491">
        <v>-0.17761294999999999</v>
      </c>
      <c r="J491">
        <v>0.45921844000000001</v>
      </c>
    </row>
    <row r="492" spans="1:10" x14ac:dyDescent="0.3">
      <c r="A492">
        <v>490</v>
      </c>
      <c r="B492">
        <v>11324</v>
      </c>
      <c r="C492" t="b">
        <v>1</v>
      </c>
      <c r="D492">
        <v>8071</v>
      </c>
      <c r="E492">
        <v>8093</v>
      </c>
      <c r="F492">
        <v>222.33332999999999</v>
      </c>
      <c r="G492">
        <v>188</v>
      </c>
      <c r="H492">
        <v>1.1826241</v>
      </c>
      <c r="I492">
        <v>-0.18262408999999999</v>
      </c>
      <c r="J492">
        <v>0.45816413</v>
      </c>
    </row>
    <row r="493" spans="1:10" x14ac:dyDescent="0.3">
      <c r="A493">
        <v>491</v>
      </c>
      <c r="B493">
        <v>11340</v>
      </c>
      <c r="C493" t="b">
        <v>1</v>
      </c>
      <c r="D493">
        <v>8065</v>
      </c>
      <c r="E493">
        <v>8099</v>
      </c>
      <c r="F493">
        <v>222.33332999999999</v>
      </c>
      <c r="G493">
        <v>187.2</v>
      </c>
      <c r="H493">
        <v>1.1876781000000001</v>
      </c>
      <c r="I493">
        <v>-0.18767805000000001</v>
      </c>
      <c r="J493">
        <v>0.45710563999999998</v>
      </c>
    </row>
    <row r="494" spans="1:10" x14ac:dyDescent="0.3">
      <c r="A494">
        <v>492</v>
      </c>
      <c r="B494">
        <v>11372</v>
      </c>
      <c r="C494" t="b">
        <v>1</v>
      </c>
      <c r="D494">
        <v>8065</v>
      </c>
      <c r="E494">
        <v>8105</v>
      </c>
      <c r="F494">
        <v>221.93333000000001</v>
      </c>
      <c r="G494">
        <v>186.4</v>
      </c>
      <c r="H494">
        <v>1.1906295</v>
      </c>
      <c r="I494">
        <v>-0.19062951</v>
      </c>
      <c r="J494">
        <v>0.4564898</v>
      </c>
    </row>
    <row r="495" spans="1:10" x14ac:dyDescent="0.3">
      <c r="A495">
        <v>493</v>
      </c>
      <c r="B495">
        <v>11387</v>
      </c>
      <c r="C495" t="b">
        <v>1</v>
      </c>
      <c r="D495">
        <v>8042</v>
      </c>
      <c r="E495">
        <v>8093</v>
      </c>
      <c r="F495">
        <v>221.53334000000001</v>
      </c>
      <c r="G495">
        <v>185.6</v>
      </c>
      <c r="H495">
        <v>1.1936064</v>
      </c>
      <c r="I495">
        <v>-0.19360632</v>
      </c>
      <c r="J495">
        <v>0.45587030000000001</v>
      </c>
    </row>
    <row r="496" spans="1:10" x14ac:dyDescent="0.3">
      <c r="A496">
        <v>494</v>
      </c>
      <c r="B496">
        <v>11419</v>
      </c>
      <c r="C496" t="b">
        <v>1</v>
      </c>
      <c r="D496">
        <v>8048</v>
      </c>
      <c r="E496">
        <v>8099</v>
      </c>
      <c r="F496">
        <v>221.13333</v>
      </c>
      <c r="G496">
        <v>185.2</v>
      </c>
      <c r="H496">
        <v>1.1940244</v>
      </c>
      <c r="I496">
        <v>-0.19402448999999999</v>
      </c>
      <c r="J496">
        <v>0.45578345999999997</v>
      </c>
    </row>
    <row r="497" spans="1:10" x14ac:dyDescent="0.3">
      <c r="A497">
        <v>495</v>
      </c>
      <c r="B497">
        <v>11435</v>
      </c>
      <c r="C497" t="b">
        <v>1</v>
      </c>
      <c r="D497">
        <v>8054</v>
      </c>
      <c r="E497">
        <v>8105</v>
      </c>
      <c r="F497">
        <v>220</v>
      </c>
      <c r="G497">
        <v>184.8</v>
      </c>
      <c r="H497">
        <v>1.1904762</v>
      </c>
      <c r="I497">
        <v>-0.19047616000000001</v>
      </c>
      <c r="J497">
        <v>0.45652175</v>
      </c>
    </row>
    <row r="498" spans="1:10" x14ac:dyDescent="0.3">
      <c r="A498">
        <v>496</v>
      </c>
      <c r="B498">
        <v>11451</v>
      </c>
      <c r="C498" t="b">
        <v>1</v>
      </c>
      <c r="D498">
        <v>8042</v>
      </c>
      <c r="E498">
        <v>8099</v>
      </c>
      <c r="F498">
        <v>218.86667</v>
      </c>
      <c r="G498">
        <v>184.4</v>
      </c>
      <c r="H498">
        <v>1.1869125</v>
      </c>
      <c r="I498">
        <v>-0.18691257</v>
      </c>
      <c r="J498">
        <v>0.45726565000000002</v>
      </c>
    </row>
    <row r="499" spans="1:10" x14ac:dyDescent="0.3">
      <c r="A499">
        <v>497</v>
      </c>
      <c r="B499">
        <v>11467</v>
      </c>
      <c r="C499" t="b">
        <v>1</v>
      </c>
      <c r="D499">
        <v>8042</v>
      </c>
      <c r="E499">
        <v>8099</v>
      </c>
      <c r="F499">
        <v>217.66667000000001</v>
      </c>
      <c r="G499">
        <v>184</v>
      </c>
      <c r="H499">
        <v>1.182971</v>
      </c>
      <c r="I499">
        <v>-0.18297105</v>
      </c>
      <c r="J499">
        <v>0.45809126</v>
      </c>
    </row>
    <row r="500" spans="1:10" x14ac:dyDescent="0.3">
      <c r="A500">
        <v>498</v>
      </c>
      <c r="B500">
        <v>11483</v>
      </c>
      <c r="C500" t="b">
        <v>1</v>
      </c>
      <c r="D500">
        <v>8071</v>
      </c>
      <c r="E500">
        <v>8093</v>
      </c>
      <c r="F500">
        <v>217.26666</v>
      </c>
      <c r="G500">
        <v>184</v>
      </c>
      <c r="H500">
        <v>1.1807970999999999</v>
      </c>
      <c r="I500">
        <v>-0.18079708999999999</v>
      </c>
      <c r="J500">
        <v>0.45854794999999998</v>
      </c>
    </row>
    <row r="501" spans="1:10" x14ac:dyDescent="0.3">
      <c r="A501">
        <v>499</v>
      </c>
      <c r="B501">
        <v>11498</v>
      </c>
      <c r="C501" t="b">
        <v>1</v>
      </c>
      <c r="D501">
        <v>8065</v>
      </c>
      <c r="E501">
        <v>8117</v>
      </c>
      <c r="F501">
        <v>217.26666</v>
      </c>
      <c r="G501">
        <v>184</v>
      </c>
      <c r="H501">
        <v>1.1807970999999999</v>
      </c>
      <c r="I501">
        <v>-0.18079708999999999</v>
      </c>
      <c r="J501">
        <v>0.45854794999999998</v>
      </c>
    </row>
    <row r="502" spans="1:10" x14ac:dyDescent="0.3">
      <c r="A502">
        <v>500</v>
      </c>
      <c r="B502">
        <v>11514</v>
      </c>
      <c r="C502" t="b">
        <v>1</v>
      </c>
      <c r="D502">
        <v>8060</v>
      </c>
      <c r="E502">
        <v>8146</v>
      </c>
      <c r="F502">
        <v>217.26666</v>
      </c>
      <c r="G502">
        <v>183.6</v>
      </c>
      <c r="H502">
        <v>1.1833696</v>
      </c>
      <c r="I502">
        <v>-0.18336958</v>
      </c>
      <c r="J502">
        <v>0.45800765999999998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354F-2604-4B3F-9591-BE573F4A92D2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22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37</v>
      </c>
      <c r="C4" t="b">
        <v>1</v>
      </c>
      <c r="D4">
        <v>8054</v>
      </c>
      <c r="E4">
        <v>8129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53</v>
      </c>
      <c r="C5" t="b">
        <v>1</v>
      </c>
      <c r="D5">
        <v>8054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69</v>
      </c>
      <c r="C6" t="b">
        <v>1</v>
      </c>
      <c r="D6">
        <v>8054</v>
      </c>
      <c r="E6">
        <v>8129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86</v>
      </c>
      <c r="C7" t="b">
        <v>1</v>
      </c>
      <c r="D7">
        <v>8054</v>
      </c>
      <c r="E7">
        <v>8123</v>
      </c>
      <c r="F7">
        <v>11</v>
      </c>
      <c r="G7">
        <v>8</v>
      </c>
      <c r="H7">
        <v>1.375</v>
      </c>
      <c r="I7">
        <v>-0.375</v>
      </c>
      <c r="J7">
        <v>0.42105262999999998</v>
      </c>
    </row>
    <row r="8" spans="1:10" x14ac:dyDescent="0.3">
      <c r="A8">
        <v>6</v>
      </c>
      <c r="B8">
        <v>102</v>
      </c>
      <c r="C8" t="b">
        <v>1</v>
      </c>
      <c r="D8">
        <v>8048</v>
      </c>
      <c r="E8">
        <v>8129</v>
      </c>
      <c r="F8">
        <v>11.428572000000001</v>
      </c>
      <c r="G8">
        <v>8.8571419999999996</v>
      </c>
      <c r="H8">
        <v>1.2903226999999999</v>
      </c>
      <c r="I8">
        <v>-0.29032266000000001</v>
      </c>
      <c r="J8">
        <v>0.43661972999999998</v>
      </c>
    </row>
    <row r="9" spans="1:10" x14ac:dyDescent="0.3">
      <c r="A9">
        <v>7</v>
      </c>
      <c r="B9">
        <v>117</v>
      </c>
      <c r="C9" t="b">
        <v>1</v>
      </c>
      <c r="D9">
        <v>8054</v>
      </c>
      <c r="E9">
        <v>8123</v>
      </c>
      <c r="F9">
        <v>11.75</v>
      </c>
      <c r="G9">
        <v>8.75</v>
      </c>
      <c r="H9">
        <v>1.3428571</v>
      </c>
      <c r="I9">
        <v>-0.34285715</v>
      </c>
      <c r="J9">
        <v>0.42682927999999998</v>
      </c>
    </row>
    <row r="10" spans="1:10" x14ac:dyDescent="0.3">
      <c r="A10">
        <v>8</v>
      </c>
      <c r="B10">
        <v>133</v>
      </c>
      <c r="C10" t="b">
        <v>1</v>
      </c>
      <c r="D10">
        <v>8048</v>
      </c>
      <c r="E10">
        <v>8134</v>
      </c>
      <c r="F10">
        <v>12</v>
      </c>
      <c r="G10">
        <v>9.3333329999999997</v>
      </c>
      <c r="H10">
        <v>1.2857144</v>
      </c>
      <c r="I10">
        <v>-0.28571433000000002</v>
      </c>
      <c r="J10">
        <v>0.4375</v>
      </c>
    </row>
    <row r="11" spans="1:10" x14ac:dyDescent="0.3">
      <c r="A11">
        <v>9</v>
      </c>
      <c r="B11">
        <v>149</v>
      </c>
      <c r="C11" t="b">
        <v>1</v>
      </c>
      <c r="D11">
        <v>8054</v>
      </c>
      <c r="E11">
        <v>8129</v>
      </c>
      <c r="F11">
        <v>12.2</v>
      </c>
      <c r="G11">
        <v>9.8000000000000007</v>
      </c>
      <c r="H11">
        <v>1.2448980000000001</v>
      </c>
      <c r="I11">
        <v>-0.24489791999999999</v>
      </c>
      <c r="J11">
        <v>0.44545456999999999</v>
      </c>
    </row>
    <row r="12" spans="1:10" x14ac:dyDescent="0.3">
      <c r="A12">
        <v>10</v>
      </c>
      <c r="B12">
        <v>165</v>
      </c>
      <c r="C12" t="b">
        <v>1</v>
      </c>
      <c r="D12">
        <v>8048</v>
      </c>
      <c r="E12">
        <v>8129</v>
      </c>
      <c r="F12">
        <v>11.818182</v>
      </c>
      <c r="G12">
        <v>10.181818</v>
      </c>
      <c r="H12">
        <v>1.1607143</v>
      </c>
      <c r="I12">
        <v>-0.16071432999999999</v>
      </c>
      <c r="J12">
        <v>0.46280991999999999</v>
      </c>
    </row>
    <row r="13" spans="1:10" x14ac:dyDescent="0.3">
      <c r="A13">
        <v>11</v>
      </c>
      <c r="B13">
        <v>181</v>
      </c>
      <c r="C13" t="b">
        <v>1</v>
      </c>
      <c r="D13">
        <v>8048</v>
      </c>
      <c r="E13">
        <v>8129</v>
      </c>
      <c r="F13">
        <v>11.5</v>
      </c>
      <c r="G13">
        <v>10.5</v>
      </c>
      <c r="H13">
        <v>1.0952381</v>
      </c>
      <c r="I13">
        <v>-9.5238100000000006E-2</v>
      </c>
      <c r="J13">
        <v>0.47727271999999998</v>
      </c>
    </row>
    <row r="14" spans="1:10" x14ac:dyDescent="0.3">
      <c r="A14">
        <v>12</v>
      </c>
      <c r="B14">
        <v>197</v>
      </c>
      <c r="C14" t="b">
        <v>1</v>
      </c>
      <c r="D14">
        <v>8048</v>
      </c>
      <c r="E14">
        <v>8123</v>
      </c>
      <c r="F14">
        <v>11.230769</v>
      </c>
      <c r="G14">
        <v>10.769231</v>
      </c>
      <c r="H14">
        <v>1.0428572</v>
      </c>
      <c r="I14">
        <v>-4.285713E-2</v>
      </c>
      <c r="J14">
        <v>0.48951050000000002</v>
      </c>
    </row>
    <row r="15" spans="1:10" x14ac:dyDescent="0.3">
      <c r="A15">
        <v>13</v>
      </c>
      <c r="B15">
        <v>213</v>
      </c>
      <c r="C15" t="b">
        <v>1</v>
      </c>
      <c r="D15">
        <v>8048</v>
      </c>
      <c r="E15">
        <v>8123</v>
      </c>
      <c r="F15">
        <v>11</v>
      </c>
      <c r="G15">
        <v>11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229</v>
      </c>
      <c r="C16" t="b">
        <v>1</v>
      </c>
      <c r="D16">
        <v>8048</v>
      </c>
      <c r="E16">
        <v>8129</v>
      </c>
      <c r="F16">
        <v>10.8</v>
      </c>
      <c r="G16">
        <v>11.2</v>
      </c>
      <c r="H16">
        <v>0.96428572999999995</v>
      </c>
      <c r="I16">
        <v>3.5714254000000001E-2</v>
      </c>
      <c r="J16">
        <v>0.50909090000000001</v>
      </c>
    </row>
    <row r="17" spans="1:10" x14ac:dyDescent="0.3">
      <c r="A17">
        <v>15</v>
      </c>
      <c r="B17">
        <v>245</v>
      </c>
      <c r="C17" t="b">
        <v>1</v>
      </c>
      <c r="D17">
        <v>8048</v>
      </c>
      <c r="E17">
        <v>8123</v>
      </c>
      <c r="F17">
        <v>10.8</v>
      </c>
      <c r="G17">
        <v>11.2</v>
      </c>
      <c r="H17">
        <v>0.96428572999999995</v>
      </c>
      <c r="I17">
        <v>3.5714254000000001E-2</v>
      </c>
      <c r="J17">
        <v>0.50909090000000001</v>
      </c>
    </row>
    <row r="18" spans="1:10" x14ac:dyDescent="0.3">
      <c r="A18">
        <v>16</v>
      </c>
      <c r="B18">
        <v>261</v>
      </c>
      <c r="C18" t="b">
        <v>1</v>
      </c>
      <c r="D18">
        <v>8042</v>
      </c>
      <c r="E18">
        <v>8123</v>
      </c>
      <c r="F18">
        <v>10.8</v>
      </c>
      <c r="G18">
        <v>11.2</v>
      </c>
      <c r="H18">
        <v>0.96428572999999995</v>
      </c>
      <c r="I18">
        <v>3.5714254000000001E-2</v>
      </c>
      <c r="J18">
        <v>0.50909090000000001</v>
      </c>
    </row>
    <row r="19" spans="1:10" x14ac:dyDescent="0.3">
      <c r="A19">
        <v>17</v>
      </c>
      <c r="B19">
        <v>277</v>
      </c>
      <c r="C19" t="b">
        <v>1</v>
      </c>
      <c r="D19">
        <v>8042</v>
      </c>
      <c r="E19">
        <v>8123</v>
      </c>
      <c r="F19">
        <v>10.8</v>
      </c>
      <c r="G19">
        <v>11.2</v>
      </c>
      <c r="H19">
        <v>0.96428572999999995</v>
      </c>
      <c r="I19">
        <v>3.5714254000000001E-2</v>
      </c>
      <c r="J19">
        <v>0.50909090000000001</v>
      </c>
    </row>
    <row r="20" spans="1:10" x14ac:dyDescent="0.3">
      <c r="A20">
        <v>18</v>
      </c>
      <c r="B20">
        <v>292</v>
      </c>
      <c r="C20" t="b">
        <v>1</v>
      </c>
      <c r="D20">
        <v>8048</v>
      </c>
      <c r="E20">
        <v>8123</v>
      </c>
      <c r="F20">
        <v>10.4</v>
      </c>
      <c r="G20">
        <v>11.2</v>
      </c>
      <c r="H20">
        <v>0.92857140000000005</v>
      </c>
      <c r="I20">
        <v>7.142859E-2</v>
      </c>
      <c r="J20">
        <v>0.51851857000000001</v>
      </c>
    </row>
    <row r="21" spans="1:10" x14ac:dyDescent="0.3">
      <c r="A21">
        <v>19</v>
      </c>
      <c r="B21">
        <v>308</v>
      </c>
      <c r="C21" t="b">
        <v>1</v>
      </c>
      <c r="D21">
        <v>8048</v>
      </c>
      <c r="E21">
        <v>8123</v>
      </c>
      <c r="F21">
        <v>10</v>
      </c>
      <c r="G21">
        <v>11.2</v>
      </c>
      <c r="H21">
        <v>0.89285713</v>
      </c>
      <c r="I21">
        <v>0.10714284</v>
      </c>
      <c r="J21">
        <v>0.52830184000000002</v>
      </c>
    </row>
    <row r="22" spans="1:10" x14ac:dyDescent="0.3">
      <c r="A22">
        <v>20</v>
      </c>
      <c r="B22">
        <v>324</v>
      </c>
      <c r="C22" t="b">
        <v>1</v>
      </c>
      <c r="D22">
        <v>8048</v>
      </c>
      <c r="E22">
        <v>8123</v>
      </c>
      <c r="F22">
        <v>9.6</v>
      </c>
      <c r="G22">
        <v>11.2</v>
      </c>
      <c r="H22">
        <v>0.85714290000000004</v>
      </c>
      <c r="I22">
        <v>0.14285708999999999</v>
      </c>
      <c r="J22">
        <v>0.53846156999999994</v>
      </c>
    </row>
    <row r="23" spans="1:10" x14ac:dyDescent="0.3">
      <c r="A23">
        <v>21</v>
      </c>
      <c r="B23">
        <v>340</v>
      </c>
      <c r="C23" t="b">
        <v>1</v>
      </c>
      <c r="D23">
        <v>8048</v>
      </c>
      <c r="E23">
        <v>8129</v>
      </c>
      <c r="F23">
        <v>9.1999999999999993</v>
      </c>
      <c r="G23">
        <v>10.8</v>
      </c>
      <c r="H23">
        <v>0.85185180000000005</v>
      </c>
      <c r="I23">
        <v>0.14814817999999999</v>
      </c>
      <c r="J23">
        <v>0.54</v>
      </c>
    </row>
    <row r="24" spans="1:10" x14ac:dyDescent="0.3">
      <c r="A24">
        <v>22</v>
      </c>
      <c r="B24">
        <v>355</v>
      </c>
      <c r="C24" t="b">
        <v>1</v>
      </c>
      <c r="D24">
        <v>8048</v>
      </c>
      <c r="E24">
        <v>8123</v>
      </c>
      <c r="F24">
        <v>8.8000000000000007</v>
      </c>
      <c r="G24">
        <v>10.8</v>
      </c>
      <c r="H24">
        <v>0.81481479999999995</v>
      </c>
      <c r="I24">
        <v>0.18518518</v>
      </c>
      <c r="J24">
        <v>0.55102039999999997</v>
      </c>
    </row>
    <row r="25" spans="1:10" x14ac:dyDescent="0.3">
      <c r="A25">
        <v>23</v>
      </c>
      <c r="B25">
        <v>371</v>
      </c>
      <c r="C25" t="b">
        <v>1</v>
      </c>
      <c r="D25">
        <v>8048</v>
      </c>
      <c r="E25">
        <v>8123</v>
      </c>
      <c r="F25">
        <v>8.4</v>
      </c>
      <c r="G25">
        <v>10.4</v>
      </c>
      <c r="H25">
        <v>0.80769230000000003</v>
      </c>
      <c r="I25">
        <v>0.1923077</v>
      </c>
      <c r="J25">
        <v>0.55319149999999995</v>
      </c>
    </row>
    <row r="26" spans="1:10" x14ac:dyDescent="0.3">
      <c r="A26">
        <v>24</v>
      </c>
      <c r="B26">
        <v>387</v>
      </c>
      <c r="C26" t="b">
        <v>1</v>
      </c>
      <c r="D26">
        <v>8048</v>
      </c>
      <c r="E26">
        <v>8129</v>
      </c>
      <c r="F26">
        <v>8</v>
      </c>
      <c r="G26">
        <v>10</v>
      </c>
      <c r="H26">
        <v>0.8</v>
      </c>
      <c r="I26">
        <v>0.2</v>
      </c>
      <c r="J26">
        <v>0.55555560000000004</v>
      </c>
    </row>
    <row r="27" spans="1:10" x14ac:dyDescent="0.3">
      <c r="A27">
        <v>25</v>
      </c>
      <c r="B27">
        <v>403</v>
      </c>
      <c r="C27" t="b">
        <v>1</v>
      </c>
      <c r="D27">
        <v>8048</v>
      </c>
      <c r="E27">
        <v>8123</v>
      </c>
      <c r="F27">
        <v>8</v>
      </c>
      <c r="G27">
        <v>9.6</v>
      </c>
      <c r="H27">
        <v>0.83333330000000005</v>
      </c>
      <c r="I27">
        <v>0.1666667</v>
      </c>
      <c r="J27">
        <v>0.54545456000000003</v>
      </c>
    </row>
    <row r="28" spans="1:10" x14ac:dyDescent="0.3">
      <c r="A28">
        <v>26</v>
      </c>
      <c r="B28">
        <v>419</v>
      </c>
      <c r="C28" t="b">
        <v>1</v>
      </c>
      <c r="D28">
        <v>8042</v>
      </c>
      <c r="E28">
        <v>8123</v>
      </c>
      <c r="F28">
        <v>8</v>
      </c>
      <c r="G28">
        <v>9.1999999999999993</v>
      </c>
      <c r="H28">
        <v>0.86956524999999996</v>
      </c>
      <c r="I28">
        <v>0.13043477000000001</v>
      </c>
      <c r="J28">
        <v>0.53488369999999996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8123</v>
      </c>
      <c r="F29">
        <v>8</v>
      </c>
      <c r="G29">
        <v>8.8000000000000007</v>
      </c>
      <c r="H29">
        <v>0.90909090000000004</v>
      </c>
      <c r="I29">
        <v>9.0909110000000001E-2</v>
      </c>
      <c r="J29">
        <v>0.52380954999999996</v>
      </c>
    </row>
    <row r="30" spans="1:10" x14ac:dyDescent="0.3">
      <c r="A30">
        <v>28</v>
      </c>
      <c r="B30">
        <v>451</v>
      </c>
      <c r="C30" t="b">
        <v>1</v>
      </c>
      <c r="D30">
        <v>8042</v>
      </c>
      <c r="E30">
        <v>8123</v>
      </c>
      <c r="F30">
        <v>8</v>
      </c>
      <c r="G30">
        <v>8.4</v>
      </c>
      <c r="H30">
        <v>0.95238100000000003</v>
      </c>
      <c r="I30">
        <v>4.7619003999999999E-2</v>
      </c>
      <c r="J30">
        <v>0.51219510000000001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482</v>
      </c>
      <c r="C32" t="b">
        <v>1</v>
      </c>
      <c r="D32">
        <v>8048</v>
      </c>
      <c r="E32">
        <v>8123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498</v>
      </c>
      <c r="C33" t="b">
        <v>1</v>
      </c>
      <c r="D33">
        <v>8048</v>
      </c>
      <c r="E33">
        <v>8123</v>
      </c>
      <c r="F33">
        <v>8</v>
      </c>
      <c r="G33">
        <v>8</v>
      </c>
      <c r="H33">
        <v>1</v>
      </c>
      <c r="I33">
        <v>0</v>
      </c>
      <c r="J33">
        <v>0.5</v>
      </c>
    </row>
    <row r="34" spans="1:10" x14ac:dyDescent="0.3">
      <c r="A34">
        <v>32</v>
      </c>
      <c r="B34">
        <v>514</v>
      </c>
      <c r="C34" t="b">
        <v>1</v>
      </c>
      <c r="D34">
        <v>8054</v>
      </c>
      <c r="E34">
        <v>8134</v>
      </c>
      <c r="F34">
        <v>8</v>
      </c>
      <c r="G34">
        <v>8</v>
      </c>
      <c r="H34">
        <v>1</v>
      </c>
      <c r="I34">
        <v>0</v>
      </c>
      <c r="J34">
        <v>0.5</v>
      </c>
    </row>
    <row r="35" spans="1:10" x14ac:dyDescent="0.3">
      <c r="A35">
        <v>33</v>
      </c>
      <c r="B35">
        <v>530</v>
      </c>
      <c r="C35" t="b">
        <v>1</v>
      </c>
      <c r="D35">
        <v>8054</v>
      </c>
      <c r="E35">
        <v>8129</v>
      </c>
      <c r="F35">
        <v>8</v>
      </c>
      <c r="G35">
        <v>8</v>
      </c>
      <c r="H35">
        <v>1</v>
      </c>
      <c r="I35">
        <v>0</v>
      </c>
      <c r="J35">
        <v>0.5</v>
      </c>
    </row>
    <row r="36" spans="1:10" x14ac:dyDescent="0.3">
      <c r="A36">
        <v>34</v>
      </c>
      <c r="B36">
        <v>545</v>
      </c>
      <c r="C36" t="b">
        <v>1</v>
      </c>
      <c r="D36">
        <v>8054</v>
      </c>
      <c r="E36">
        <v>8129</v>
      </c>
      <c r="F36">
        <v>8.4</v>
      </c>
      <c r="G36">
        <v>8.4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561</v>
      </c>
      <c r="C37" t="b">
        <v>1</v>
      </c>
      <c r="D37">
        <v>8054</v>
      </c>
      <c r="E37">
        <v>8129</v>
      </c>
      <c r="F37">
        <v>8.8000000000000007</v>
      </c>
      <c r="G37">
        <v>8.8000000000000007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577</v>
      </c>
      <c r="C38" t="b">
        <v>1</v>
      </c>
      <c r="D38">
        <v>8054</v>
      </c>
      <c r="E38">
        <v>8123</v>
      </c>
      <c r="F38">
        <v>9.1999999999999993</v>
      </c>
      <c r="G38">
        <v>9.1999999999999993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593</v>
      </c>
      <c r="C39" t="b">
        <v>1</v>
      </c>
      <c r="D39">
        <v>8048</v>
      </c>
      <c r="E39">
        <v>8129</v>
      </c>
      <c r="F39">
        <v>9.6</v>
      </c>
      <c r="G39">
        <v>9.6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609</v>
      </c>
      <c r="C40" t="b">
        <v>1</v>
      </c>
      <c r="D40">
        <v>8054</v>
      </c>
      <c r="E40">
        <v>8123</v>
      </c>
      <c r="F40">
        <v>10</v>
      </c>
      <c r="G40">
        <v>10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8123</v>
      </c>
      <c r="F41">
        <v>10.4</v>
      </c>
      <c r="G41">
        <v>10</v>
      </c>
      <c r="H41">
        <v>1.04</v>
      </c>
      <c r="I41">
        <v>-3.9999960000000001E-2</v>
      </c>
      <c r="J41">
        <v>0.49019607999999998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8123</v>
      </c>
      <c r="F42">
        <v>10.4</v>
      </c>
      <c r="G42">
        <v>10</v>
      </c>
      <c r="H42">
        <v>1.04</v>
      </c>
      <c r="I42">
        <v>-3.9999960000000001E-2</v>
      </c>
      <c r="J42">
        <v>0.49019607999999998</v>
      </c>
    </row>
    <row r="43" spans="1:10" x14ac:dyDescent="0.3">
      <c r="A43">
        <v>41</v>
      </c>
      <c r="B43">
        <v>656</v>
      </c>
      <c r="C43" t="b">
        <v>1</v>
      </c>
      <c r="D43">
        <v>8048</v>
      </c>
      <c r="E43">
        <v>8129</v>
      </c>
      <c r="F43">
        <v>10.4</v>
      </c>
      <c r="G43">
        <v>10</v>
      </c>
      <c r="H43">
        <v>1.04</v>
      </c>
      <c r="I43">
        <v>-3.9999960000000001E-2</v>
      </c>
      <c r="J43">
        <v>0.49019607999999998</v>
      </c>
    </row>
    <row r="44" spans="1:10" x14ac:dyDescent="0.3">
      <c r="A44">
        <v>42</v>
      </c>
      <c r="B44">
        <v>672</v>
      </c>
      <c r="C44" t="b">
        <v>1</v>
      </c>
      <c r="D44">
        <v>8042</v>
      </c>
      <c r="E44">
        <v>8129</v>
      </c>
      <c r="F44">
        <v>10.4</v>
      </c>
      <c r="G44">
        <v>10</v>
      </c>
      <c r="H44">
        <v>1.04</v>
      </c>
      <c r="I44">
        <v>-3.9999960000000001E-2</v>
      </c>
      <c r="J44">
        <v>0.49019607999999998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8134</v>
      </c>
      <c r="F45">
        <v>10.4</v>
      </c>
      <c r="G45">
        <v>10.4</v>
      </c>
      <c r="H45">
        <v>1</v>
      </c>
      <c r="I45">
        <v>0</v>
      </c>
      <c r="J45">
        <v>0.5</v>
      </c>
    </row>
    <row r="46" spans="1:10" x14ac:dyDescent="0.3">
      <c r="A46">
        <v>44</v>
      </c>
      <c r="B46">
        <v>703</v>
      </c>
      <c r="C46" t="b">
        <v>1</v>
      </c>
      <c r="D46">
        <v>8042</v>
      </c>
      <c r="E46">
        <v>8129</v>
      </c>
      <c r="F46">
        <v>10.4</v>
      </c>
      <c r="G46">
        <v>10.8</v>
      </c>
      <c r="H46">
        <v>0.96296289999999996</v>
      </c>
      <c r="I46">
        <v>3.7037090000000002E-2</v>
      </c>
      <c r="J46">
        <v>0.5094339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10.4</v>
      </c>
      <c r="G47">
        <v>11.2</v>
      </c>
      <c r="H47">
        <v>0.92857140000000005</v>
      </c>
      <c r="I47">
        <v>7.142859E-2</v>
      </c>
      <c r="J47">
        <v>0.51851857000000001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8129</v>
      </c>
      <c r="F48">
        <v>10.4</v>
      </c>
      <c r="G48">
        <v>11.6</v>
      </c>
      <c r="H48">
        <v>0.89655167000000002</v>
      </c>
      <c r="I48">
        <v>0.10344834</v>
      </c>
      <c r="J48">
        <v>0.52727276000000001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8129</v>
      </c>
      <c r="F49">
        <v>10.4</v>
      </c>
      <c r="G49">
        <v>12</v>
      </c>
      <c r="H49">
        <v>0.86666659999999995</v>
      </c>
      <c r="I49">
        <v>0.13333337000000001</v>
      </c>
      <c r="J49">
        <v>0.53571427000000005</v>
      </c>
    </row>
    <row r="50" spans="1:10" x14ac:dyDescent="0.3">
      <c r="A50">
        <v>48</v>
      </c>
      <c r="B50">
        <v>767</v>
      </c>
      <c r="C50" t="b">
        <v>1</v>
      </c>
      <c r="D50">
        <v>8048</v>
      </c>
      <c r="E50">
        <v>8123</v>
      </c>
      <c r="F50">
        <v>10.4</v>
      </c>
      <c r="G50">
        <v>12.4</v>
      </c>
      <c r="H50">
        <v>0.83870964999999997</v>
      </c>
      <c r="I50">
        <v>0.16129033000000001</v>
      </c>
      <c r="J50">
        <v>0.54385965999999997</v>
      </c>
    </row>
    <row r="51" spans="1:10" x14ac:dyDescent="0.3">
      <c r="A51">
        <v>49</v>
      </c>
      <c r="B51">
        <v>783</v>
      </c>
      <c r="C51" t="b">
        <v>1</v>
      </c>
      <c r="D51">
        <v>8048</v>
      </c>
      <c r="E51">
        <v>8123</v>
      </c>
      <c r="F51">
        <v>10</v>
      </c>
      <c r="G51">
        <v>12</v>
      </c>
      <c r="H51">
        <v>0.83333330000000005</v>
      </c>
      <c r="I51">
        <v>0.16666666999999999</v>
      </c>
      <c r="J51">
        <v>0.54545456000000003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8123</v>
      </c>
      <c r="F52">
        <v>9.6</v>
      </c>
      <c r="G52">
        <v>11.6</v>
      </c>
      <c r="H52">
        <v>0.82758622999999998</v>
      </c>
      <c r="I52">
        <v>0.17241377999999999</v>
      </c>
      <c r="J52">
        <v>0.54716980000000004</v>
      </c>
    </row>
    <row r="53" spans="1:10" x14ac:dyDescent="0.3">
      <c r="A53">
        <v>51</v>
      </c>
      <c r="B53">
        <v>815</v>
      </c>
      <c r="C53" t="b">
        <v>1</v>
      </c>
      <c r="D53">
        <v>8042</v>
      </c>
      <c r="E53">
        <v>8134</v>
      </c>
      <c r="F53">
        <v>9.1999999999999993</v>
      </c>
      <c r="G53">
        <v>11.2</v>
      </c>
      <c r="H53">
        <v>0.82142859999999995</v>
      </c>
      <c r="I53">
        <v>0.17857143</v>
      </c>
      <c r="J53">
        <v>0.54901962999999998</v>
      </c>
    </row>
    <row r="54" spans="1:10" x14ac:dyDescent="0.3">
      <c r="A54">
        <v>52</v>
      </c>
      <c r="B54">
        <v>831</v>
      </c>
      <c r="C54" t="b">
        <v>1</v>
      </c>
      <c r="D54">
        <v>8048</v>
      </c>
      <c r="E54">
        <v>8123</v>
      </c>
      <c r="F54">
        <v>8.8000000000000007</v>
      </c>
      <c r="G54">
        <v>10.8</v>
      </c>
      <c r="H54">
        <v>0.81481479999999995</v>
      </c>
      <c r="I54">
        <v>0.18518518</v>
      </c>
      <c r="J54">
        <v>0.55102039999999997</v>
      </c>
    </row>
    <row r="55" spans="1:10" x14ac:dyDescent="0.3">
      <c r="A55">
        <v>53</v>
      </c>
      <c r="B55">
        <v>847</v>
      </c>
      <c r="C55" t="b">
        <v>1</v>
      </c>
      <c r="D55">
        <v>8048</v>
      </c>
      <c r="E55">
        <v>8123</v>
      </c>
      <c r="F55">
        <v>8.4</v>
      </c>
      <c r="G55">
        <v>10.4</v>
      </c>
      <c r="H55">
        <v>0.80769230000000003</v>
      </c>
      <c r="I55">
        <v>0.1923077</v>
      </c>
      <c r="J55">
        <v>0.55319149999999995</v>
      </c>
    </row>
    <row r="56" spans="1:10" x14ac:dyDescent="0.3">
      <c r="A56">
        <v>54</v>
      </c>
      <c r="B56">
        <v>863</v>
      </c>
      <c r="C56" t="b">
        <v>1</v>
      </c>
      <c r="D56">
        <v>8048</v>
      </c>
      <c r="E56">
        <v>8123</v>
      </c>
      <c r="F56">
        <v>8</v>
      </c>
      <c r="G56">
        <v>10.4</v>
      </c>
      <c r="H56">
        <v>0.76923079999999999</v>
      </c>
      <c r="I56">
        <v>0.23076920000000001</v>
      </c>
      <c r="J56">
        <v>0.56521739999999998</v>
      </c>
    </row>
    <row r="57" spans="1:10" x14ac:dyDescent="0.3">
      <c r="A57">
        <v>55</v>
      </c>
      <c r="B57">
        <v>878</v>
      </c>
      <c r="C57" t="b">
        <v>1</v>
      </c>
      <c r="D57">
        <v>8048</v>
      </c>
      <c r="E57">
        <v>8129</v>
      </c>
      <c r="F57">
        <v>8</v>
      </c>
      <c r="G57">
        <v>10.4</v>
      </c>
      <c r="H57">
        <v>0.76923079999999999</v>
      </c>
      <c r="I57">
        <v>0.23076920000000001</v>
      </c>
      <c r="J57">
        <v>0.56521739999999998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8123</v>
      </c>
      <c r="F58">
        <v>8</v>
      </c>
      <c r="G58">
        <v>10.4</v>
      </c>
      <c r="H58">
        <v>0.76923079999999999</v>
      </c>
      <c r="I58">
        <v>0.23076920000000001</v>
      </c>
      <c r="J58">
        <v>0.56521739999999998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8129</v>
      </c>
      <c r="F59">
        <v>8</v>
      </c>
      <c r="G59">
        <v>10.4</v>
      </c>
      <c r="H59">
        <v>0.76923079999999999</v>
      </c>
      <c r="I59">
        <v>0.23076920000000001</v>
      </c>
      <c r="J59">
        <v>0.56521739999999998</v>
      </c>
    </row>
    <row r="60" spans="1:10" x14ac:dyDescent="0.3">
      <c r="A60">
        <v>58</v>
      </c>
      <c r="B60">
        <v>926</v>
      </c>
      <c r="C60" t="b">
        <v>1</v>
      </c>
      <c r="D60">
        <v>8048</v>
      </c>
      <c r="E60">
        <v>8123</v>
      </c>
      <c r="F60">
        <v>8</v>
      </c>
      <c r="G60">
        <v>10</v>
      </c>
      <c r="H60">
        <v>0.8</v>
      </c>
      <c r="I60">
        <v>0.2</v>
      </c>
      <c r="J60">
        <v>0.55555560000000004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8123</v>
      </c>
      <c r="F61">
        <v>8</v>
      </c>
      <c r="G61">
        <v>9.6</v>
      </c>
      <c r="H61">
        <v>0.83333330000000005</v>
      </c>
      <c r="I61">
        <v>0.1666667</v>
      </c>
      <c r="J61">
        <v>0.54545456000000003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8129</v>
      </c>
      <c r="F62">
        <v>8</v>
      </c>
      <c r="G62">
        <v>9.1999999999999993</v>
      </c>
      <c r="H62">
        <v>0.86956524999999996</v>
      </c>
      <c r="I62">
        <v>0.13043477000000001</v>
      </c>
      <c r="J62">
        <v>0.53488369999999996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8.8000000000000007</v>
      </c>
      <c r="H63">
        <v>0.90909090000000004</v>
      </c>
      <c r="I63">
        <v>9.0909110000000001E-2</v>
      </c>
      <c r="J63">
        <v>0.52380954999999996</v>
      </c>
    </row>
    <row r="64" spans="1:10" x14ac:dyDescent="0.3">
      <c r="A64">
        <v>62</v>
      </c>
      <c r="B64">
        <v>988</v>
      </c>
      <c r="C64" t="b">
        <v>1</v>
      </c>
      <c r="D64">
        <v>8048</v>
      </c>
      <c r="E64">
        <v>8123</v>
      </c>
      <c r="F64">
        <v>8</v>
      </c>
      <c r="G64">
        <v>8.4</v>
      </c>
      <c r="H64">
        <v>0.95238100000000003</v>
      </c>
      <c r="I64">
        <v>4.7619003999999999E-2</v>
      </c>
      <c r="J64">
        <v>0.51219510000000001</v>
      </c>
    </row>
    <row r="65" spans="1:10" x14ac:dyDescent="0.3">
      <c r="A65">
        <v>63</v>
      </c>
      <c r="B65">
        <v>1004</v>
      </c>
      <c r="C65" t="b">
        <v>1</v>
      </c>
      <c r="D65">
        <v>8048</v>
      </c>
      <c r="E65">
        <v>8123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1020</v>
      </c>
      <c r="C66" t="b">
        <v>1</v>
      </c>
      <c r="D66">
        <v>8048</v>
      </c>
      <c r="E66">
        <v>8123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1036</v>
      </c>
      <c r="C67" t="b">
        <v>1</v>
      </c>
      <c r="D67">
        <v>8048</v>
      </c>
      <c r="E67">
        <v>8123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1052</v>
      </c>
      <c r="C68" t="b">
        <v>1</v>
      </c>
      <c r="D68">
        <v>8048</v>
      </c>
      <c r="E68">
        <v>8123</v>
      </c>
      <c r="F68">
        <v>8</v>
      </c>
      <c r="G68">
        <v>8</v>
      </c>
      <c r="H68">
        <v>1</v>
      </c>
      <c r="I68">
        <v>0</v>
      </c>
      <c r="J68">
        <v>0.5</v>
      </c>
    </row>
    <row r="69" spans="1:10" x14ac:dyDescent="0.3">
      <c r="A69">
        <v>67</v>
      </c>
      <c r="B69">
        <v>1068</v>
      </c>
      <c r="C69" t="b">
        <v>1</v>
      </c>
      <c r="D69">
        <v>8048</v>
      </c>
      <c r="E69">
        <v>8129</v>
      </c>
      <c r="F69">
        <v>8</v>
      </c>
      <c r="G69">
        <v>8</v>
      </c>
      <c r="H69">
        <v>1</v>
      </c>
      <c r="I69">
        <v>0</v>
      </c>
      <c r="J69">
        <v>0.5</v>
      </c>
    </row>
    <row r="70" spans="1:10" x14ac:dyDescent="0.3">
      <c r="A70">
        <v>68</v>
      </c>
      <c r="B70">
        <v>1084</v>
      </c>
      <c r="C70" t="b">
        <v>1</v>
      </c>
      <c r="D70">
        <v>8054</v>
      </c>
      <c r="E70">
        <v>8123</v>
      </c>
      <c r="F70">
        <v>8</v>
      </c>
      <c r="G70">
        <v>8</v>
      </c>
      <c r="H70">
        <v>1</v>
      </c>
      <c r="I70">
        <v>0</v>
      </c>
      <c r="J70">
        <v>0.5</v>
      </c>
    </row>
    <row r="71" spans="1:10" x14ac:dyDescent="0.3">
      <c r="A71">
        <v>69</v>
      </c>
      <c r="B71">
        <v>1116</v>
      </c>
      <c r="C71" t="b">
        <v>1</v>
      </c>
      <c r="D71">
        <v>8048</v>
      </c>
      <c r="E71">
        <v>8123</v>
      </c>
      <c r="F71">
        <v>8</v>
      </c>
      <c r="G71">
        <v>8</v>
      </c>
      <c r="H71">
        <v>1</v>
      </c>
      <c r="I71">
        <v>0</v>
      </c>
      <c r="J71">
        <v>0.5</v>
      </c>
    </row>
    <row r="72" spans="1:10" x14ac:dyDescent="0.3">
      <c r="A72">
        <v>70</v>
      </c>
      <c r="B72">
        <v>1131</v>
      </c>
      <c r="C72" t="b">
        <v>1</v>
      </c>
      <c r="D72">
        <v>8048</v>
      </c>
      <c r="E72">
        <v>8129</v>
      </c>
      <c r="F72">
        <v>8</v>
      </c>
      <c r="G72">
        <v>8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1147</v>
      </c>
      <c r="C73" t="b">
        <v>1</v>
      </c>
      <c r="D73">
        <v>8048</v>
      </c>
      <c r="E73">
        <v>8123</v>
      </c>
      <c r="F73">
        <v>8</v>
      </c>
      <c r="G73">
        <v>8</v>
      </c>
      <c r="H73">
        <v>1</v>
      </c>
      <c r="I73">
        <v>0</v>
      </c>
      <c r="J73">
        <v>0.5</v>
      </c>
    </row>
    <row r="74" spans="1:10" x14ac:dyDescent="0.3">
      <c r="A74">
        <v>72</v>
      </c>
      <c r="B74">
        <v>1163</v>
      </c>
      <c r="C74" t="b">
        <v>1</v>
      </c>
      <c r="D74">
        <v>8048</v>
      </c>
      <c r="E74">
        <v>8123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1179</v>
      </c>
      <c r="C75" t="b">
        <v>1</v>
      </c>
      <c r="D75">
        <v>8048</v>
      </c>
      <c r="E75">
        <v>8123</v>
      </c>
      <c r="F75">
        <v>8</v>
      </c>
      <c r="G75">
        <v>8</v>
      </c>
      <c r="H75">
        <v>1</v>
      </c>
      <c r="I75">
        <v>0</v>
      </c>
      <c r="J75">
        <v>0.5</v>
      </c>
    </row>
    <row r="76" spans="1:10" x14ac:dyDescent="0.3">
      <c r="A76">
        <v>74</v>
      </c>
      <c r="B76">
        <v>1195</v>
      </c>
      <c r="C76" t="b">
        <v>1</v>
      </c>
      <c r="D76">
        <v>8048</v>
      </c>
      <c r="E76">
        <v>8123</v>
      </c>
      <c r="F76">
        <v>8</v>
      </c>
      <c r="G76">
        <v>8</v>
      </c>
      <c r="H76">
        <v>1</v>
      </c>
      <c r="I76">
        <v>0</v>
      </c>
      <c r="J76">
        <v>0.5</v>
      </c>
    </row>
    <row r="77" spans="1:10" x14ac:dyDescent="0.3">
      <c r="A77">
        <v>75</v>
      </c>
      <c r="B77">
        <v>1211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1227</v>
      </c>
      <c r="C78" t="b">
        <v>1</v>
      </c>
      <c r="D78">
        <v>8037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1242</v>
      </c>
      <c r="C79" t="b">
        <v>1</v>
      </c>
      <c r="D79">
        <v>8042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1258</v>
      </c>
      <c r="C80" t="b">
        <v>1</v>
      </c>
      <c r="D80">
        <v>8042</v>
      </c>
      <c r="E80">
        <v>8123</v>
      </c>
      <c r="F80">
        <v>7.6</v>
      </c>
      <c r="G80">
        <v>8</v>
      </c>
      <c r="H80">
        <v>0.95</v>
      </c>
      <c r="I80">
        <v>5.0000012000000003E-2</v>
      </c>
      <c r="J80">
        <v>0.51282050000000001</v>
      </c>
    </row>
    <row r="81" spans="1:10" x14ac:dyDescent="0.3">
      <c r="A81">
        <v>79</v>
      </c>
      <c r="B81">
        <v>1274</v>
      </c>
      <c r="C81" t="b">
        <v>1</v>
      </c>
      <c r="D81">
        <v>8042</v>
      </c>
      <c r="E81">
        <v>8123</v>
      </c>
      <c r="F81">
        <v>7.2</v>
      </c>
      <c r="G81">
        <v>8</v>
      </c>
      <c r="H81">
        <v>0.9</v>
      </c>
      <c r="I81">
        <v>0.10000002400000001</v>
      </c>
      <c r="J81">
        <v>0.5263158</v>
      </c>
    </row>
    <row r="82" spans="1:10" x14ac:dyDescent="0.3">
      <c r="A82">
        <v>80</v>
      </c>
      <c r="B82">
        <v>1290</v>
      </c>
      <c r="C82" t="b">
        <v>1</v>
      </c>
      <c r="D82">
        <v>8042</v>
      </c>
      <c r="E82">
        <v>8123</v>
      </c>
      <c r="F82">
        <v>6.8</v>
      </c>
      <c r="G82">
        <v>8</v>
      </c>
      <c r="H82">
        <v>0.85</v>
      </c>
      <c r="I82">
        <v>0.14999998</v>
      </c>
      <c r="J82">
        <v>0.54054049999999998</v>
      </c>
    </row>
    <row r="83" spans="1:10" x14ac:dyDescent="0.3">
      <c r="A83">
        <v>81</v>
      </c>
      <c r="B83">
        <v>1306</v>
      </c>
      <c r="C83" t="b">
        <v>1</v>
      </c>
      <c r="D83">
        <v>8042</v>
      </c>
      <c r="E83">
        <v>8129</v>
      </c>
      <c r="F83">
        <v>6.4</v>
      </c>
      <c r="G83">
        <v>8</v>
      </c>
      <c r="H83">
        <v>0.8</v>
      </c>
      <c r="I83">
        <v>0.19999998999999999</v>
      </c>
      <c r="J83">
        <v>0.55555560000000004</v>
      </c>
    </row>
    <row r="84" spans="1:10" x14ac:dyDescent="0.3">
      <c r="A84">
        <v>82</v>
      </c>
      <c r="B84">
        <v>1322</v>
      </c>
      <c r="C84" t="b">
        <v>1</v>
      </c>
      <c r="D84">
        <v>8048</v>
      </c>
      <c r="E84">
        <v>8129</v>
      </c>
      <c r="F84">
        <v>6</v>
      </c>
      <c r="G84">
        <v>8</v>
      </c>
      <c r="H84">
        <v>0.75</v>
      </c>
      <c r="I84">
        <v>0.25</v>
      </c>
      <c r="J84">
        <v>0.57142859999999995</v>
      </c>
    </row>
    <row r="85" spans="1:10" x14ac:dyDescent="0.3">
      <c r="A85">
        <v>83</v>
      </c>
      <c r="B85">
        <v>1338</v>
      </c>
      <c r="C85" t="b">
        <v>1</v>
      </c>
      <c r="D85">
        <v>8048</v>
      </c>
      <c r="E85">
        <v>8123</v>
      </c>
      <c r="F85">
        <v>5.6</v>
      </c>
      <c r="G85">
        <v>8</v>
      </c>
      <c r="H85">
        <v>0.7</v>
      </c>
      <c r="I85">
        <v>0.3</v>
      </c>
      <c r="J85">
        <v>0.58823526000000004</v>
      </c>
    </row>
    <row r="86" spans="1:10" x14ac:dyDescent="0.3">
      <c r="A86">
        <v>84</v>
      </c>
      <c r="B86">
        <v>1354</v>
      </c>
      <c r="C86" t="b">
        <v>1</v>
      </c>
      <c r="D86">
        <v>8048</v>
      </c>
      <c r="E86">
        <v>8123</v>
      </c>
      <c r="F86">
        <v>5.6</v>
      </c>
      <c r="G86">
        <v>8</v>
      </c>
      <c r="H86">
        <v>0.7</v>
      </c>
      <c r="I86">
        <v>0.3</v>
      </c>
      <c r="J86">
        <v>0.58823526000000004</v>
      </c>
    </row>
    <row r="87" spans="1:10" x14ac:dyDescent="0.3">
      <c r="A87">
        <v>85</v>
      </c>
      <c r="B87">
        <v>1370</v>
      </c>
      <c r="C87" t="b">
        <v>1</v>
      </c>
      <c r="D87">
        <v>8048</v>
      </c>
      <c r="E87">
        <v>8117</v>
      </c>
      <c r="F87">
        <v>5.6</v>
      </c>
      <c r="G87">
        <v>8</v>
      </c>
      <c r="H87">
        <v>0.7</v>
      </c>
      <c r="I87">
        <v>0.3</v>
      </c>
      <c r="J87">
        <v>0.58823526000000004</v>
      </c>
    </row>
    <row r="88" spans="1:10" x14ac:dyDescent="0.3">
      <c r="A88">
        <v>86</v>
      </c>
      <c r="B88">
        <v>1386</v>
      </c>
      <c r="C88" t="b">
        <v>1</v>
      </c>
      <c r="D88">
        <v>8048</v>
      </c>
      <c r="E88">
        <v>8117</v>
      </c>
      <c r="F88">
        <v>5.6</v>
      </c>
      <c r="G88">
        <v>8</v>
      </c>
      <c r="H88">
        <v>0.7</v>
      </c>
      <c r="I88">
        <v>0.3</v>
      </c>
      <c r="J88">
        <v>0.58823526000000004</v>
      </c>
    </row>
    <row r="89" spans="1:10" x14ac:dyDescent="0.3">
      <c r="A89">
        <v>87</v>
      </c>
      <c r="B89">
        <v>1402</v>
      </c>
      <c r="C89" t="b">
        <v>1</v>
      </c>
      <c r="D89">
        <v>8048</v>
      </c>
      <c r="E89">
        <v>8117</v>
      </c>
      <c r="F89">
        <v>5.6</v>
      </c>
      <c r="G89">
        <v>7.6</v>
      </c>
      <c r="H89">
        <v>0.73684210000000006</v>
      </c>
      <c r="I89">
        <v>0.2631579</v>
      </c>
      <c r="J89">
        <v>0.57575756</v>
      </c>
    </row>
    <row r="90" spans="1:10" x14ac:dyDescent="0.3">
      <c r="A90">
        <v>88</v>
      </c>
      <c r="B90">
        <v>1418</v>
      </c>
      <c r="C90" t="b">
        <v>1</v>
      </c>
      <c r="D90">
        <v>8048</v>
      </c>
      <c r="E90">
        <v>8117</v>
      </c>
      <c r="F90">
        <v>5.6</v>
      </c>
      <c r="G90">
        <v>7.2</v>
      </c>
      <c r="H90">
        <v>0.77777779999999996</v>
      </c>
      <c r="I90">
        <v>0.22222221</v>
      </c>
      <c r="J90">
        <v>0.5625</v>
      </c>
    </row>
    <row r="91" spans="1:10" x14ac:dyDescent="0.3">
      <c r="A91">
        <v>89</v>
      </c>
      <c r="B91">
        <v>1434</v>
      </c>
      <c r="C91" t="b">
        <v>1</v>
      </c>
      <c r="D91">
        <v>8048</v>
      </c>
      <c r="E91">
        <v>8117</v>
      </c>
      <c r="F91">
        <v>5.6</v>
      </c>
      <c r="G91">
        <v>6.8</v>
      </c>
      <c r="H91">
        <v>0.82352935999999999</v>
      </c>
      <c r="I91">
        <v>0.17647061999999999</v>
      </c>
      <c r="J91">
        <v>0.54838710000000002</v>
      </c>
    </row>
    <row r="92" spans="1:10" x14ac:dyDescent="0.3">
      <c r="A92">
        <v>90</v>
      </c>
      <c r="B92">
        <v>1450</v>
      </c>
      <c r="C92" t="b">
        <v>1</v>
      </c>
      <c r="D92">
        <v>8048</v>
      </c>
      <c r="E92">
        <v>8117</v>
      </c>
      <c r="F92">
        <v>5.6</v>
      </c>
      <c r="G92">
        <v>6.4</v>
      </c>
      <c r="H92">
        <v>0.875</v>
      </c>
      <c r="I92">
        <v>0.12500003000000001</v>
      </c>
      <c r="J92">
        <v>0.53333335999999998</v>
      </c>
    </row>
    <row r="93" spans="1:10" x14ac:dyDescent="0.3">
      <c r="A93">
        <v>91</v>
      </c>
      <c r="B93">
        <v>1466</v>
      </c>
      <c r="C93" t="b">
        <v>1</v>
      </c>
      <c r="D93">
        <v>8048</v>
      </c>
      <c r="E93">
        <v>8117</v>
      </c>
      <c r="F93">
        <v>5.6</v>
      </c>
      <c r="G93">
        <v>6</v>
      </c>
      <c r="H93">
        <v>0.93333334000000001</v>
      </c>
      <c r="I93">
        <v>6.6666685000000003E-2</v>
      </c>
      <c r="J93">
        <v>0.51724135999999998</v>
      </c>
    </row>
    <row r="94" spans="1:10" x14ac:dyDescent="0.3">
      <c r="A94">
        <v>92</v>
      </c>
      <c r="B94">
        <v>1482</v>
      </c>
      <c r="C94" t="b">
        <v>1</v>
      </c>
      <c r="D94">
        <v>8048</v>
      </c>
      <c r="E94">
        <v>8129</v>
      </c>
      <c r="F94">
        <v>5.6</v>
      </c>
      <c r="G94">
        <v>5.6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1497</v>
      </c>
      <c r="C95" t="b">
        <v>1</v>
      </c>
      <c r="D95">
        <v>8042</v>
      </c>
      <c r="E95">
        <v>8129</v>
      </c>
      <c r="F95">
        <v>6</v>
      </c>
      <c r="G95">
        <v>5.2</v>
      </c>
      <c r="H95">
        <v>1.1538461</v>
      </c>
      <c r="I95">
        <v>-0.15384618999999999</v>
      </c>
      <c r="J95">
        <v>0.46428570000000002</v>
      </c>
    </row>
    <row r="96" spans="1:10" x14ac:dyDescent="0.3">
      <c r="A96">
        <v>94</v>
      </c>
      <c r="B96">
        <v>1513</v>
      </c>
      <c r="C96" t="b">
        <v>1</v>
      </c>
      <c r="D96">
        <v>8048</v>
      </c>
      <c r="E96">
        <v>8129</v>
      </c>
      <c r="F96">
        <v>6.4</v>
      </c>
      <c r="G96">
        <v>5.6</v>
      </c>
      <c r="H96">
        <v>1.1428571999999999</v>
      </c>
      <c r="I96">
        <v>-0.14285718</v>
      </c>
      <c r="J96">
        <v>0.46666667000000001</v>
      </c>
    </row>
    <row r="97" spans="1:10" x14ac:dyDescent="0.3">
      <c r="A97">
        <v>95</v>
      </c>
      <c r="B97">
        <v>1529</v>
      </c>
      <c r="C97" t="b">
        <v>1</v>
      </c>
      <c r="D97">
        <v>8048</v>
      </c>
      <c r="E97">
        <v>8123</v>
      </c>
      <c r="F97">
        <v>6.8</v>
      </c>
      <c r="G97">
        <v>6</v>
      </c>
      <c r="H97">
        <v>1.1333333000000001</v>
      </c>
      <c r="I97">
        <v>-0.13333337000000001</v>
      </c>
      <c r="J97">
        <v>0.46875</v>
      </c>
    </row>
    <row r="98" spans="1:10" x14ac:dyDescent="0.3">
      <c r="A98">
        <v>96</v>
      </c>
      <c r="B98">
        <v>1545</v>
      </c>
      <c r="C98" t="b">
        <v>1</v>
      </c>
      <c r="D98">
        <v>8048</v>
      </c>
      <c r="E98">
        <v>8123</v>
      </c>
      <c r="F98">
        <v>7.2</v>
      </c>
      <c r="G98">
        <v>6.4</v>
      </c>
      <c r="H98">
        <v>1.125</v>
      </c>
      <c r="I98">
        <v>-0.124999955</v>
      </c>
      <c r="J98">
        <v>0.47058823999999999</v>
      </c>
    </row>
    <row r="99" spans="1:10" x14ac:dyDescent="0.3">
      <c r="A99">
        <v>97</v>
      </c>
      <c r="B99">
        <v>1561</v>
      </c>
      <c r="C99" t="b">
        <v>1</v>
      </c>
      <c r="D99">
        <v>8042</v>
      </c>
      <c r="E99">
        <v>8123</v>
      </c>
      <c r="F99">
        <v>7.6</v>
      </c>
      <c r="G99">
        <v>6.4</v>
      </c>
      <c r="H99">
        <v>1.1875</v>
      </c>
      <c r="I99">
        <v>-0.18749996999999999</v>
      </c>
      <c r="J99">
        <v>0.45714285999999998</v>
      </c>
    </row>
    <row r="100" spans="1:10" x14ac:dyDescent="0.3">
      <c r="A100">
        <v>98</v>
      </c>
      <c r="B100">
        <v>1577</v>
      </c>
      <c r="C100" t="b">
        <v>1</v>
      </c>
      <c r="D100">
        <v>8048</v>
      </c>
      <c r="E100">
        <v>8123</v>
      </c>
      <c r="F100">
        <v>8</v>
      </c>
      <c r="G100">
        <v>6.4</v>
      </c>
      <c r="H100">
        <v>1.25</v>
      </c>
      <c r="I100">
        <v>-0.24999999000000001</v>
      </c>
      <c r="J100">
        <v>0.44444447999999998</v>
      </c>
    </row>
    <row r="101" spans="1:10" x14ac:dyDescent="0.3">
      <c r="A101">
        <v>99</v>
      </c>
      <c r="B101">
        <v>1593</v>
      </c>
      <c r="C101" t="b">
        <v>1</v>
      </c>
      <c r="D101">
        <v>8048</v>
      </c>
      <c r="E101">
        <v>8129</v>
      </c>
      <c r="F101">
        <v>8</v>
      </c>
      <c r="G101">
        <v>6.4</v>
      </c>
      <c r="H101">
        <v>1.25</v>
      </c>
      <c r="I101">
        <v>-0.24999999000000001</v>
      </c>
      <c r="J101">
        <v>0.44444447999999998</v>
      </c>
    </row>
    <row r="102" spans="1:10" x14ac:dyDescent="0.3">
      <c r="A102">
        <v>100</v>
      </c>
      <c r="B102">
        <v>1609</v>
      </c>
      <c r="C102" t="b">
        <v>1</v>
      </c>
      <c r="D102">
        <v>8048</v>
      </c>
      <c r="E102">
        <v>8123</v>
      </c>
      <c r="F102">
        <v>8</v>
      </c>
      <c r="G102">
        <v>6.4</v>
      </c>
      <c r="H102">
        <v>1.25</v>
      </c>
      <c r="I102">
        <v>-0.24999999000000001</v>
      </c>
      <c r="J102">
        <v>0.44444447999999998</v>
      </c>
    </row>
    <row r="103" spans="1:10" x14ac:dyDescent="0.3">
      <c r="A103">
        <v>101</v>
      </c>
      <c r="B103">
        <v>1625</v>
      </c>
      <c r="C103" t="b">
        <v>1</v>
      </c>
      <c r="D103">
        <v>8042</v>
      </c>
      <c r="E103">
        <v>8129</v>
      </c>
      <c r="F103">
        <v>8</v>
      </c>
      <c r="G103">
        <v>6.4</v>
      </c>
      <c r="H103">
        <v>1.25</v>
      </c>
      <c r="I103">
        <v>-0.24999999000000001</v>
      </c>
      <c r="J103">
        <v>0.44444447999999998</v>
      </c>
    </row>
    <row r="104" spans="1:10" x14ac:dyDescent="0.3">
      <c r="A104">
        <v>102</v>
      </c>
      <c r="B104">
        <v>1641</v>
      </c>
      <c r="C104" t="b">
        <v>1</v>
      </c>
      <c r="D104">
        <v>8042</v>
      </c>
      <c r="E104">
        <v>8123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1656</v>
      </c>
      <c r="C105" t="b">
        <v>1</v>
      </c>
      <c r="D105">
        <v>8048</v>
      </c>
      <c r="E105">
        <v>8123</v>
      </c>
      <c r="F105">
        <v>8</v>
      </c>
      <c r="G105">
        <v>7.2</v>
      </c>
      <c r="H105">
        <v>1.1111112000000001</v>
      </c>
      <c r="I105">
        <v>-0.11111114</v>
      </c>
      <c r="J105">
        <v>0.4736842</v>
      </c>
    </row>
    <row r="106" spans="1:10" x14ac:dyDescent="0.3">
      <c r="A106">
        <v>104</v>
      </c>
      <c r="B106">
        <v>1672</v>
      </c>
      <c r="C106" t="b">
        <v>1</v>
      </c>
      <c r="D106">
        <v>8042</v>
      </c>
      <c r="E106">
        <v>8129</v>
      </c>
      <c r="F106">
        <v>7.6</v>
      </c>
      <c r="G106">
        <v>7.6</v>
      </c>
      <c r="H106">
        <v>1</v>
      </c>
      <c r="I106">
        <v>0</v>
      </c>
      <c r="J106">
        <v>0.5</v>
      </c>
    </row>
    <row r="107" spans="1:10" x14ac:dyDescent="0.3">
      <c r="A107">
        <v>105</v>
      </c>
      <c r="B107">
        <v>1688</v>
      </c>
      <c r="C107" t="b">
        <v>1</v>
      </c>
      <c r="D107">
        <v>8042</v>
      </c>
      <c r="E107">
        <v>8123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1704</v>
      </c>
      <c r="C108" t="b">
        <v>1</v>
      </c>
      <c r="D108">
        <v>8042</v>
      </c>
      <c r="E108">
        <v>8123</v>
      </c>
      <c r="F108">
        <v>6.8</v>
      </c>
      <c r="G108">
        <v>8.4</v>
      </c>
      <c r="H108">
        <v>0.80952389999999996</v>
      </c>
      <c r="I108">
        <v>0.19047612999999999</v>
      </c>
      <c r="J108">
        <v>0.55263156000000002</v>
      </c>
    </row>
    <row r="109" spans="1:10" x14ac:dyDescent="0.3">
      <c r="A109">
        <v>107</v>
      </c>
      <c r="B109">
        <v>1720</v>
      </c>
      <c r="C109" t="b">
        <v>1</v>
      </c>
      <c r="D109">
        <v>8042</v>
      </c>
      <c r="E109">
        <v>8129</v>
      </c>
      <c r="F109">
        <v>6.4</v>
      </c>
      <c r="G109">
        <v>8.8000000000000007</v>
      </c>
      <c r="H109">
        <v>0.72727275000000002</v>
      </c>
      <c r="I109">
        <v>0.27272728000000002</v>
      </c>
      <c r="J109">
        <v>0.57894736999999996</v>
      </c>
    </row>
    <row r="110" spans="1:10" x14ac:dyDescent="0.3">
      <c r="A110">
        <v>108</v>
      </c>
      <c r="B110">
        <v>1736</v>
      </c>
      <c r="C110" t="b">
        <v>1</v>
      </c>
      <c r="D110">
        <v>8054</v>
      </c>
      <c r="E110">
        <v>8123</v>
      </c>
      <c r="F110">
        <v>6</v>
      </c>
      <c r="G110">
        <v>9.1999999999999993</v>
      </c>
      <c r="H110">
        <v>0.65217393999999995</v>
      </c>
      <c r="I110">
        <v>0.34782605999999999</v>
      </c>
      <c r="J110">
        <v>0.6052632</v>
      </c>
    </row>
    <row r="111" spans="1:10" x14ac:dyDescent="0.3">
      <c r="A111">
        <v>109</v>
      </c>
      <c r="B111">
        <v>1752</v>
      </c>
      <c r="C111" t="b">
        <v>1</v>
      </c>
      <c r="D111">
        <v>8048</v>
      </c>
      <c r="E111">
        <v>8123</v>
      </c>
      <c r="F111">
        <v>5.6</v>
      </c>
      <c r="G111">
        <v>8.8000000000000007</v>
      </c>
      <c r="H111">
        <v>0.63636360000000003</v>
      </c>
      <c r="I111">
        <v>0.36363636999999999</v>
      </c>
      <c r="J111">
        <v>0.61111115999999999</v>
      </c>
    </row>
    <row r="112" spans="1:10" x14ac:dyDescent="0.3">
      <c r="A112">
        <v>110</v>
      </c>
      <c r="B112">
        <v>1768</v>
      </c>
      <c r="C112" t="b">
        <v>1</v>
      </c>
      <c r="D112">
        <v>8048</v>
      </c>
      <c r="E112">
        <v>8123</v>
      </c>
      <c r="F112">
        <v>5.6</v>
      </c>
      <c r="G112">
        <v>8.4</v>
      </c>
      <c r="H112">
        <v>0.66666669999999995</v>
      </c>
      <c r="I112">
        <v>0.3333333</v>
      </c>
      <c r="J112">
        <v>0.59999996</v>
      </c>
    </row>
    <row r="113" spans="1:10" x14ac:dyDescent="0.3">
      <c r="A113">
        <v>111</v>
      </c>
      <c r="B113">
        <v>1784</v>
      </c>
      <c r="C113" t="b">
        <v>1</v>
      </c>
      <c r="D113">
        <v>8048</v>
      </c>
      <c r="E113">
        <v>8129</v>
      </c>
      <c r="F113">
        <v>5.6</v>
      </c>
      <c r="G113">
        <v>8</v>
      </c>
      <c r="H113">
        <v>0.7</v>
      </c>
      <c r="I113">
        <v>0.3</v>
      </c>
      <c r="J113">
        <v>0.58823526000000004</v>
      </c>
    </row>
    <row r="114" spans="1:10" x14ac:dyDescent="0.3">
      <c r="A114">
        <v>112</v>
      </c>
      <c r="B114">
        <v>1800</v>
      </c>
      <c r="C114" t="b">
        <v>1</v>
      </c>
      <c r="D114">
        <v>8048</v>
      </c>
      <c r="E114">
        <v>8129</v>
      </c>
      <c r="F114">
        <v>5.6</v>
      </c>
      <c r="G114">
        <v>8</v>
      </c>
      <c r="H114">
        <v>0.7</v>
      </c>
      <c r="I114">
        <v>0.3</v>
      </c>
      <c r="J114">
        <v>0.58823526000000004</v>
      </c>
    </row>
    <row r="115" spans="1:10" x14ac:dyDescent="0.3">
      <c r="A115">
        <v>113</v>
      </c>
      <c r="B115">
        <v>1816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1832</v>
      </c>
      <c r="C116" t="b">
        <v>1</v>
      </c>
      <c r="D116">
        <v>8042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1848</v>
      </c>
      <c r="C117" t="b">
        <v>1</v>
      </c>
      <c r="D117">
        <v>8048</v>
      </c>
      <c r="E117">
        <v>8123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1864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1879</v>
      </c>
      <c r="C119" t="b">
        <v>1</v>
      </c>
      <c r="D119">
        <v>8048</v>
      </c>
      <c r="E119">
        <v>8123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1895</v>
      </c>
      <c r="C120" t="b">
        <v>1</v>
      </c>
      <c r="D120">
        <v>8048</v>
      </c>
      <c r="E120">
        <v>8129</v>
      </c>
      <c r="F120">
        <v>5.6</v>
      </c>
      <c r="G120">
        <v>8</v>
      </c>
      <c r="H120">
        <v>0.7</v>
      </c>
      <c r="I120">
        <v>0.3</v>
      </c>
      <c r="J120">
        <v>0.58823526000000004</v>
      </c>
    </row>
    <row r="121" spans="1:10" x14ac:dyDescent="0.3">
      <c r="A121">
        <v>119</v>
      </c>
      <c r="B121">
        <v>1911</v>
      </c>
      <c r="C121" t="b">
        <v>1</v>
      </c>
      <c r="D121">
        <v>8048</v>
      </c>
      <c r="E121">
        <v>8129</v>
      </c>
      <c r="F121">
        <v>6</v>
      </c>
      <c r="G121">
        <v>8</v>
      </c>
      <c r="H121">
        <v>0.75</v>
      </c>
      <c r="I121">
        <v>0.25</v>
      </c>
      <c r="J121">
        <v>0.57142859999999995</v>
      </c>
    </row>
    <row r="122" spans="1:10" x14ac:dyDescent="0.3">
      <c r="A122">
        <v>120</v>
      </c>
      <c r="B122">
        <v>1927</v>
      </c>
      <c r="C122" t="b">
        <v>1</v>
      </c>
      <c r="D122">
        <v>8048</v>
      </c>
      <c r="E122">
        <v>8123</v>
      </c>
      <c r="F122">
        <v>6.4</v>
      </c>
      <c r="G122">
        <v>8</v>
      </c>
      <c r="H122">
        <v>0.8</v>
      </c>
      <c r="I122">
        <v>0.19999998999999999</v>
      </c>
      <c r="J122">
        <v>0.55555560000000004</v>
      </c>
    </row>
    <row r="123" spans="1:10" x14ac:dyDescent="0.3">
      <c r="A123">
        <v>121</v>
      </c>
      <c r="B123">
        <v>1943</v>
      </c>
      <c r="C123" t="b">
        <v>1</v>
      </c>
      <c r="D123">
        <v>8048</v>
      </c>
      <c r="E123">
        <v>8123</v>
      </c>
      <c r="F123">
        <v>6.8</v>
      </c>
      <c r="G123">
        <v>8</v>
      </c>
      <c r="H123">
        <v>0.85</v>
      </c>
      <c r="I123">
        <v>0.14999998</v>
      </c>
      <c r="J123">
        <v>0.54054049999999998</v>
      </c>
    </row>
    <row r="124" spans="1:10" x14ac:dyDescent="0.3">
      <c r="A124">
        <v>122</v>
      </c>
      <c r="B124">
        <v>1959</v>
      </c>
      <c r="C124" t="b">
        <v>1</v>
      </c>
      <c r="D124">
        <v>8048</v>
      </c>
      <c r="E124">
        <v>8123</v>
      </c>
      <c r="F124">
        <v>7.2</v>
      </c>
      <c r="G124">
        <v>8</v>
      </c>
      <c r="H124">
        <v>0.9</v>
      </c>
      <c r="I124">
        <v>0.10000002400000001</v>
      </c>
      <c r="J124">
        <v>0.5263158</v>
      </c>
    </row>
    <row r="125" spans="1:10" x14ac:dyDescent="0.3">
      <c r="A125">
        <v>123</v>
      </c>
      <c r="B125">
        <v>1975</v>
      </c>
      <c r="C125" t="b">
        <v>1</v>
      </c>
      <c r="D125">
        <v>8054</v>
      </c>
      <c r="E125">
        <v>8129</v>
      </c>
      <c r="F125">
        <v>7.6</v>
      </c>
      <c r="G125">
        <v>8</v>
      </c>
      <c r="H125">
        <v>0.95</v>
      </c>
      <c r="I125">
        <v>5.0000012000000003E-2</v>
      </c>
      <c r="J125">
        <v>0.51282050000000001</v>
      </c>
    </row>
    <row r="126" spans="1:10" x14ac:dyDescent="0.3">
      <c r="A126">
        <v>124</v>
      </c>
      <c r="B126">
        <v>1991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2007</v>
      </c>
      <c r="C127" t="b">
        <v>1</v>
      </c>
      <c r="D127">
        <v>8048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2023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8129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8134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2134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2150</v>
      </c>
      <c r="C136" t="b">
        <v>1</v>
      </c>
      <c r="D136">
        <v>8042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2166</v>
      </c>
      <c r="C137" t="b">
        <v>1</v>
      </c>
      <c r="D137">
        <v>8048</v>
      </c>
      <c r="E137">
        <v>8117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2182</v>
      </c>
      <c r="C138" t="b">
        <v>1</v>
      </c>
      <c r="D138">
        <v>8048</v>
      </c>
      <c r="E138">
        <v>8117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2198</v>
      </c>
      <c r="C139" t="b">
        <v>1</v>
      </c>
      <c r="D139">
        <v>8048</v>
      </c>
      <c r="E139">
        <v>8117</v>
      </c>
      <c r="F139">
        <v>8</v>
      </c>
      <c r="G139">
        <v>7.6</v>
      </c>
      <c r="H139">
        <v>1.0526316</v>
      </c>
      <c r="I139">
        <v>-5.2631589999999999E-2</v>
      </c>
      <c r="J139">
        <v>0.48717946000000001</v>
      </c>
    </row>
    <row r="140" spans="1:10" x14ac:dyDescent="0.3">
      <c r="A140">
        <v>138</v>
      </c>
      <c r="B140">
        <v>2214</v>
      </c>
      <c r="C140" t="b">
        <v>1</v>
      </c>
      <c r="D140">
        <v>8048</v>
      </c>
      <c r="E140">
        <v>8123</v>
      </c>
      <c r="F140">
        <v>8</v>
      </c>
      <c r="G140">
        <v>7.2</v>
      </c>
      <c r="H140">
        <v>1.1111112000000001</v>
      </c>
      <c r="I140">
        <v>-0.11111114</v>
      </c>
      <c r="J140">
        <v>0.4736842</v>
      </c>
    </row>
    <row r="141" spans="1:10" x14ac:dyDescent="0.3">
      <c r="A141">
        <v>139</v>
      </c>
      <c r="B141">
        <v>2229</v>
      </c>
      <c r="C141" t="b">
        <v>1</v>
      </c>
      <c r="D141">
        <v>8042</v>
      </c>
      <c r="E141">
        <v>8117</v>
      </c>
      <c r="F141">
        <v>8</v>
      </c>
      <c r="G141">
        <v>6.8</v>
      </c>
      <c r="H141">
        <v>1.1764705</v>
      </c>
      <c r="I141">
        <v>-0.17647055</v>
      </c>
      <c r="J141">
        <v>0.45945944999999999</v>
      </c>
    </row>
    <row r="142" spans="1:10" x14ac:dyDescent="0.3">
      <c r="A142">
        <v>140</v>
      </c>
      <c r="B142">
        <v>2245</v>
      </c>
      <c r="C142" t="b">
        <v>1</v>
      </c>
      <c r="D142">
        <v>8042</v>
      </c>
      <c r="E142">
        <v>8123</v>
      </c>
      <c r="F142">
        <v>8</v>
      </c>
      <c r="G142">
        <v>6.4</v>
      </c>
      <c r="H142">
        <v>1.25</v>
      </c>
      <c r="I142">
        <v>-0.24999999000000001</v>
      </c>
      <c r="J142">
        <v>0.44444447999999998</v>
      </c>
    </row>
    <row r="143" spans="1:10" x14ac:dyDescent="0.3">
      <c r="A143">
        <v>141</v>
      </c>
      <c r="B143">
        <v>2261</v>
      </c>
      <c r="C143" t="b">
        <v>1</v>
      </c>
      <c r="D143">
        <v>8042</v>
      </c>
      <c r="E143">
        <v>8123</v>
      </c>
      <c r="F143">
        <v>7.6</v>
      </c>
      <c r="G143">
        <v>6.4</v>
      </c>
      <c r="H143">
        <v>1.1875</v>
      </c>
      <c r="I143">
        <v>-0.18749996999999999</v>
      </c>
      <c r="J143">
        <v>0.45714285999999998</v>
      </c>
    </row>
    <row r="144" spans="1:10" x14ac:dyDescent="0.3">
      <c r="A144">
        <v>142</v>
      </c>
      <c r="B144">
        <v>2277</v>
      </c>
      <c r="C144" t="b">
        <v>1</v>
      </c>
      <c r="D144">
        <v>8042</v>
      </c>
      <c r="E144">
        <v>8129</v>
      </c>
      <c r="F144">
        <v>7.2</v>
      </c>
      <c r="G144">
        <v>6.4</v>
      </c>
      <c r="H144">
        <v>1.125</v>
      </c>
      <c r="I144">
        <v>-0.124999955</v>
      </c>
      <c r="J144">
        <v>0.47058823999999999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6.8</v>
      </c>
      <c r="G145">
        <v>6.4</v>
      </c>
      <c r="H145">
        <v>1.0625</v>
      </c>
      <c r="I145">
        <v>-6.2500015000000006E-2</v>
      </c>
      <c r="J145">
        <v>0.48484846999999998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8123</v>
      </c>
      <c r="F146">
        <v>6.4</v>
      </c>
      <c r="G146">
        <v>6.4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2325</v>
      </c>
      <c r="C147" t="b">
        <v>1</v>
      </c>
      <c r="D147">
        <v>8042</v>
      </c>
      <c r="E147">
        <v>8123</v>
      </c>
      <c r="F147">
        <v>6</v>
      </c>
      <c r="G147">
        <v>6.4</v>
      </c>
      <c r="H147">
        <v>0.9375</v>
      </c>
      <c r="I147">
        <v>6.2500015000000006E-2</v>
      </c>
      <c r="J147">
        <v>0.51612910000000001</v>
      </c>
    </row>
    <row r="148" spans="1:10" x14ac:dyDescent="0.3">
      <c r="A148">
        <v>146</v>
      </c>
      <c r="B148">
        <v>2340</v>
      </c>
      <c r="C148" t="b">
        <v>1</v>
      </c>
      <c r="D148">
        <v>8048</v>
      </c>
      <c r="E148">
        <v>8129</v>
      </c>
      <c r="F148">
        <v>5.6</v>
      </c>
      <c r="G148">
        <v>6.4</v>
      </c>
      <c r="H148">
        <v>0.875</v>
      </c>
      <c r="I148">
        <v>0.12500003000000001</v>
      </c>
      <c r="J148">
        <v>0.53333335999999998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8123</v>
      </c>
      <c r="F149">
        <v>5.2</v>
      </c>
      <c r="G149">
        <v>6.4</v>
      </c>
      <c r="H149">
        <v>0.81249994000000003</v>
      </c>
      <c r="I149">
        <v>0.18750004000000001</v>
      </c>
      <c r="J149">
        <v>0.55172414000000003</v>
      </c>
    </row>
    <row r="150" spans="1:10" x14ac:dyDescent="0.3">
      <c r="A150">
        <v>148</v>
      </c>
      <c r="B150">
        <v>2372</v>
      </c>
      <c r="C150" t="b">
        <v>1</v>
      </c>
      <c r="D150">
        <v>8048</v>
      </c>
      <c r="E150">
        <v>8123</v>
      </c>
      <c r="F150">
        <v>5.2</v>
      </c>
      <c r="G150">
        <v>6.4</v>
      </c>
      <c r="H150">
        <v>0.81249994000000003</v>
      </c>
      <c r="I150">
        <v>0.18750004000000001</v>
      </c>
      <c r="J150">
        <v>0.55172414000000003</v>
      </c>
    </row>
    <row r="151" spans="1:10" x14ac:dyDescent="0.3">
      <c r="A151">
        <v>149</v>
      </c>
      <c r="B151">
        <v>2388</v>
      </c>
      <c r="C151" t="b">
        <v>1</v>
      </c>
      <c r="D151">
        <v>8048</v>
      </c>
      <c r="E151">
        <v>8117</v>
      </c>
      <c r="F151">
        <v>5.2</v>
      </c>
      <c r="G151">
        <v>6.4</v>
      </c>
      <c r="H151">
        <v>0.81249994000000003</v>
      </c>
      <c r="I151">
        <v>0.18750004000000001</v>
      </c>
      <c r="J151">
        <v>0.55172414000000003</v>
      </c>
    </row>
    <row r="152" spans="1:10" x14ac:dyDescent="0.3">
      <c r="A152">
        <v>150</v>
      </c>
      <c r="B152">
        <v>2404</v>
      </c>
      <c r="C152" t="b">
        <v>1</v>
      </c>
      <c r="D152">
        <v>8048</v>
      </c>
      <c r="E152">
        <v>8123</v>
      </c>
      <c r="F152">
        <v>5.2</v>
      </c>
      <c r="G152">
        <v>6.4</v>
      </c>
      <c r="H152">
        <v>0.81249994000000003</v>
      </c>
      <c r="I152">
        <v>0.18750004000000001</v>
      </c>
      <c r="J152">
        <v>0.55172414000000003</v>
      </c>
    </row>
    <row r="153" spans="1:10" x14ac:dyDescent="0.3">
      <c r="A153">
        <v>151</v>
      </c>
      <c r="B153">
        <v>2420</v>
      </c>
      <c r="C153" t="b">
        <v>1</v>
      </c>
      <c r="D153">
        <v>8048</v>
      </c>
      <c r="E153">
        <v>8123</v>
      </c>
      <c r="F153">
        <v>5.2</v>
      </c>
      <c r="G153">
        <v>6.4</v>
      </c>
      <c r="H153">
        <v>0.81249994000000003</v>
      </c>
      <c r="I153">
        <v>0.18750004000000001</v>
      </c>
      <c r="J153">
        <v>0.55172414000000003</v>
      </c>
    </row>
    <row r="154" spans="1:10" x14ac:dyDescent="0.3">
      <c r="A154">
        <v>152</v>
      </c>
      <c r="B154">
        <v>2435</v>
      </c>
      <c r="C154" t="b">
        <v>1</v>
      </c>
      <c r="D154">
        <v>8042</v>
      </c>
      <c r="E154">
        <v>8129</v>
      </c>
      <c r="F154">
        <v>5.2</v>
      </c>
      <c r="G154">
        <v>6.8</v>
      </c>
      <c r="H154">
        <v>0.76470583999999997</v>
      </c>
      <c r="I154">
        <v>0.23529416</v>
      </c>
      <c r="J154">
        <v>0.56666665999999999</v>
      </c>
    </row>
    <row r="155" spans="1:10" x14ac:dyDescent="0.3">
      <c r="A155">
        <v>153</v>
      </c>
      <c r="B155">
        <v>2451</v>
      </c>
      <c r="C155" t="b">
        <v>1</v>
      </c>
      <c r="D155">
        <v>8042</v>
      </c>
      <c r="E155">
        <v>8129</v>
      </c>
      <c r="F155">
        <v>5.2</v>
      </c>
      <c r="G155">
        <v>7.2</v>
      </c>
      <c r="H155">
        <v>0.72222220000000004</v>
      </c>
      <c r="I155">
        <v>0.27777780000000002</v>
      </c>
      <c r="J155">
        <v>0.58064514</v>
      </c>
    </row>
    <row r="156" spans="1:10" x14ac:dyDescent="0.3">
      <c r="A156">
        <v>154</v>
      </c>
      <c r="B156">
        <v>2467</v>
      </c>
      <c r="C156" t="b">
        <v>1</v>
      </c>
      <c r="D156">
        <v>8048</v>
      </c>
      <c r="E156">
        <v>8123</v>
      </c>
      <c r="F156">
        <v>5.2</v>
      </c>
      <c r="G156">
        <v>7.6</v>
      </c>
      <c r="H156">
        <v>0.68421054000000003</v>
      </c>
      <c r="I156">
        <v>0.3157895</v>
      </c>
      <c r="J156">
        <v>0.59375</v>
      </c>
    </row>
    <row r="157" spans="1:10" x14ac:dyDescent="0.3">
      <c r="A157">
        <v>155</v>
      </c>
      <c r="B157">
        <v>2483</v>
      </c>
      <c r="C157" t="b">
        <v>1</v>
      </c>
      <c r="D157">
        <v>8048</v>
      </c>
      <c r="E157">
        <v>8123</v>
      </c>
      <c r="F157">
        <v>5.2</v>
      </c>
      <c r="G157">
        <v>8</v>
      </c>
      <c r="H157">
        <v>0.65</v>
      </c>
      <c r="I157">
        <v>0.35000002000000002</v>
      </c>
      <c r="J157">
        <v>0.60606059999999995</v>
      </c>
    </row>
    <row r="158" spans="1:10" x14ac:dyDescent="0.3">
      <c r="A158">
        <v>156</v>
      </c>
      <c r="B158">
        <v>2499</v>
      </c>
      <c r="C158" t="b">
        <v>1</v>
      </c>
      <c r="D158">
        <v>8048</v>
      </c>
      <c r="E158">
        <v>8129</v>
      </c>
      <c r="F158">
        <v>5.6</v>
      </c>
      <c r="G158">
        <v>8.4</v>
      </c>
      <c r="H158">
        <v>0.66666669999999995</v>
      </c>
      <c r="I158">
        <v>0.3333333</v>
      </c>
      <c r="J158">
        <v>0.59999996</v>
      </c>
    </row>
    <row r="159" spans="1:10" x14ac:dyDescent="0.3">
      <c r="A159">
        <v>157</v>
      </c>
      <c r="B159">
        <v>2515</v>
      </c>
      <c r="C159" t="b">
        <v>1</v>
      </c>
      <c r="D159">
        <v>8048</v>
      </c>
      <c r="E159">
        <v>8129</v>
      </c>
      <c r="F159">
        <v>6</v>
      </c>
      <c r="G159">
        <v>8.8000000000000007</v>
      </c>
      <c r="H159">
        <v>0.68181820000000004</v>
      </c>
      <c r="I159">
        <v>0.31818183999999999</v>
      </c>
      <c r="J159">
        <v>0.59459459999999997</v>
      </c>
    </row>
    <row r="160" spans="1:10" x14ac:dyDescent="0.3">
      <c r="A160">
        <v>158</v>
      </c>
      <c r="B160">
        <v>2531</v>
      </c>
      <c r="C160" t="b">
        <v>1</v>
      </c>
      <c r="D160">
        <v>8048</v>
      </c>
      <c r="E160">
        <v>8129</v>
      </c>
      <c r="F160">
        <v>6.4</v>
      </c>
      <c r="G160">
        <v>9.1999999999999993</v>
      </c>
      <c r="H160">
        <v>0.69565220000000005</v>
      </c>
      <c r="I160">
        <v>0.3043478</v>
      </c>
      <c r="J160">
        <v>0.58974355000000001</v>
      </c>
    </row>
    <row r="161" spans="1:10" x14ac:dyDescent="0.3">
      <c r="A161">
        <v>159</v>
      </c>
      <c r="B161">
        <v>2547</v>
      </c>
      <c r="C161" t="b">
        <v>1</v>
      </c>
      <c r="D161">
        <v>8048</v>
      </c>
      <c r="E161">
        <v>8123</v>
      </c>
      <c r="F161">
        <v>6.8</v>
      </c>
      <c r="G161">
        <v>9.6</v>
      </c>
      <c r="H161">
        <v>0.70833330000000005</v>
      </c>
      <c r="I161">
        <v>0.2916667</v>
      </c>
      <c r="J161">
        <v>0.58536582999999998</v>
      </c>
    </row>
    <row r="162" spans="1:10" x14ac:dyDescent="0.3">
      <c r="A162">
        <v>160</v>
      </c>
      <c r="B162">
        <v>2563</v>
      </c>
      <c r="C162" t="b">
        <v>1</v>
      </c>
      <c r="D162">
        <v>8048</v>
      </c>
      <c r="E162">
        <v>8129</v>
      </c>
      <c r="F162">
        <v>7.2</v>
      </c>
      <c r="G162">
        <v>10</v>
      </c>
      <c r="H162">
        <v>0.71999997000000004</v>
      </c>
      <c r="I162">
        <v>0.28000003000000001</v>
      </c>
      <c r="J162">
        <v>0.58139529999999995</v>
      </c>
    </row>
    <row r="163" spans="1:10" x14ac:dyDescent="0.3">
      <c r="A163">
        <v>161</v>
      </c>
      <c r="B163">
        <v>2578</v>
      </c>
      <c r="C163" t="b">
        <v>1</v>
      </c>
      <c r="D163">
        <v>8048</v>
      </c>
      <c r="E163">
        <v>8123</v>
      </c>
      <c r="F163">
        <v>7.6</v>
      </c>
      <c r="G163">
        <v>10.4</v>
      </c>
      <c r="H163">
        <v>0.73076929999999996</v>
      </c>
      <c r="I163">
        <v>0.26923075000000002</v>
      </c>
      <c r="J163">
        <v>0.57777774000000004</v>
      </c>
    </row>
    <row r="164" spans="1:10" x14ac:dyDescent="0.3">
      <c r="A164">
        <v>162</v>
      </c>
      <c r="B164">
        <v>2594</v>
      </c>
      <c r="C164" t="b">
        <v>1</v>
      </c>
      <c r="D164">
        <v>8048</v>
      </c>
      <c r="E164">
        <v>8123</v>
      </c>
      <c r="F164">
        <v>8</v>
      </c>
      <c r="G164">
        <v>10.4</v>
      </c>
      <c r="H164">
        <v>0.76923079999999999</v>
      </c>
      <c r="I164">
        <v>0.23076920000000001</v>
      </c>
      <c r="J164">
        <v>0.56521739999999998</v>
      </c>
    </row>
    <row r="165" spans="1:10" x14ac:dyDescent="0.3">
      <c r="A165">
        <v>163</v>
      </c>
      <c r="B165">
        <v>2610</v>
      </c>
      <c r="C165" t="b">
        <v>1</v>
      </c>
      <c r="D165">
        <v>8048</v>
      </c>
      <c r="E165">
        <v>8123</v>
      </c>
      <c r="F165">
        <v>8</v>
      </c>
      <c r="G165">
        <v>10.4</v>
      </c>
      <c r="H165">
        <v>0.76923079999999999</v>
      </c>
      <c r="I165">
        <v>0.23076920000000001</v>
      </c>
      <c r="J165">
        <v>0.56521739999999998</v>
      </c>
    </row>
    <row r="166" spans="1:10" x14ac:dyDescent="0.3">
      <c r="A166">
        <v>164</v>
      </c>
      <c r="B166">
        <v>2626</v>
      </c>
      <c r="C166" t="b">
        <v>1</v>
      </c>
      <c r="D166">
        <v>8048</v>
      </c>
      <c r="E166">
        <v>8129</v>
      </c>
      <c r="F166">
        <v>8</v>
      </c>
      <c r="G166">
        <v>10.4</v>
      </c>
      <c r="H166">
        <v>0.76923079999999999</v>
      </c>
      <c r="I166">
        <v>0.23076920000000001</v>
      </c>
      <c r="J166">
        <v>0.56521739999999998</v>
      </c>
    </row>
    <row r="167" spans="1:10" x14ac:dyDescent="0.3">
      <c r="A167">
        <v>165</v>
      </c>
      <c r="B167">
        <v>2642</v>
      </c>
      <c r="C167" t="b">
        <v>1</v>
      </c>
      <c r="D167">
        <v>8048</v>
      </c>
      <c r="E167">
        <v>8129</v>
      </c>
      <c r="F167">
        <v>8</v>
      </c>
      <c r="G167">
        <v>10.4</v>
      </c>
      <c r="H167">
        <v>0.76923079999999999</v>
      </c>
      <c r="I167">
        <v>0.23076920000000001</v>
      </c>
      <c r="J167">
        <v>0.56521739999999998</v>
      </c>
    </row>
    <row r="168" spans="1:10" x14ac:dyDescent="0.3">
      <c r="A168">
        <v>166</v>
      </c>
      <c r="B168">
        <v>2658</v>
      </c>
      <c r="C168" t="b">
        <v>1</v>
      </c>
      <c r="D168">
        <v>8048</v>
      </c>
      <c r="E168">
        <v>8129</v>
      </c>
      <c r="F168">
        <v>8</v>
      </c>
      <c r="G168">
        <v>10.8</v>
      </c>
      <c r="H168">
        <v>0.74074070000000003</v>
      </c>
      <c r="I168">
        <v>0.25925927999999998</v>
      </c>
      <c r="J168">
        <v>0.57446814000000002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8134</v>
      </c>
      <c r="F169">
        <v>8</v>
      </c>
      <c r="G169">
        <v>11.2</v>
      </c>
      <c r="H169">
        <v>0.71428572999999995</v>
      </c>
      <c r="I169">
        <v>0.28571426999999999</v>
      </c>
      <c r="J169">
        <v>0.58333330000000005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8123</v>
      </c>
      <c r="F170">
        <v>8</v>
      </c>
      <c r="G170">
        <v>11.6</v>
      </c>
      <c r="H170">
        <v>0.68965509999999997</v>
      </c>
      <c r="I170">
        <v>0.31034485000000001</v>
      </c>
      <c r="J170">
        <v>0.59183675000000002</v>
      </c>
    </row>
    <row r="171" spans="1:10" x14ac:dyDescent="0.3">
      <c r="A171">
        <v>169</v>
      </c>
      <c r="B171">
        <v>2705</v>
      </c>
      <c r="C171" t="b">
        <v>1</v>
      </c>
      <c r="D171">
        <v>8048</v>
      </c>
      <c r="E171">
        <v>8123</v>
      </c>
      <c r="F171">
        <v>8</v>
      </c>
      <c r="G171">
        <v>12</v>
      </c>
      <c r="H171">
        <v>0.66666669999999995</v>
      </c>
      <c r="I171">
        <v>0.33333333999999998</v>
      </c>
      <c r="J171">
        <v>0.6</v>
      </c>
    </row>
    <row r="172" spans="1:10" x14ac:dyDescent="0.3">
      <c r="A172">
        <v>170</v>
      </c>
      <c r="B172">
        <v>2721</v>
      </c>
      <c r="C172" t="b">
        <v>1</v>
      </c>
      <c r="D172">
        <v>8042</v>
      </c>
      <c r="E172">
        <v>8129</v>
      </c>
      <c r="F172">
        <v>8</v>
      </c>
      <c r="G172">
        <v>12.4</v>
      </c>
      <c r="H172">
        <v>0.64516132999999998</v>
      </c>
      <c r="I172">
        <v>0.35483870000000001</v>
      </c>
      <c r="J172">
        <v>0.60784309999999997</v>
      </c>
    </row>
    <row r="173" spans="1:10" x14ac:dyDescent="0.3">
      <c r="A173">
        <v>171</v>
      </c>
      <c r="B173">
        <v>2737</v>
      </c>
      <c r="C173" t="b">
        <v>1</v>
      </c>
      <c r="D173">
        <v>8048</v>
      </c>
      <c r="E173">
        <v>8123</v>
      </c>
      <c r="F173">
        <v>8</v>
      </c>
      <c r="G173">
        <v>12</v>
      </c>
      <c r="H173">
        <v>0.66666669999999995</v>
      </c>
      <c r="I173">
        <v>0.33333333999999998</v>
      </c>
      <c r="J173">
        <v>0.6</v>
      </c>
    </row>
    <row r="174" spans="1:10" x14ac:dyDescent="0.3">
      <c r="A174">
        <v>172</v>
      </c>
      <c r="B174">
        <v>2752</v>
      </c>
      <c r="C174" t="b">
        <v>1</v>
      </c>
      <c r="D174">
        <v>8048</v>
      </c>
      <c r="E174">
        <v>8123</v>
      </c>
      <c r="F174">
        <v>8</v>
      </c>
      <c r="G174">
        <v>11.6</v>
      </c>
      <c r="H174">
        <v>0.68965509999999997</v>
      </c>
      <c r="I174">
        <v>0.31034485000000001</v>
      </c>
      <c r="J174">
        <v>0.59183675000000002</v>
      </c>
    </row>
    <row r="175" spans="1:10" x14ac:dyDescent="0.3">
      <c r="A175">
        <v>173</v>
      </c>
      <c r="B175">
        <v>2768</v>
      </c>
      <c r="C175" t="b">
        <v>1</v>
      </c>
      <c r="D175">
        <v>8048</v>
      </c>
      <c r="E175">
        <v>8123</v>
      </c>
      <c r="F175">
        <v>8</v>
      </c>
      <c r="G175">
        <v>11.2</v>
      </c>
      <c r="H175">
        <v>0.71428572999999995</v>
      </c>
      <c r="I175">
        <v>0.28571426999999999</v>
      </c>
      <c r="J175">
        <v>0.58333330000000005</v>
      </c>
    </row>
    <row r="176" spans="1:10" x14ac:dyDescent="0.3">
      <c r="A176">
        <v>174</v>
      </c>
      <c r="B176">
        <v>2784</v>
      </c>
      <c r="C176" t="b">
        <v>1</v>
      </c>
      <c r="D176">
        <v>8048</v>
      </c>
      <c r="E176">
        <v>8123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2800</v>
      </c>
      <c r="C177" t="b">
        <v>1</v>
      </c>
      <c r="D177">
        <v>8048</v>
      </c>
      <c r="E177">
        <v>8123</v>
      </c>
      <c r="F177">
        <v>8</v>
      </c>
      <c r="G177">
        <v>10.4</v>
      </c>
      <c r="H177">
        <v>0.76923079999999999</v>
      </c>
      <c r="I177">
        <v>0.23076920000000001</v>
      </c>
      <c r="J177">
        <v>0.56521739999999998</v>
      </c>
    </row>
    <row r="178" spans="1:10" x14ac:dyDescent="0.3">
      <c r="A178">
        <v>176</v>
      </c>
      <c r="B178">
        <v>2816</v>
      </c>
      <c r="C178" t="b">
        <v>1</v>
      </c>
      <c r="D178">
        <v>8048</v>
      </c>
      <c r="E178">
        <v>8123</v>
      </c>
      <c r="F178">
        <v>8</v>
      </c>
      <c r="G178">
        <v>10</v>
      </c>
      <c r="H178">
        <v>0.8</v>
      </c>
      <c r="I178">
        <v>0.2</v>
      </c>
      <c r="J178">
        <v>0.55555560000000004</v>
      </c>
    </row>
    <row r="179" spans="1:10" x14ac:dyDescent="0.3">
      <c r="A179">
        <v>177</v>
      </c>
      <c r="B179">
        <v>2831</v>
      </c>
      <c r="C179" t="b">
        <v>1</v>
      </c>
      <c r="D179">
        <v>8048</v>
      </c>
      <c r="E179">
        <v>8123</v>
      </c>
      <c r="F179">
        <v>8</v>
      </c>
      <c r="G179">
        <v>10</v>
      </c>
      <c r="H179">
        <v>0.8</v>
      </c>
      <c r="I179">
        <v>0.2</v>
      </c>
      <c r="J179">
        <v>0.55555560000000004</v>
      </c>
    </row>
    <row r="180" spans="1:10" x14ac:dyDescent="0.3">
      <c r="A180">
        <v>178</v>
      </c>
      <c r="B180">
        <v>2847</v>
      </c>
      <c r="C180" t="b">
        <v>1</v>
      </c>
      <c r="D180">
        <v>8037</v>
      </c>
      <c r="E180">
        <v>8123</v>
      </c>
      <c r="F180">
        <v>8</v>
      </c>
      <c r="G180">
        <v>10</v>
      </c>
      <c r="H180">
        <v>0.8</v>
      </c>
      <c r="I180">
        <v>0.2</v>
      </c>
      <c r="J180">
        <v>0.55555560000000004</v>
      </c>
    </row>
    <row r="181" spans="1:10" x14ac:dyDescent="0.3">
      <c r="A181">
        <v>179</v>
      </c>
      <c r="B181">
        <v>2863</v>
      </c>
      <c r="C181" t="b">
        <v>1</v>
      </c>
      <c r="D181">
        <v>8037</v>
      </c>
      <c r="E181">
        <v>8123</v>
      </c>
      <c r="F181">
        <v>8</v>
      </c>
      <c r="G181">
        <v>10</v>
      </c>
      <c r="H181">
        <v>0.8</v>
      </c>
      <c r="I181">
        <v>0.2</v>
      </c>
      <c r="J181">
        <v>0.55555560000000004</v>
      </c>
    </row>
    <row r="182" spans="1:10" x14ac:dyDescent="0.3">
      <c r="A182">
        <v>180</v>
      </c>
      <c r="B182">
        <v>2879</v>
      </c>
      <c r="C182" t="b">
        <v>1</v>
      </c>
      <c r="D182">
        <v>8042</v>
      </c>
      <c r="E182">
        <v>8123</v>
      </c>
      <c r="F182">
        <v>7.6</v>
      </c>
      <c r="G182">
        <v>10</v>
      </c>
      <c r="H182">
        <v>0.76</v>
      </c>
      <c r="I182">
        <v>0.24000001000000001</v>
      </c>
      <c r="J182">
        <v>0.56818179999999996</v>
      </c>
    </row>
    <row r="183" spans="1:10" x14ac:dyDescent="0.3">
      <c r="A183">
        <v>181</v>
      </c>
      <c r="B183">
        <v>2894</v>
      </c>
      <c r="C183" t="b">
        <v>1</v>
      </c>
      <c r="D183">
        <v>8042</v>
      </c>
      <c r="E183">
        <v>8129</v>
      </c>
      <c r="F183">
        <v>7.2</v>
      </c>
      <c r="G183">
        <v>9.6</v>
      </c>
      <c r="H183">
        <v>0.74999994000000003</v>
      </c>
      <c r="I183">
        <v>0.25000006000000002</v>
      </c>
      <c r="J183">
        <v>0.57142859999999995</v>
      </c>
    </row>
    <row r="184" spans="1:10" x14ac:dyDescent="0.3">
      <c r="A184">
        <v>182</v>
      </c>
      <c r="B184">
        <v>2910</v>
      </c>
      <c r="C184" t="b">
        <v>1</v>
      </c>
      <c r="D184">
        <v>8042</v>
      </c>
      <c r="E184">
        <v>8123</v>
      </c>
      <c r="F184">
        <v>6.8</v>
      </c>
      <c r="G184">
        <v>9.1999999999999993</v>
      </c>
      <c r="H184">
        <v>0.73913050000000002</v>
      </c>
      <c r="I184">
        <v>0.26086953000000002</v>
      </c>
      <c r="J184">
        <v>0.57499999999999996</v>
      </c>
    </row>
    <row r="185" spans="1:10" x14ac:dyDescent="0.3">
      <c r="A185">
        <v>183</v>
      </c>
      <c r="B185">
        <v>2925</v>
      </c>
      <c r="C185" t="b">
        <v>1</v>
      </c>
      <c r="D185">
        <v>8042</v>
      </c>
      <c r="E185">
        <v>8123</v>
      </c>
      <c r="F185">
        <v>6.4</v>
      </c>
      <c r="G185">
        <v>8.8000000000000007</v>
      </c>
      <c r="H185">
        <v>0.72727275000000002</v>
      </c>
      <c r="I185">
        <v>0.27272728000000002</v>
      </c>
      <c r="J185">
        <v>0.57894736999999996</v>
      </c>
    </row>
    <row r="186" spans="1:10" x14ac:dyDescent="0.3">
      <c r="A186">
        <v>184</v>
      </c>
      <c r="B186">
        <v>2942</v>
      </c>
      <c r="C186" t="b">
        <v>1</v>
      </c>
      <c r="D186">
        <v>8048</v>
      </c>
      <c r="E186">
        <v>8129</v>
      </c>
      <c r="F186">
        <v>6</v>
      </c>
      <c r="G186">
        <v>8.4</v>
      </c>
      <c r="H186">
        <v>0.71428572999999995</v>
      </c>
      <c r="I186">
        <v>0.28571424000000001</v>
      </c>
      <c r="J186">
        <v>0.58333330000000005</v>
      </c>
    </row>
    <row r="187" spans="1:10" x14ac:dyDescent="0.3">
      <c r="A187">
        <v>185</v>
      </c>
      <c r="B187">
        <v>2957</v>
      </c>
      <c r="C187" t="b">
        <v>1</v>
      </c>
      <c r="D187">
        <v>8048</v>
      </c>
      <c r="E187">
        <v>8123</v>
      </c>
      <c r="F187">
        <v>5.6</v>
      </c>
      <c r="G187">
        <v>8</v>
      </c>
      <c r="H187">
        <v>0.7</v>
      </c>
      <c r="I187">
        <v>0.3</v>
      </c>
      <c r="J187">
        <v>0.58823526000000004</v>
      </c>
    </row>
    <row r="188" spans="1:10" x14ac:dyDescent="0.3">
      <c r="A188">
        <v>186</v>
      </c>
      <c r="B188">
        <v>2973</v>
      </c>
      <c r="C188" t="b">
        <v>1</v>
      </c>
      <c r="D188">
        <v>8048</v>
      </c>
      <c r="E188">
        <v>8123</v>
      </c>
      <c r="F188">
        <v>5.6</v>
      </c>
      <c r="G188">
        <v>8</v>
      </c>
      <c r="H188">
        <v>0.7</v>
      </c>
      <c r="I188">
        <v>0.3</v>
      </c>
      <c r="J188">
        <v>0.58823526000000004</v>
      </c>
    </row>
    <row r="189" spans="1:10" x14ac:dyDescent="0.3">
      <c r="A189">
        <v>187</v>
      </c>
      <c r="B189">
        <v>2989</v>
      </c>
      <c r="C189" t="b">
        <v>1</v>
      </c>
      <c r="D189">
        <v>8048</v>
      </c>
      <c r="E189">
        <v>8123</v>
      </c>
      <c r="F189">
        <v>5.6</v>
      </c>
      <c r="G189">
        <v>8</v>
      </c>
      <c r="H189">
        <v>0.7</v>
      </c>
      <c r="I189">
        <v>0.3</v>
      </c>
      <c r="J189">
        <v>0.58823526000000004</v>
      </c>
    </row>
    <row r="190" spans="1:10" x14ac:dyDescent="0.3">
      <c r="A190">
        <v>188</v>
      </c>
      <c r="B190">
        <v>3005</v>
      </c>
      <c r="C190" t="b">
        <v>1</v>
      </c>
      <c r="D190">
        <v>8048</v>
      </c>
      <c r="E190">
        <v>8123</v>
      </c>
      <c r="F190">
        <v>5.6</v>
      </c>
      <c r="G190">
        <v>8</v>
      </c>
      <c r="H190">
        <v>0.7</v>
      </c>
      <c r="I190">
        <v>0.3</v>
      </c>
      <c r="J190">
        <v>0.58823526000000004</v>
      </c>
    </row>
    <row r="191" spans="1:10" x14ac:dyDescent="0.3">
      <c r="A191">
        <v>189</v>
      </c>
      <c r="B191">
        <v>3021</v>
      </c>
      <c r="C191" t="b">
        <v>1</v>
      </c>
      <c r="D191">
        <v>8048</v>
      </c>
      <c r="E191">
        <v>8129</v>
      </c>
      <c r="F191">
        <v>5.6</v>
      </c>
      <c r="G191">
        <v>8</v>
      </c>
      <c r="H191">
        <v>0.7</v>
      </c>
      <c r="I191">
        <v>0.3</v>
      </c>
      <c r="J191">
        <v>0.58823526000000004</v>
      </c>
    </row>
    <row r="192" spans="1:10" x14ac:dyDescent="0.3">
      <c r="A192">
        <v>190</v>
      </c>
      <c r="B192">
        <v>3037</v>
      </c>
      <c r="C192" t="b">
        <v>1</v>
      </c>
      <c r="D192">
        <v>8048</v>
      </c>
      <c r="E192">
        <v>8123</v>
      </c>
      <c r="F192">
        <v>5.6</v>
      </c>
      <c r="G192">
        <v>8</v>
      </c>
      <c r="H192">
        <v>0.7</v>
      </c>
      <c r="I192">
        <v>0.3</v>
      </c>
      <c r="J192">
        <v>0.58823526000000004</v>
      </c>
    </row>
    <row r="193" spans="1:10" x14ac:dyDescent="0.3">
      <c r="A193">
        <v>191</v>
      </c>
      <c r="B193">
        <v>3052</v>
      </c>
      <c r="C193" t="b">
        <v>1</v>
      </c>
      <c r="D193">
        <v>8048</v>
      </c>
      <c r="E193">
        <v>8123</v>
      </c>
      <c r="F193">
        <v>5.6</v>
      </c>
      <c r="G193">
        <v>8</v>
      </c>
      <c r="H193">
        <v>0.7</v>
      </c>
      <c r="I193">
        <v>0.3</v>
      </c>
      <c r="J193">
        <v>0.58823526000000004</v>
      </c>
    </row>
    <row r="194" spans="1:10" x14ac:dyDescent="0.3">
      <c r="A194">
        <v>192</v>
      </c>
      <c r="B194">
        <v>3067</v>
      </c>
      <c r="C194" t="b">
        <v>1</v>
      </c>
      <c r="D194">
        <v>8054</v>
      </c>
      <c r="E194">
        <v>8123</v>
      </c>
      <c r="F194">
        <v>5.6</v>
      </c>
      <c r="G194">
        <v>8</v>
      </c>
      <c r="H194">
        <v>0.7</v>
      </c>
      <c r="I194">
        <v>0.3</v>
      </c>
      <c r="J194">
        <v>0.58823526000000004</v>
      </c>
    </row>
    <row r="195" spans="1:10" x14ac:dyDescent="0.3">
      <c r="A195">
        <v>193</v>
      </c>
      <c r="B195">
        <v>3083</v>
      </c>
      <c r="C195" t="b">
        <v>1</v>
      </c>
      <c r="D195">
        <v>8048</v>
      </c>
      <c r="E195">
        <v>8129</v>
      </c>
      <c r="F195">
        <v>5.6</v>
      </c>
      <c r="G195">
        <v>8</v>
      </c>
      <c r="H195">
        <v>0.7</v>
      </c>
      <c r="I195">
        <v>0.3</v>
      </c>
      <c r="J195">
        <v>0.58823526000000004</v>
      </c>
    </row>
    <row r="196" spans="1:10" x14ac:dyDescent="0.3">
      <c r="A196">
        <v>194</v>
      </c>
      <c r="B196">
        <v>3099</v>
      </c>
      <c r="C196" t="b">
        <v>1</v>
      </c>
      <c r="D196">
        <v>8048</v>
      </c>
      <c r="E196">
        <v>8123</v>
      </c>
      <c r="F196">
        <v>5.6</v>
      </c>
      <c r="G196">
        <v>8</v>
      </c>
      <c r="H196">
        <v>0.7</v>
      </c>
      <c r="I196">
        <v>0.3</v>
      </c>
      <c r="J196">
        <v>0.58823526000000004</v>
      </c>
    </row>
    <row r="197" spans="1:10" x14ac:dyDescent="0.3">
      <c r="A197">
        <v>195</v>
      </c>
      <c r="B197">
        <v>3115</v>
      </c>
      <c r="C197" t="b">
        <v>1</v>
      </c>
      <c r="D197">
        <v>8054</v>
      </c>
      <c r="E197">
        <v>8123</v>
      </c>
      <c r="F197">
        <v>6</v>
      </c>
      <c r="G197">
        <v>8</v>
      </c>
      <c r="H197">
        <v>0.75</v>
      </c>
      <c r="I197">
        <v>0.25</v>
      </c>
      <c r="J197">
        <v>0.57142859999999995</v>
      </c>
    </row>
    <row r="198" spans="1:10" x14ac:dyDescent="0.3">
      <c r="A198">
        <v>196</v>
      </c>
      <c r="B198">
        <v>3130</v>
      </c>
      <c r="C198" t="b">
        <v>1</v>
      </c>
      <c r="D198">
        <v>8054</v>
      </c>
      <c r="E198">
        <v>8123</v>
      </c>
      <c r="F198">
        <v>6.8</v>
      </c>
      <c r="G198">
        <v>8</v>
      </c>
      <c r="H198">
        <v>0.85</v>
      </c>
      <c r="I198">
        <v>0.14999998</v>
      </c>
      <c r="J198">
        <v>0.54054049999999998</v>
      </c>
    </row>
    <row r="199" spans="1:10" x14ac:dyDescent="0.3">
      <c r="A199">
        <v>197</v>
      </c>
      <c r="B199">
        <v>3146</v>
      </c>
      <c r="C199" t="b">
        <v>1</v>
      </c>
      <c r="D199">
        <v>8048</v>
      </c>
      <c r="E199">
        <v>8123</v>
      </c>
      <c r="F199">
        <v>7.2</v>
      </c>
      <c r="G199">
        <v>8</v>
      </c>
      <c r="H199">
        <v>0.9</v>
      </c>
      <c r="I199">
        <v>0.10000002400000001</v>
      </c>
      <c r="J199">
        <v>0.5263158</v>
      </c>
    </row>
    <row r="200" spans="1:10" x14ac:dyDescent="0.3">
      <c r="A200">
        <v>198</v>
      </c>
      <c r="B200">
        <v>3162</v>
      </c>
      <c r="C200" t="b">
        <v>1</v>
      </c>
      <c r="D200">
        <v>8048</v>
      </c>
      <c r="E200">
        <v>8129</v>
      </c>
      <c r="F200">
        <v>7.6</v>
      </c>
      <c r="G200">
        <v>8</v>
      </c>
      <c r="H200">
        <v>0.95</v>
      </c>
      <c r="I200">
        <v>5.0000012000000003E-2</v>
      </c>
      <c r="J200">
        <v>0.51282050000000001</v>
      </c>
    </row>
    <row r="201" spans="1:10" x14ac:dyDescent="0.3">
      <c r="A201">
        <v>199</v>
      </c>
      <c r="B201">
        <v>3178</v>
      </c>
      <c r="C201" t="b">
        <v>1</v>
      </c>
      <c r="D201">
        <v>8048</v>
      </c>
      <c r="E201">
        <v>8129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3193</v>
      </c>
      <c r="C202" t="b">
        <v>1</v>
      </c>
      <c r="D202">
        <v>8048</v>
      </c>
      <c r="E202">
        <v>8134</v>
      </c>
      <c r="F202">
        <v>8.4</v>
      </c>
      <c r="G202">
        <v>8.4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3209</v>
      </c>
      <c r="C203" t="b">
        <v>1</v>
      </c>
      <c r="D203">
        <v>8048</v>
      </c>
      <c r="E203">
        <v>8123</v>
      </c>
      <c r="F203">
        <v>8.4</v>
      </c>
      <c r="G203">
        <v>8.8000000000000007</v>
      </c>
      <c r="H203">
        <v>0.95454539999999999</v>
      </c>
      <c r="I203">
        <v>4.5454609999999999E-2</v>
      </c>
      <c r="J203">
        <v>0.51162790000000002</v>
      </c>
    </row>
    <row r="204" spans="1:10" x14ac:dyDescent="0.3">
      <c r="A204">
        <v>202</v>
      </c>
      <c r="B204">
        <v>3225</v>
      </c>
      <c r="C204" t="b">
        <v>1</v>
      </c>
      <c r="D204">
        <v>8048</v>
      </c>
      <c r="E204">
        <v>8129</v>
      </c>
      <c r="F204">
        <v>8.4</v>
      </c>
      <c r="G204">
        <v>9.1999999999999993</v>
      </c>
      <c r="H204">
        <v>0.91304344000000004</v>
      </c>
      <c r="I204">
        <v>8.6956545999999996E-2</v>
      </c>
      <c r="J204">
        <v>0.52272730000000001</v>
      </c>
    </row>
    <row r="205" spans="1:10" x14ac:dyDescent="0.3">
      <c r="A205">
        <v>203</v>
      </c>
      <c r="B205">
        <v>3241</v>
      </c>
      <c r="C205" t="b">
        <v>1</v>
      </c>
      <c r="D205">
        <v>8048</v>
      </c>
      <c r="E205">
        <v>8117</v>
      </c>
      <c r="F205">
        <v>8.4</v>
      </c>
      <c r="G205">
        <v>9.6</v>
      </c>
      <c r="H205">
        <v>0.87499994000000003</v>
      </c>
      <c r="I205">
        <v>0.12500006999999999</v>
      </c>
      <c r="J205">
        <v>0.53333335999999998</v>
      </c>
    </row>
    <row r="206" spans="1:10" x14ac:dyDescent="0.3">
      <c r="A206">
        <v>204</v>
      </c>
      <c r="B206">
        <v>3256</v>
      </c>
      <c r="C206" t="b">
        <v>1</v>
      </c>
      <c r="D206">
        <v>8042</v>
      </c>
      <c r="E206">
        <v>8123</v>
      </c>
      <c r="F206">
        <v>8.4</v>
      </c>
      <c r="G206">
        <v>9.6</v>
      </c>
      <c r="H206">
        <v>0.87499994000000003</v>
      </c>
      <c r="I206">
        <v>0.12500006999999999</v>
      </c>
      <c r="J206">
        <v>0.53333335999999998</v>
      </c>
    </row>
    <row r="207" spans="1:10" x14ac:dyDescent="0.3">
      <c r="A207">
        <v>205</v>
      </c>
      <c r="B207">
        <v>3272</v>
      </c>
      <c r="C207" t="b">
        <v>1</v>
      </c>
      <c r="D207">
        <v>8048</v>
      </c>
      <c r="E207">
        <v>8123</v>
      </c>
      <c r="F207">
        <v>8.4</v>
      </c>
      <c r="G207">
        <v>9.6</v>
      </c>
      <c r="H207">
        <v>0.87499994000000003</v>
      </c>
      <c r="I207">
        <v>0.12500006999999999</v>
      </c>
      <c r="J207">
        <v>0.53333335999999998</v>
      </c>
    </row>
    <row r="208" spans="1:10" x14ac:dyDescent="0.3">
      <c r="A208">
        <v>206</v>
      </c>
      <c r="B208">
        <v>3288</v>
      </c>
      <c r="C208" t="b">
        <v>1</v>
      </c>
      <c r="D208">
        <v>8042</v>
      </c>
      <c r="E208">
        <v>8123</v>
      </c>
      <c r="F208">
        <v>8.4</v>
      </c>
      <c r="G208">
        <v>9.6</v>
      </c>
      <c r="H208">
        <v>0.87499994000000003</v>
      </c>
      <c r="I208">
        <v>0.12500006999999999</v>
      </c>
      <c r="J208">
        <v>0.53333335999999998</v>
      </c>
    </row>
    <row r="209" spans="1:10" x14ac:dyDescent="0.3">
      <c r="A209">
        <v>207</v>
      </c>
      <c r="B209">
        <v>3303</v>
      </c>
      <c r="C209" t="b">
        <v>1</v>
      </c>
      <c r="D209">
        <v>8048</v>
      </c>
      <c r="E209">
        <v>8123</v>
      </c>
      <c r="F209">
        <v>8.4</v>
      </c>
      <c r="G209">
        <v>9.6</v>
      </c>
      <c r="H209">
        <v>0.87499994000000003</v>
      </c>
      <c r="I209">
        <v>0.12500006999999999</v>
      </c>
      <c r="J209">
        <v>0.53333335999999998</v>
      </c>
    </row>
    <row r="210" spans="1:10" x14ac:dyDescent="0.3">
      <c r="A210">
        <v>208</v>
      </c>
      <c r="B210">
        <v>3319</v>
      </c>
      <c r="C210" t="b">
        <v>1</v>
      </c>
      <c r="D210">
        <v>8042</v>
      </c>
      <c r="E210">
        <v>8123</v>
      </c>
      <c r="F210">
        <v>8</v>
      </c>
      <c r="G210">
        <v>9.6</v>
      </c>
      <c r="H210">
        <v>0.83333330000000005</v>
      </c>
      <c r="I210">
        <v>0.1666667</v>
      </c>
      <c r="J210">
        <v>0.54545456000000003</v>
      </c>
    </row>
    <row r="211" spans="1:10" x14ac:dyDescent="0.3">
      <c r="A211">
        <v>209</v>
      </c>
      <c r="B211">
        <v>3335</v>
      </c>
      <c r="C211" t="b">
        <v>1</v>
      </c>
      <c r="D211">
        <v>8048</v>
      </c>
      <c r="E211">
        <v>8123</v>
      </c>
      <c r="F211">
        <v>8</v>
      </c>
      <c r="G211">
        <v>9.6</v>
      </c>
      <c r="H211">
        <v>0.83333330000000005</v>
      </c>
      <c r="I211">
        <v>0.1666667</v>
      </c>
      <c r="J211">
        <v>0.54545456000000003</v>
      </c>
    </row>
    <row r="212" spans="1:10" x14ac:dyDescent="0.3">
      <c r="A212">
        <v>210</v>
      </c>
      <c r="B212">
        <v>3351</v>
      </c>
      <c r="C212" t="b">
        <v>1</v>
      </c>
      <c r="D212">
        <v>8048</v>
      </c>
      <c r="E212">
        <v>8123</v>
      </c>
      <c r="F212">
        <v>8</v>
      </c>
      <c r="G212">
        <v>9.6</v>
      </c>
      <c r="H212">
        <v>0.83333330000000005</v>
      </c>
      <c r="I212">
        <v>0.1666667</v>
      </c>
      <c r="J212">
        <v>0.54545456000000003</v>
      </c>
    </row>
    <row r="213" spans="1:10" x14ac:dyDescent="0.3">
      <c r="A213">
        <v>211</v>
      </c>
      <c r="B213">
        <v>3367</v>
      </c>
      <c r="C213" t="b">
        <v>1</v>
      </c>
      <c r="D213">
        <v>8048</v>
      </c>
      <c r="E213">
        <v>8117</v>
      </c>
      <c r="F213">
        <v>7.6</v>
      </c>
      <c r="G213">
        <v>9.6</v>
      </c>
      <c r="H213">
        <v>0.7916666</v>
      </c>
      <c r="I213">
        <v>0.20833336999999999</v>
      </c>
      <c r="J213">
        <v>0.55813950000000001</v>
      </c>
    </row>
    <row r="214" spans="1:10" x14ac:dyDescent="0.3">
      <c r="A214">
        <v>212</v>
      </c>
      <c r="B214">
        <v>3382</v>
      </c>
      <c r="C214" t="b">
        <v>1</v>
      </c>
      <c r="D214">
        <v>8048</v>
      </c>
      <c r="E214">
        <v>8117</v>
      </c>
      <c r="F214">
        <v>7.6</v>
      </c>
      <c r="G214">
        <v>9.6</v>
      </c>
      <c r="H214">
        <v>0.7916666</v>
      </c>
      <c r="I214">
        <v>0.20833336999999999</v>
      </c>
      <c r="J214">
        <v>0.55813950000000001</v>
      </c>
    </row>
    <row r="215" spans="1:10" x14ac:dyDescent="0.3">
      <c r="A215">
        <v>213</v>
      </c>
      <c r="B215">
        <v>3398</v>
      </c>
      <c r="C215" t="b">
        <v>1</v>
      </c>
      <c r="D215">
        <v>8048</v>
      </c>
      <c r="E215">
        <v>8123</v>
      </c>
      <c r="F215">
        <v>7.6</v>
      </c>
      <c r="G215">
        <v>9.6</v>
      </c>
      <c r="H215">
        <v>0.7916666</v>
      </c>
      <c r="I215">
        <v>0.20833336999999999</v>
      </c>
      <c r="J215">
        <v>0.55813950000000001</v>
      </c>
    </row>
    <row r="216" spans="1:10" x14ac:dyDescent="0.3">
      <c r="A216">
        <v>214</v>
      </c>
      <c r="B216">
        <v>3414</v>
      </c>
      <c r="C216" t="b">
        <v>1</v>
      </c>
      <c r="D216">
        <v>8048</v>
      </c>
      <c r="E216">
        <v>8129</v>
      </c>
      <c r="F216">
        <v>7.6</v>
      </c>
      <c r="G216">
        <v>9.6</v>
      </c>
      <c r="H216">
        <v>0.7916666</v>
      </c>
      <c r="I216">
        <v>0.20833336999999999</v>
      </c>
      <c r="J216">
        <v>0.55813950000000001</v>
      </c>
    </row>
    <row r="217" spans="1:10" x14ac:dyDescent="0.3">
      <c r="A217">
        <v>215</v>
      </c>
      <c r="B217">
        <v>3430</v>
      </c>
      <c r="C217" t="b">
        <v>1</v>
      </c>
      <c r="D217">
        <v>8048</v>
      </c>
      <c r="E217">
        <v>8123</v>
      </c>
      <c r="F217">
        <v>7.6</v>
      </c>
      <c r="G217">
        <v>9.1999999999999993</v>
      </c>
      <c r="H217">
        <v>0.82608694000000005</v>
      </c>
      <c r="I217">
        <v>0.17391303</v>
      </c>
      <c r="J217">
        <v>0.54761903999999995</v>
      </c>
    </row>
    <row r="218" spans="1:10" x14ac:dyDescent="0.3">
      <c r="A218">
        <v>216</v>
      </c>
      <c r="B218">
        <v>3446</v>
      </c>
      <c r="C218" t="b">
        <v>1</v>
      </c>
      <c r="D218">
        <v>8048</v>
      </c>
      <c r="E218">
        <v>8123</v>
      </c>
      <c r="F218">
        <v>7.6</v>
      </c>
      <c r="G218">
        <v>8.8000000000000007</v>
      </c>
      <c r="H218">
        <v>0.86363630000000002</v>
      </c>
      <c r="I218">
        <v>0.13636366999999999</v>
      </c>
      <c r="J218">
        <v>0.53658539999999999</v>
      </c>
    </row>
    <row r="219" spans="1:10" x14ac:dyDescent="0.3">
      <c r="A219">
        <v>217</v>
      </c>
      <c r="B219">
        <v>3462</v>
      </c>
      <c r="C219" t="b">
        <v>1</v>
      </c>
      <c r="D219">
        <v>8048</v>
      </c>
      <c r="E219">
        <v>8123</v>
      </c>
      <c r="F219">
        <v>7.6</v>
      </c>
      <c r="G219">
        <v>8.4</v>
      </c>
      <c r="H219">
        <v>0.90476190000000001</v>
      </c>
      <c r="I219">
        <v>9.5238069999999994E-2</v>
      </c>
      <c r="J219">
        <v>0.52500000000000002</v>
      </c>
    </row>
    <row r="220" spans="1:10" x14ac:dyDescent="0.3">
      <c r="A220">
        <v>218</v>
      </c>
      <c r="B220">
        <v>3478</v>
      </c>
      <c r="C220" t="b">
        <v>1</v>
      </c>
      <c r="D220">
        <v>8048</v>
      </c>
      <c r="E220">
        <v>8117</v>
      </c>
      <c r="F220">
        <v>7.6</v>
      </c>
      <c r="G220">
        <v>8</v>
      </c>
      <c r="H220">
        <v>0.95</v>
      </c>
      <c r="I220">
        <v>5.0000012000000003E-2</v>
      </c>
      <c r="J220">
        <v>0.51282050000000001</v>
      </c>
    </row>
    <row r="221" spans="1:10" x14ac:dyDescent="0.3">
      <c r="A221">
        <v>219</v>
      </c>
      <c r="B221">
        <v>3493</v>
      </c>
      <c r="C221" t="b">
        <v>1</v>
      </c>
      <c r="D221">
        <v>8048</v>
      </c>
      <c r="E221">
        <v>8123</v>
      </c>
      <c r="F221">
        <v>7.6</v>
      </c>
      <c r="G221">
        <v>8</v>
      </c>
      <c r="H221">
        <v>0.95</v>
      </c>
      <c r="I221">
        <v>5.0000012000000003E-2</v>
      </c>
      <c r="J221">
        <v>0.51282050000000001</v>
      </c>
    </row>
    <row r="222" spans="1:10" x14ac:dyDescent="0.3">
      <c r="A222">
        <v>220</v>
      </c>
      <c r="B222">
        <v>3509</v>
      </c>
      <c r="C222" t="b">
        <v>1</v>
      </c>
      <c r="D222">
        <v>8048</v>
      </c>
      <c r="E222">
        <v>8129</v>
      </c>
      <c r="F222">
        <v>7.6</v>
      </c>
      <c r="G222">
        <v>8</v>
      </c>
      <c r="H222">
        <v>0.95</v>
      </c>
      <c r="I222">
        <v>5.0000012000000003E-2</v>
      </c>
      <c r="J222">
        <v>0.51282050000000001</v>
      </c>
    </row>
    <row r="223" spans="1:10" x14ac:dyDescent="0.3">
      <c r="A223">
        <v>221</v>
      </c>
      <c r="B223">
        <v>3525</v>
      </c>
      <c r="C223" t="b">
        <v>1</v>
      </c>
      <c r="D223">
        <v>8042</v>
      </c>
      <c r="E223">
        <v>8117</v>
      </c>
      <c r="F223">
        <v>7.6</v>
      </c>
      <c r="G223">
        <v>8</v>
      </c>
      <c r="H223">
        <v>0.95</v>
      </c>
      <c r="I223">
        <v>5.0000012000000003E-2</v>
      </c>
      <c r="J223">
        <v>0.51282050000000001</v>
      </c>
    </row>
    <row r="224" spans="1:10" x14ac:dyDescent="0.3">
      <c r="A224">
        <v>222</v>
      </c>
      <c r="B224">
        <v>3541</v>
      </c>
      <c r="C224" t="b">
        <v>1</v>
      </c>
      <c r="D224">
        <v>8048</v>
      </c>
      <c r="E224">
        <v>8129</v>
      </c>
      <c r="F224">
        <v>7.6</v>
      </c>
      <c r="G224">
        <v>8</v>
      </c>
      <c r="H224">
        <v>0.95</v>
      </c>
      <c r="I224">
        <v>5.0000012000000003E-2</v>
      </c>
      <c r="J224">
        <v>0.51282050000000001</v>
      </c>
    </row>
    <row r="225" spans="1:10" x14ac:dyDescent="0.3">
      <c r="A225">
        <v>223</v>
      </c>
      <c r="B225">
        <v>3556</v>
      </c>
      <c r="C225" t="b">
        <v>1</v>
      </c>
      <c r="D225">
        <v>8048</v>
      </c>
      <c r="E225">
        <v>8134</v>
      </c>
      <c r="F225">
        <v>8</v>
      </c>
      <c r="G225">
        <v>8.4</v>
      </c>
      <c r="H225">
        <v>0.95238100000000003</v>
      </c>
      <c r="I225">
        <v>4.7619003999999999E-2</v>
      </c>
      <c r="J225">
        <v>0.51219510000000001</v>
      </c>
    </row>
    <row r="226" spans="1:10" x14ac:dyDescent="0.3">
      <c r="A226">
        <v>224</v>
      </c>
      <c r="B226">
        <v>3572</v>
      </c>
      <c r="C226" t="b">
        <v>1</v>
      </c>
      <c r="D226">
        <v>8048</v>
      </c>
      <c r="E226">
        <v>8123</v>
      </c>
      <c r="F226">
        <v>8</v>
      </c>
      <c r="G226">
        <v>8.8000000000000007</v>
      </c>
      <c r="H226">
        <v>0.90909090000000004</v>
      </c>
      <c r="I226">
        <v>9.0909110000000001E-2</v>
      </c>
      <c r="J226">
        <v>0.52380954999999996</v>
      </c>
    </row>
    <row r="227" spans="1:10" x14ac:dyDescent="0.3">
      <c r="A227">
        <v>225</v>
      </c>
      <c r="B227">
        <v>3588</v>
      </c>
      <c r="C227" t="b">
        <v>1</v>
      </c>
      <c r="D227">
        <v>8048</v>
      </c>
      <c r="E227">
        <v>8123</v>
      </c>
      <c r="F227">
        <v>8</v>
      </c>
      <c r="G227">
        <v>8.8000000000000007</v>
      </c>
      <c r="H227">
        <v>0.90909090000000004</v>
      </c>
      <c r="I227">
        <v>9.0909110000000001E-2</v>
      </c>
      <c r="J227">
        <v>0.52380954999999996</v>
      </c>
    </row>
    <row r="228" spans="1:10" x14ac:dyDescent="0.3">
      <c r="A228">
        <v>226</v>
      </c>
      <c r="B228">
        <v>3604</v>
      </c>
      <c r="C228" t="b">
        <v>1</v>
      </c>
      <c r="D228">
        <v>8042</v>
      </c>
      <c r="E228">
        <v>8123</v>
      </c>
      <c r="F228">
        <v>8</v>
      </c>
      <c r="G228">
        <v>8.8000000000000007</v>
      </c>
      <c r="H228">
        <v>0.90909090000000004</v>
      </c>
      <c r="I228">
        <v>9.0909110000000001E-2</v>
      </c>
      <c r="J228">
        <v>0.52380954999999996</v>
      </c>
    </row>
    <row r="229" spans="1:10" x14ac:dyDescent="0.3">
      <c r="A229">
        <v>227</v>
      </c>
      <c r="B229">
        <v>3619</v>
      </c>
      <c r="C229" t="b">
        <v>1</v>
      </c>
      <c r="D229">
        <v>8048</v>
      </c>
      <c r="E229">
        <v>8129</v>
      </c>
      <c r="F229">
        <v>8</v>
      </c>
      <c r="G229">
        <v>8.8000000000000007</v>
      </c>
      <c r="H229">
        <v>0.90909090000000004</v>
      </c>
      <c r="I229">
        <v>9.0909110000000001E-2</v>
      </c>
      <c r="J229">
        <v>0.52380954999999996</v>
      </c>
    </row>
    <row r="230" spans="1:10" x14ac:dyDescent="0.3">
      <c r="A230">
        <v>228</v>
      </c>
      <c r="B230">
        <v>3635</v>
      </c>
      <c r="C230" t="b">
        <v>1</v>
      </c>
      <c r="D230">
        <v>8048</v>
      </c>
      <c r="E230">
        <v>8123</v>
      </c>
      <c r="F230">
        <v>8</v>
      </c>
      <c r="G230">
        <v>8.8000000000000007</v>
      </c>
      <c r="H230">
        <v>0.90909090000000004</v>
      </c>
      <c r="I230">
        <v>9.0909110000000001E-2</v>
      </c>
      <c r="J230">
        <v>0.52380954999999996</v>
      </c>
    </row>
    <row r="231" spans="1:10" x14ac:dyDescent="0.3">
      <c r="A231">
        <v>229</v>
      </c>
      <c r="B231">
        <v>3651</v>
      </c>
      <c r="C231" t="b">
        <v>1</v>
      </c>
      <c r="D231">
        <v>8042</v>
      </c>
      <c r="E231">
        <v>8123</v>
      </c>
      <c r="F231">
        <v>8</v>
      </c>
      <c r="G231">
        <v>8.8000000000000007</v>
      </c>
      <c r="H231">
        <v>0.90909090000000004</v>
      </c>
      <c r="I231">
        <v>9.0909110000000001E-2</v>
      </c>
      <c r="J231">
        <v>0.52380954999999996</v>
      </c>
    </row>
    <row r="232" spans="1:10" x14ac:dyDescent="0.3">
      <c r="A232">
        <v>230</v>
      </c>
      <c r="B232">
        <v>3667</v>
      </c>
      <c r="C232" t="b">
        <v>1</v>
      </c>
      <c r="D232">
        <v>8042</v>
      </c>
      <c r="E232">
        <v>8129</v>
      </c>
      <c r="F232">
        <v>7.6</v>
      </c>
      <c r="G232">
        <v>8.8000000000000007</v>
      </c>
      <c r="H232">
        <v>0.86363630000000002</v>
      </c>
      <c r="I232">
        <v>0.13636366999999999</v>
      </c>
      <c r="J232">
        <v>0.53658539999999999</v>
      </c>
    </row>
    <row r="233" spans="1:10" x14ac:dyDescent="0.3">
      <c r="A233">
        <v>231</v>
      </c>
      <c r="B233">
        <v>3683</v>
      </c>
      <c r="C233" t="b">
        <v>1</v>
      </c>
      <c r="D233">
        <v>8037</v>
      </c>
      <c r="E233">
        <v>8123</v>
      </c>
      <c r="F233">
        <v>7.2</v>
      </c>
      <c r="G233">
        <v>8.8000000000000007</v>
      </c>
      <c r="H233">
        <v>0.81818175000000004</v>
      </c>
      <c r="I233">
        <v>0.18181822</v>
      </c>
      <c r="J233">
        <v>0.55000000000000004</v>
      </c>
    </row>
    <row r="234" spans="1:10" x14ac:dyDescent="0.3">
      <c r="A234">
        <v>232</v>
      </c>
      <c r="B234">
        <v>3699</v>
      </c>
      <c r="C234" t="b">
        <v>1</v>
      </c>
      <c r="D234">
        <v>8042</v>
      </c>
      <c r="E234">
        <v>8123</v>
      </c>
      <c r="F234">
        <v>6.8</v>
      </c>
      <c r="G234">
        <v>8.8000000000000007</v>
      </c>
      <c r="H234">
        <v>0.77272724999999998</v>
      </c>
      <c r="I234">
        <v>0.22727272000000001</v>
      </c>
      <c r="J234">
        <v>0.56410260000000001</v>
      </c>
    </row>
    <row r="235" spans="1:10" x14ac:dyDescent="0.3">
      <c r="A235">
        <v>233</v>
      </c>
      <c r="B235">
        <v>3715</v>
      </c>
      <c r="C235" t="b">
        <v>1</v>
      </c>
      <c r="D235">
        <v>8042</v>
      </c>
      <c r="E235">
        <v>8123</v>
      </c>
      <c r="F235">
        <v>6.4</v>
      </c>
      <c r="G235">
        <v>8.8000000000000007</v>
      </c>
      <c r="H235">
        <v>0.72727275000000002</v>
      </c>
      <c r="I235">
        <v>0.27272728000000002</v>
      </c>
      <c r="J235">
        <v>0.57894736999999996</v>
      </c>
    </row>
    <row r="236" spans="1:10" x14ac:dyDescent="0.3">
      <c r="A236">
        <v>234</v>
      </c>
      <c r="B236">
        <v>3730</v>
      </c>
      <c r="C236" t="b">
        <v>1</v>
      </c>
      <c r="D236">
        <v>8042</v>
      </c>
      <c r="E236">
        <v>8123</v>
      </c>
      <c r="F236">
        <v>6</v>
      </c>
      <c r="G236">
        <v>8.8000000000000007</v>
      </c>
      <c r="H236">
        <v>0.68181820000000004</v>
      </c>
      <c r="I236">
        <v>0.31818183999999999</v>
      </c>
      <c r="J236">
        <v>0.59459459999999997</v>
      </c>
    </row>
    <row r="237" spans="1:10" x14ac:dyDescent="0.3">
      <c r="A237">
        <v>235</v>
      </c>
      <c r="B237">
        <v>3746</v>
      </c>
      <c r="C237" t="b">
        <v>1</v>
      </c>
      <c r="D237">
        <v>8042</v>
      </c>
      <c r="E237">
        <v>8123</v>
      </c>
      <c r="F237">
        <v>5.6</v>
      </c>
      <c r="G237">
        <v>8.8000000000000007</v>
      </c>
      <c r="H237">
        <v>0.63636360000000003</v>
      </c>
      <c r="I237">
        <v>0.36363636999999999</v>
      </c>
      <c r="J237">
        <v>0.61111115999999999</v>
      </c>
    </row>
    <row r="238" spans="1:10" x14ac:dyDescent="0.3">
      <c r="A238">
        <v>236</v>
      </c>
      <c r="B238">
        <v>3762</v>
      </c>
      <c r="C238" t="b">
        <v>1</v>
      </c>
      <c r="D238">
        <v>8048</v>
      </c>
      <c r="E238">
        <v>8129</v>
      </c>
      <c r="F238">
        <v>5.2</v>
      </c>
      <c r="G238">
        <v>8.8000000000000007</v>
      </c>
      <c r="H238">
        <v>0.59090905999999999</v>
      </c>
      <c r="I238">
        <v>0.40909094000000001</v>
      </c>
      <c r="J238">
        <v>0.62857145000000003</v>
      </c>
    </row>
    <row r="239" spans="1:10" x14ac:dyDescent="0.3">
      <c r="A239">
        <v>237</v>
      </c>
      <c r="B239">
        <v>3778</v>
      </c>
      <c r="C239" t="b">
        <v>1</v>
      </c>
      <c r="D239">
        <v>8042</v>
      </c>
      <c r="E239">
        <v>8129</v>
      </c>
      <c r="F239">
        <v>4.8</v>
      </c>
      <c r="G239">
        <v>8.8000000000000007</v>
      </c>
      <c r="H239">
        <v>0.54545456000000003</v>
      </c>
      <c r="I239">
        <v>0.45454544000000002</v>
      </c>
      <c r="J239">
        <v>0.64705884000000002</v>
      </c>
    </row>
    <row r="240" spans="1:10" x14ac:dyDescent="0.3">
      <c r="A240">
        <v>238</v>
      </c>
      <c r="B240">
        <v>3793</v>
      </c>
      <c r="C240" t="b">
        <v>1</v>
      </c>
      <c r="D240">
        <v>8042</v>
      </c>
      <c r="E240">
        <v>8129</v>
      </c>
      <c r="F240">
        <v>4.4000000000000004</v>
      </c>
      <c r="G240">
        <v>8.8000000000000007</v>
      </c>
      <c r="H240">
        <v>0.5</v>
      </c>
      <c r="I240">
        <v>0.5</v>
      </c>
      <c r="J240">
        <v>0.6666666</v>
      </c>
    </row>
    <row r="241" spans="1:10" x14ac:dyDescent="0.3">
      <c r="A241">
        <v>239</v>
      </c>
      <c r="B241">
        <v>3809</v>
      </c>
      <c r="C241" t="b">
        <v>1</v>
      </c>
      <c r="D241">
        <v>8048</v>
      </c>
      <c r="E241">
        <v>8129</v>
      </c>
      <c r="F241">
        <v>4</v>
      </c>
      <c r="G241">
        <v>8.8000000000000007</v>
      </c>
      <c r="H241">
        <v>0.45454544000000002</v>
      </c>
      <c r="I241">
        <v>0.54545456000000003</v>
      </c>
      <c r="J241">
        <v>0.6875</v>
      </c>
    </row>
    <row r="242" spans="1:10" x14ac:dyDescent="0.3">
      <c r="A242">
        <v>240</v>
      </c>
      <c r="B242">
        <v>3825</v>
      </c>
      <c r="C242" t="b">
        <v>1</v>
      </c>
      <c r="D242">
        <v>8048</v>
      </c>
      <c r="E242">
        <v>8129</v>
      </c>
      <c r="F242">
        <v>4</v>
      </c>
      <c r="G242">
        <v>9.1999999999999993</v>
      </c>
      <c r="H242">
        <v>0.43478262000000001</v>
      </c>
      <c r="I242">
        <v>0.56521739999999998</v>
      </c>
      <c r="J242">
        <v>0.69696970000000003</v>
      </c>
    </row>
    <row r="243" spans="1:10" x14ac:dyDescent="0.3">
      <c r="A243">
        <v>241</v>
      </c>
      <c r="B243">
        <v>3841</v>
      </c>
      <c r="C243" t="b">
        <v>1</v>
      </c>
      <c r="D243">
        <v>8048</v>
      </c>
      <c r="E243">
        <v>8123</v>
      </c>
      <c r="F243">
        <v>4</v>
      </c>
      <c r="G243">
        <v>9.6</v>
      </c>
      <c r="H243">
        <v>0.41666666000000002</v>
      </c>
      <c r="I243">
        <v>0.5833334</v>
      </c>
      <c r="J243">
        <v>0.70588240000000002</v>
      </c>
    </row>
    <row r="244" spans="1:10" x14ac:dyDescent="0.3">
      <c r="A244">
        <v>242</v>
      </c>
      <c r="B244">
        <v>3856</v>
      </c>
      <c r="C244" t="b">
        <v>1</v>
      </c>
      <c r="D244">
        <v>8037</v>
      </c>
      <c r="E244">
        <v>8123</v>
      </c>
      <c r="F244">
        <v>4</v>
      </c>
      <c r="G244">
        <v>10</v>
      </c>
      <c r="H244">
        <v>0.4</v>
      </c>
      <c r="I244">
        <v>0.6</v>
      </c>
      <c r="J244">
        <v>0.71428572999999995</v>
      </c>
    </row>
    <row r="245" spans="1:10" x14ac:dyDescent="0.3">
      <c r="A245">
        <v>243</v>
      </c>
      <c r="B245">
        <v>3872</v>
      </c>
      <c r="C245" t="b">
        <v>1</v>
      </c>
      <c r="D245">
        <v>8042</v>
      </c>
      <c r="E245">
        <v>8123</v>
      </c>
      <c r="F245">
        <v>4</v>
      </c>
      <c r="G245">
        <v>10</v>
      </c>
      <c r="H245">
        <v>0.4</v>
      </c>
      <c r="I245">
        <v>0.6</v>
      </c>
      <c r="J245">
        <v>0.71428572999999995</v>
      </c>
    </row>
    <row r="246" spans="1:10" x14ac:dyDescent="0.3">
      <c r="A246">
        <v>244</v>
      </c>
      <c r="B246">
        <v>3888</v>
      </c>
      <c r="C246" t="b">
        <v>1</v>
      </c>
      <c r="D246">
        <v>8042</v>
      </c>
      <c r="E246">
        <v>8123</v>
      </c>
      <c r="F246">
        <v>3.6</v>
      </c>
      <c r="G246">
        <v>10</v>
      </c>
      <c r="H246">
        <v>0.35999998</v>
      </c>
      <c r="I246">
        <v>0.64</v>
      </c>
      <c r="J246">
        <v>0.73529409999999995</v>
      </c>
    </row>
    <row r="247" spans="1:10" x14ac:dyDescent="0.3">
      <c r="A247">
        <v>245</v>
      </c>
      <c r="B247">
        <v>3903</v>
      </c>
      <c r="C247" t="b">
        <v>1</v>
      </c>
      <c r="D247">
        <v>8042</v>
      </c>
      <c r="E247">
        <v>8123</v>
      </c>
      <c r="F247">
        <v>3.6</v>
      </c>
      <c r="G247">
        <v>10</v>
      </c>
      <c r="H247">
        <v>0.35999998</v>
      </c>
      <c r="I247">
        <v>0.64</v>
      </c>
      <c r="J247">
        <v>0.73529409999999995</v>
      </c>
    </row>
    <row r="248" spans="1:10" x14ac:dyDescent="0.3">
      <c r="A248">
        <v>246</v>
      </c>
      <c r="B248">
        <v>3919</v>
      </c>
      <c r="C248" t="b">
        <v>1</v>
      </c>
      <c r="D248">
        <v>8042</v>
      </c>
      <c r="E248">
        <v>8123</v>
      </c>
      <c r="F248">
        <v>3.6</v>
      </c>
      <c r="G248">
        <v>10</v>
      </c>
      <c r="H248">
        <v>0.35999998</v>
      </c>
      <c r="I248">
        <v>0.64</v>
      </c>
      <c r="J248">
        <v>0.73529409999999995</v>
      </c>
    </row>
    <row r="249" spans="1:10" x14ac:dyDescent="0.3">
      <c r="A249">
        <v>247</v>
      </c>
      <c r="B249">
        <v>3935</v>
      </c>
      <c r="C249" t="b">
        <v>1</v>
      </c>
      <c r="D249">
        <v>8042</v>
      </c>
      <c r="E249">
        <v>8129</v>
      </c>
      <c r="F249">
        <v>3.6</v>
      </c>
      <c r="G249">
        <v>10</v>
      </c>
      <c r="H249">
        <v>0.35999998</v>
      </c>
      <c r="I249">
        <v>0.64</v>
      </c>
      <c r="J249">
        <v>0.73529409999999995</v>
      </c>
    </row>
    <row r="250" spans="1:10" x14ac:dyDescent="0.3">
      <c r="A250">
        <v>248</v>
      </c>
      <c r="B250">
        <v>3951</v>
      </c>
      <c r="C250" t="b">
        <v>1</v>
      </c>
      <c r="D250">
        <v>8042</v>
      </c>
      <c r="E250">
        <v>8129</v>
      </c>
      <c r="F250">
        <v>3.6</v>
      </c>
      <c r="G250">
        <v>10</v>
      </c>
      <c r="H250">
        <v>0.35999998</v>
      </c>
      <c r="I250">
        <v>0.64</v>
      </c>
      <c r="J250">
        <v>0.73529409999999995</v>
      </c>
    </row>
    <row r="251" spans="1:10" x14ac:dyDescent="0.3">
      <c r="A251">
        <v>249</v>
      </c>
      <c r="B251">
        <v>3966</v>
      </c>
      <c r="C251" t="b">
        <v>1</v>
      </c>
      <c r="D251">
        <v>8048</v>
      </c>
      <c r="E251">
        <v>8123</v>
      </c>
      <c r="F251">
        <v>3.6</v>
      </c>
      <c r="G251">
        <v>10</v>
      </c>
      <c r="H251">
        <v>0.35999998</v>
      </c>
      <c r="I251">
        <v>0.64</v>
      </c>
      <c r="J251">
        <v>0.73529409999999995</v>
      </c>
    </row>
    <row r="252" spans="1:10" x14ac:dyDescent="0.3">
      <c r="A252">
        <v>250</v>
      </c>
      <c r="B252">
        <v>3982</v>
      </c>
      <c r="C252" t="b">
        <v>1</v>
      </c>
      <c r="D252">
        <v>8048</v>
      </c>
      <c r="E252">
        <v>8123</v>
      </c>
      <c r="F252">
        <v>3.6</v>
      </c>
      <c r="G252">
        <v>10</v>
      </c>
      <c r="H252">
        <v>0.35999998</v>
      </c>
      <c r="I252">
        <v>0.64</v>
      </c>
      <c r="J252">
        <v>0.73529409999999995</v>
      </c>
    </row>
    <row r="253" spans="1:10" x14ac:dyDescent="0.3">
      <c r="A253">
        <v>251</v>
      </c>
      <c r="B253">
        <v>3998</v>
      </c>
      <c r="C253" t="b">
        <v>1</v>
      </c>
      <c r="D253">
        <v>8048</v>
      </c>
      <c r="E253">
        <v>8123</v>
      </c>
      <c r="F253">
        <v>4</v>
      </c>
      <c r="G253">
        <v>10</v>
      </c>
      <c r="H253">
        <v>0.4</v>
      </c>
      <c r="I253">
        <v>0.6</v>
      </c>
      <c r="J253">
        <v>0.71428572999999995</v>
      </c>
    </row>
    <row r="254" spans="1:10" x14ac:dyDescent="0.3">
      <c r="A254">
        <v>252</v>
      </c>
      <c r="B254">
        <v>4014</v>
      </c>
      <c r="C254" t="b">
        <v>1</v>
      </c>
      <c r="D254">
        <v>8048</v>
      </c>
      <c r="E254">
        <v>8129</v>
      </c>
      <c r="F254">
        <v>4.4000000000000004</v>
      </c>
      <c r="G254">
        <v>10</v>
      </c>
      <c r="H254">
        <v>0.44</v>
      </c>
      <c r="I254">
        <v>0.56000000000000005</v>
      </c>
      <c r="J254">
        <v>0.69444450000000002</v>
      </c>
    </row>
    <row r="255" spans="1:10" x14ac:dyDescent="0.3">
      <c r="A255">
        <v>253</v>
      </c>
      <c r="B255">
        <v>4030</v>
      </c>
      <c r="C255" t="b">
        <v>1</v>
      </c>
      <c r="D255">
        <v>8048</v>
      </c>
      <c r="E255">
        <v>8123</v>
      </c>
      <c r="F255">
        <v>4.8</v>
      </c>
      <c r="G255">
        <v>9.6</v>
      </c>
      <c r="H255">
        <v>0.5</v>
      </c>
      <c r="I255">
        <v>0.5</v>
      </c>
      <c r="J255">
        <v>0.66666669999999995</v>
      </c>
    </row>
    <row r="256" spans="1:10" x14ac:dyDescent="0.3">
      <c r="A256">
        <v>254</v>
      </c>
      <c r="B256">
        <v>4046</v>
      </c>
      <c r="C256" t="b">
        <v>1</v>
      </c>
      <c r="D256">
        <v>8042</v>
      </c>
      <c r="E256">
        <v>8123</v>
      </c>
      <c r="F256">
        <v>5.2</v>
      </c>
      <c r="G256">
        <v>9.1999999999999993</v>
      </c>
      <c r="H256">
        <v>0.56521739999999998</v>
      </c>
      <c r="I256">
        <v>0.43478262000000001</v>
      </c>
      <c r="J256">
        <v>0.63888889999999998</v>
      </c>
    </row>
    <row r="257" spans="1:10" x14ac:dyDescent="0.3">
      <c r="A257">
        <v>255</v>
      </c>
      <c r="B257">
        <v>4062</v>
      </c>
      <c r="C257" t="b">
        <v>1</v>
      </c>
      <c r="D257">
        <v>8048</v>
      </c>
      <c r="E257">
        <v>8123</v>
      </c>
      <c r="F257">
        <v>5.2</v>
      </c>
      <c r="G257">
        <v>8.8000000000000007</v>
      </c>
      <c r="H257">
        <v>0.59090905999999999</v>
      </c>
      <c r="I257">
        <v>0.40909094000000001</v>
      </c>
      <c r="J257">
        <v>0.62857145000000003</v>
      </c>
    </row>
    <row r="258" spans="1:10" x14ac:dyDescent="0.3">
      <c r="A258">
        <v>256</v>
      </c>
      <c r="B258">
        <v>4078</v>
      </c>
      <c r="C258" t="b">
        <v>1</v>
      </c>
      <c r="D258">
        <v>8048</v>
      </c>
      <c r="E258">
        <v>8123</v>
      </c>
      <c r="F258">
        <v>5.2</v>
      </c>
      <c r="G258">
        <v>8.4</v>
      </c>
      <c r="H258">
        <v>0.61904764000000001</v>
      </c>
      <c r="I258">
        <v>0.38095240000000002</v>
      </c>
      <c r="J258">
        <v>0.61764704999999998</v>
      </c>
    </row>
    <row r="259" spans="1:10" x14ac:dyDescent="0.3">
      <c r="A259">
        <v>257</v>
      </c>
      <c r="B259">
        <v>4094</v>
      </c>
      <c r="C259" t="b">
        <v>1</v>
      </c>
      <c r="D259">
        <v>8048</v>
      </c>
      <c r="E259">
        <v>8123</v>
      </c>
      <c r="F259">
        <v>5.2</v>
      </c>
      <c r="G259">
        <v>8</v>
      </c>
      <c r="H259">
        <v>0.65</v>
      </c>
      <c r="I259">
        <v>0.35000002000000002</v>
      </c>
      <c r="J259">
        <v>0.60606059999999995</v>
      </c>
    </row>
    <row r="260" spans="1:10" x14ac:dyDescent="0.3">
      <c r="A260">
        <v>258</v>
      </c>
      <c r="B260">
        <v>4110</v>
      </c>
      <c r="C260" t="b">
        <v>1</v>
      </c>
      <c r="D260">
        <v>8048</v>
      </c>
      <c r="E260">
        <v>8123</v>
      </c>
      <c r="F260">
        <v>5.2</v>
      </c>
      <c r="G260">
        <v>8</v>
      </c>
      <c r="H260">
        <v>0.65</v>
      </c>
      <c r="I260">
        <v>0.35000002000000002</v>
      </c>
      <c r="J260">
        <v>0.60606059999999995</v>
      </c>
    </row>
    <row r="261" spans="1:10" x14ac:dyDescent="0.3">
      <c r="A261">
        <v>259</v>
      </c>
      <c r="B261">
        <v>4126</v>
      </c>
      <c r="C261" t="b">
        <v>1</v>
      </c>
      <c r="D261">
        <v>8048</v>
      </c>
      <c r="E261">
        <v>8129</v>
      </c>
      <c r="F261">
        <v>5.6</v>
      </c>
      <c r="G261">
        <v>8</v>
      </c>
      <c r="H261">
        <v>0.7</v>
      </c>
      <c r="I261">
        <v>0.3</v>
      </c>
      <c r="J261">
        <v>0.58823526000000004</v>
      </c>
    </row>
    <row r="262" spans="1:10" x14ac:dyDescent="0.3">
      <c r="A262">
        <v>260</v>
      </c>
      <c r="B262">
        <v>4142</v>
      </c>
      <c r="C262" t="b">
        <v>1</v>
      </c>
      <c r="D262">
        <v>8048</v>
      </c>
      <c r="E262">
        <v>8123</v>
      </c>
      <c r="F262">
        <v>6</v>
      </c>
      <c r="G262">
        <v>8</v>
      </c>
      <c r="H262">
        <v>0.75</v>
      </c>
      <c r="I262">
        <v>0.25</v>
      </c>
      <c r="J262">
        <v>0.57142859999999995</v>
      </c>
    </row>
    <row r="263" spans="1:10" x14ac:dyDescent="0.3">
      <c r="A263">
        <v>261</v>
      </c>
      <c r="B263">
        <v>4158</v>
      </c>
      <c r="C263" t="b">
        <v>1</v>
      </c>
      <c r="D263">
        <v>8048</v>
      </c>
      <c r="E263">
        <v>8123</v>
      </c>
      <c r="F263">
        <v>6.4</v>
      </c>
      <c r="G263">
        <v>8</v>
      </c>
      <c r="H263">
        <v>0.8</v>
      </c>
      <c r="I263">
        <v>0.19999998999999999</v>
      </c>
      <c r="J263">
        <v>0.55555560000000004</v>
      </c>
    </row>
    <row r="264" spans="1:10" x14ac:dyDescent="0.3">
      <c r="A264">
        <v>262</v>
      </c>
      <c r="B264">
        <v>4174</v>
      </c>
      <c r="C264" t="b">
        <v>1</v>
      </c>
      <c r="D264">
        <v>8048</v>
      </c>
      <c r="E264">
        <v>8123</v>
      </c>
      <c r="F264">
        <v>6.8</v>
      </c>
      <c r="G264">
        <v>8</v>
      </c>
      <c r="H264">
        <v>0.85</v>
      </c>
      <c r="I264">
        <v>0.14999998</v>
      </c>
      <c r="J264">
        <v>0.54054049999999998</v>
      </c>
    </row>
    <row r="265" spans="1:10" x14ac:dyDescent="0.3">
      <c r="A265">
        <v>263</v>
      </c>
      <c r="B265">
        <v>4190</v>
      </c>
      <c r="C265" t="b">
        <v>1</v>
      </c>
      <c r="D265">
        <v>8048</v>
      </c>
      <c r="E265">
        <v>8129</v>
      </c>
      <c r="F265">
        <v>7.2</v>
      </c>
      <c r="G265">
        <v>8</v>
      </c>
      <c r="H265">
        <v>0.9</v>
      </c>
      <c r="I265">
        <v>0.10000002400000001</v>
      </c>
      <c r="J265">
        <v>0.5263158</v>
      </c>
    </row>
    <row r="266" spans="1:10" x14ac:dyDescent="0.3">
      <c r="A266">
        <v>264</v>
      </c>
      <c r="B266">
        <v>4206</v>
      </c>
      <c r="C266" t="b">
        <v>1</v>
      </c>
      <c r="D266">
        <v>8042</v>
      </c>
      <c r="E266">
        <v>8123</v>
      </c>
      <c r="F266">
        <v>7.6</v>
      </c>
      <c r="G266">
        <v>8</v>
      </c>
      <c r="H266">
        <v>0.95</v>
      </c>
      <c r="I266">
        <v>5.0000012000000003E-2</v>
      </c>
      <c r="J266">
        <v>0.51282050000000001</v>
      </c>
    </row>
    <row r="267" spans="1:10" x14ac:dyDescent="0.3">
      <c r="A267">
        <v>265</v>
      </c>
      <c r="B267">
        <v>4222</v>
      </c>
      <c r="C267" t="b">
        <v>1</v>
      </c>
      <c r="D267">
        <v>8042</v>
      </c>
      <c r="E267">
        <v>8123</v>
      </c>
      <c r="F267">
        <v>8</v>
      </c>
      <c r="G267">
        <v>8</v>
      </c>
      <c r="H267">
        <v>1</v>
      </c>
      <c r="I267">
        <v>0</v>
      </c>
      <c r="J267">
        <v>0.5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8</v>
      </c>
      <c r="G268">
        <v>8</v>
      </c>
      <c r="H268">
        <v>1</v>
      </c>
      <c r="I268">
        <v>0</v>
      </c>
      <c r="J268">
        <v>0.5</v>
      </c>
    </row>
    <row r="269" spans="1:10" x14ac:dyDescent="0.3">
      <c r="A269">
        <v>267</v>
      </c>
      <c r="B269">
        <v>4254</v>
      </c>
      <c r="C269" t="b">
        <v>1</v>
      </c>
      <c r="D269">
        <v>8048</v>
      </c>
      <c r="E269">
        <v>8129</v>
      </c>
      <c r="F269">
        <v>8</v>
      </c>
      <c r="G269">
        <v>8</v>
      </c>
      <c r="H269">
        <v>1</v>
      </c>
      <c r="I269">
        <v>0</v>
      </c>
      <c r="J269">
        <v>0.5</v>
      </c>
    </row>
    <row r="270" spans="1:10" x14ac:dyDescent="0.3">
      <c r="A270">
        <v>268</v>
      </c>
      <c r="B270">
        <v>4269</v>
      </c>
      <c r="C270" t="b">
        <v>1</v>
      </c>
      <c r="D270">
        <v>8048</v>
      </c>
      <c r="E270">
        <v>8123</v>
      </c>
      <c r="F270">
        <v>8</v>
      </c>
      <c r="G270">
        <v>8</v>
      </c>
      <c r="H270">
        <v>1</v>
      </c>
      <c r="I270">
        <v>0</v>
      </c>
      <c r="J270">
        <v>0.5</v>
      </c>
    </row>
    <row r="271" spans="1:10" x14ac:dyDescent="0.3">
      <c r="A271">
        <v>269</v>
      </c>
      <c r="B271">
        <v>4285</v>
      </c>
      <c r="C271" t="b">
        <v>1</v>
      </c>
      <c r="D271">
        <v>8048</v>
      </c>
      <c r="E271">
        <v>8123</v>
      </c>
      <c r="F271">
        <v>8</v>
      </c>
      <c r="G271">
        <v>8</v>
      </c>
      <c r="H271">
        <v>1</v>
      </c>
      <c r="I271">
        <v>0</v>
      </c>
      <c r="J271">
        <v>0.5</v>
      </c>
    </row>
    <row r="272" spans="1:10" x14ac:dyDescent="0.3">
      <c r="A272">
        <v>270</v>
      </c>
      <c r="B272">
        <v>4302</v>
      </c>
      <c r="C272" t="b">
        <v>1</v>
      </c>
      <c r="D272">
        <v>8042</v>
      </c>
      <c r="E272">
        <v>8123</v>
      </c>
      <c r="F272">
        <v>8</v>
      </c>
      <c r="G272">
        <v>8</v>
      </c>
      <c r="H272">
        <v>1</v>
      </c>
      <c r="I272">
        <v>0</v>
      </c>
      <c r="J272">
        <v>0.5</v>
      </c>
    </row>
    <row r="273" spans="1:10" x14ac:dyDescent="0.3">
      <c r="A273">
        <v>271</v>
      </c>
      <c r="B273">
        <v>4317</v>
      </c>
      <c r="C273" t="b">
        <v>1</v>
      </c>
      <c r="D273">
        <v>8048</v>
      </c>
      <c r="E273">
        <v>8117</v>
      </c>
      <c r="F273">
        <v>8</v>
      </c>
      <c r="G273">
        <v>8</v>
      </c>
      <c r="H273">
        <v>1</v>
      </c>
      <c r="I273">
        <v>0</v>
      </c>
      <c r="J273">
        <v>0.5</v>
      </c>
    </row>
    <row r="274" spans="1:10" x14ac:dyDescent="0.3">
      <c r="A274">
        <v>272</v>
      </c>
      <c r="B274">
        <v>4333</v>
      </c>
      <c r="C274" t="b">
        <v>1</v>
      </c>
      <c r="D274">
        <v>8042</v>
      </c>
      <c r="E274">
        <v>8123</v>
      </c>
      <c r="F274">
        <v>8</v>
      </c>
      <c r="G274">
        <v>8</v>
      </c>
      <c r="H274">
        <v>1</v>
      </c>
      <c r="I274">
        <v>0</v>
      </c>
      <c r="J274">
        <v>0.5</v>
      </c>
    </row>
    <row r="275" spans="1:10" x14ac:dyDescent="0.3">
      <c r="A275">
        <v>273</v>
      </c>
      <c r="B275">
        <v>4349</v>
      </c>
      <c r="C275" t="b">
        <v>1</v>
      </c>
      <c r="D275">
        <v>8048</v>
      </c>
      <c r="E275">
        <v>8123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4365</v>
      </c>
      <c r="C276" t="b">
        <v>1</v>
      </c>
      <c r="D276">
        <v>8048</v>
      </c>
      <c r="E276">
        <v>8117</v>
      </c>
      <c r="F276">
        <v>8</v>
      </c>
      <c r="G276">
        <v>8</v>
      </c>
      <c r="H276">
        <v>1</v>
      </c>
      <c r="I276">
        <v>0</v>
      </c>
      <c r="J276">
        <v>0.5</v>
      </c>
    </row>
    <row r="277" spans="1:10" x14ac:dyDescent="0.3">
      <c r="A277">
        <v>275</v>
      </c>
      <c r="B277">
        <v>4381</v>
      </c>
      <c r="C277" t="b">
        <v>1</v>
      </c>
      <c r="D277">
        <v>8048</v>
      </c>
      <c r="E277">
        <v>8123</v>
      </c>
      <c r="F277">
        <v>8</v>
      </c>
      <c r="G277">
        <v>8</v>
      </c>
      <c r="H277">
        <v>1</v>
      </c>
      <c r="I277">
        <v>0</v>
      </c>
      <c r="J277">
        <v>0.5</v>
      </c>
    </row>
    <row r="278" spans="1:10" x14ac:dyDescent="0.3">
      <c r="A278">
        <v>276</v>
      </c>
      <c r="B278">
        <v>4397</v>
      </c>
      <c r="C278" t="b">
        <v>1</v>
      </c>
      <c r="D278">
        <v>8048</v>
      </c>
      <c r="E278">
        <v>8123</v>
      </c>
      <c r="F278">
        <v>8</v>
      </c>
      <c r="G278">
        <v>8</v>
      </c>
      <c r="H278">
        <v>1</v>
      </c>
      <c r="I278">
        <v>0</v>
      </c>
      <c r="J278">
        <v>0.5</v>
      </c>
    </row>
    <row r="279" spans="1:10" x14ac:dyDescent="0.3">
      <c r="A279">
        <v>277</v>
      </c>
      <c r="B279">
        <v>4413</v>
      </c>
      <c r="C279" t="b">
        <v>1</v>
      </c>
      <c r="D279">
        <v>8048</v>
      </c>
      <c r="E279">
        <v>8123</v>
      </c>
      <c r="F279">
        <v>8</v>
      </c>
      <c r="G279">
        <v>8</v>
      </c>
      <c r="H279">
        <v>1</v>
      </c>
      <c r="I279">
        <v>0</v>
      </c>
      <c r="J279">
        <v>0.5</v>
      </c>
    </row>
    <row r="280" spans="1:10" x14ac:dyDescent="0.3">
      <c r="A280">
        <v>278</v>
      </c>
      <c r="B280">
        <v>4429</v>
      </c>
      <c r="C280" t="b">
        <v>1</v>
      </c>
      <c r="D280">
        <v>8048</v>
      </c>
      <c r="E280">
        <v>8123</v>
      </c>
      <c r="F280">
        <v>8</v>
      </c>
      <c r="G280">
        <v>8</v>
      </c>
      <c r="H280">
        <v>1</v>
      </c>
      <c r="I280">
        <v>0</v>
      </c>
      <c r="J280">
        <v>0.5</v>
      </c>
    </row>
    <row r="281" spans="1:10" x14ac:dyDescent="0.3">
      <c r="A281">
        <v>279</v>
      </c>
      <c r="B281">
        <v>4445</v>
      </c>
      <c r="C281" t="b">
        <v>1</v>
      </c>
      <c r="D281">
        <v>8048</v>
      </c>
      <c r="E281">
        <v>8123</v>
      </c>
      <c r="F281">
        <v>8</v>
      </c>
      <c r="G281">
        <v>8</v>
      </c>
      <c r="H281">
        <v>1</v>
      </c>
      <c r="I281">
        <v>0</v>
      </c>
      <c r="J281">
        <v>0.5</v>
      </c>
    </row>
    <row r="282" spans="1:10" x14ac:dyDescent="0.3">
      <c r="A282">
        <v>280</v>
      </c>
      <c r="B282">
        <v>4461</v>
      </c>
      <c r="C282" t="b">
        <v>1</v>
      </c>
      <c r="D282">
        <v>8048</v>
      </c>
      <c r="E282">
        <v>8123</v>
      </c>
      <c r="F282">
        <v>8</v>
      </c>
      <c r="G282">
        <v>8</v>
      </c>
      <c r="H282">
        <v>1</v>
      </c>
      <c r="I282">
        <v>0</v>
      </c>
      <c r="J282">
        <v>0.5</v>
      </c>
    </row>
    <row r="283" spans="1:10" x14ac:dyDescent="0.3">
      <c r="A283">
        <v>281</v>
      </c>
      <c r="B283">
        <v>4477</v>
      </c>
      <c r="C283" t="b">
        <v>1</v>
      </c>
      <c r="D283">
        <v>8042</v>
      </c>
      <c r="E283">
        <v>8123</v>
      </c>
      <c r="F283">
        <v>8</v>
      </c>
      <c r="G283">
        <v>8</v>
      </c>
      <c r="H283">
        <v>1</v>
      </c>
      <c r="I283">
        <v>0</v>
      </c>
      <c r="J283">
        <v>0.5</v>
      </c>
    </row>
    <row r="284" spans="1:10" x14ac:dyDescent="0.3">
      <c r="A284">
        <v>282</v>
      </c>
      <c r="B284">
        <v>4493</v>
      </c>
      <c r="C284" t="b">
        <v>1</v>
      </c>
      <c r="D284">
        <v>8042</v>
      </c>
      <c r="E284">
        <v>8123</v>
      </c>
      <c r="F284">
        <v>8</v>
      </c>
      <c r="G284">
        <v>8</v>
      </c>
      <c r="H284">
        <v>1</v>
      </c>
      <c r="I284">
        <v>0</v>
      </c>
      <c r="J284">
        <v>0.5</v>
      </c>
    </row>
    <row r="285" spans="1:10" x14ac:dyDescent="0.3">
      <c r="A285">
        <v>283</v>
      </c>
      <c r="B285">
        <v>4509</v>
      </c>
      <c r="C285" t="b">
        <v>1</v>
      </c>
      <c r="D285">
        <v>8042</v>
      </c>
      <c r="E285">
        <v>8123</v>
      </c>
      <c r="F285">
        <v>7.6</v>
      </c>
      <c r="G285">
        <v>8</v>
      </c>
      <c r="H285">
        <v>0.95</v>
      </c>
      <c r="I285">
        <v>5.0000012000000003E-2</v>
      </c>
      <c r="J285">
        <v>0.51282050000000001</v>
      </c>
    </row>
    <row r="286" spans="1:10" x14ac:dyDescent="0.3">
      <c r="A286">
        <v>284</v>
      </c>
      <c r="B286">
        <v>4525</v>
      </c>
      <c r="C286" t="b">
        <v>1</v>
      </c>
      <c r="D286">
        <v>8048</v>
      </c>
      <c r="E286">
        <v>8123</v>
      </c>
      <c r="F286">
        <v>7.2</v>
      </c>
      <c r="G286">
        <v>8</v>
      </c>
      <c r="H286">
        <v>0.9</v>
      </c>
      <c r="I286">
        <v>0.10000002400000001</v>
      </c>
      <c r="J286">
        <v>0.5263158</v>
      </c>
    </row>
    <row r="287" spans="1:10" x14ac:dyDescent="0.3">
      <c r="A287">
        <v>285</v>
      </c>
      <c r="B287">
        <v>4540</v>
      </c>
      <c r="C287" t="b">
        <v>1</v>
      </c>
      <c r="D287">
        <v>8048</v>
      </c>
      <c r="E287">
        <v>8129</v>
      </c>
      <c r="F287">
        <v>6.8</v>
      </c>
      <c r="G287">
        <v>8</v>
      </c>
      <c r="H287">
        <v>0.85</v>
      </c>
      <c r="I287">
        <v>0.14999998</v>
      </c>
      <c r="J287">
        <v>0.54054049999999998</v>
      </c>
    </row>
    <row r="288" spans="1:10" x14ac:dyDescent="0.3">
      <c r="A288">
        <v>286</v>
      </c>
      <c r="B288">
        <v>4556</v>
      </c>
      <c r="C288" t="b">
        <v>1</v>
      </c>
      <c r="D288">
        <v>8048</v>
      </c>
      <c r="E288">
        <v>8129</v>
      </c>
      <c r="F288">
        <v>6.8</v>
      </c>
      <c r="G288">
        <v>8</v>
      </c>
      <c r="H288">
        <v>0.85</v>
      </c>
      <c r="I288">
        <v>0.14999998</v>
      </c>
      <c r="J288">
        <v>0.54054049999999998</v>
      </c>
    </row>
    <row r="289" spans="1:10" x14ac:dyDescent="0.3">
      <c r="A289">
        <v>287</v>
      </c>
      <c r="B289">
        <v>4572</v>
      </c>
      <c r="C289" t="b">
        <v>1</v>
      </c>
      <c r="D289">
        <v>8048</v>
      </c>
      <c r="E289">
        <v>8123</v>
      </c>
      <c r="F289">
        <v>6.8</v>
      </c>
      <c r="G289">
        <v>8</v>
      </c>
      <c r="H289">
        <v>0.85</v>
      </c>
      <c r="I289">
        <v>0.14999998</v>
      </c>
      <c r="J289">
        <v>0.54054049999999998</v>
      </c>
    </row>
    <row r="290" spans="1:10" x14ac:dyDescent="0.3">
      <c r="A290">
        <v>288</v>
      </c>
      <c r="B290">
        <v>4588</v>
      </c>
      <c r="C290" t="b">
        <v>1</v>
      </c>
      <c r="D290">
        <v>8048</v>
      </c>
      <c r="E290">
        <v>8123</v>
      </c>
      <c r="F290">
        <v>6.8</v>
      </c>
      <c r="G290">
        <v>8</v>
      </c>
      <c r="H290">
        <v>0.85</v>
      </c>
      <c r="I290">
        <v>0.14999998</v>
      </c>
      <c r="J290">
        <v>0.54054049999999998</v>
      </c>
    </row>
    <row r="291" spans="1:10" x14ac:dyDescent="0.3">
      <c r="A291">
        <v>289</v>
      </c>
      <c r="B291">
        <v>4604</v>
      </c>
      <c r="C291" t="b">
        <v>1</v>
      </c>
      <c r="D291">
        <v>8048</v>
      </c>
      <c r="E291">
        <v>8123</v>
      </c>
      <c r="F291">
        <v>6.8</v>
      </c>
      <c r="G291">
        <v>8</v>
      </c>
      <c r="H291">
        <v>0.85</v>
      </c>
      <c r="I291">
        <v>0.14999998</v>
      </c>
      <c r="J291">
        <v>0.54054049999999998</v>
      </c>
    </row>
    <row r="292" spans="1:10" x14ac:dyDescent="0.3">
      <c r="A292">
        <v>290</v>
      </c>
      <c r="B292">
        <v>4620</v>
      </c>
      <c r="C292" t="b">
        <v>1</v>
      </c>
      <c r="D292">
        <v>8048</v>
      </c>
      <c r="E292">
        <v>8123</v>
      </c>
      <c r="F292">
        <v>6.8</v>
      </c>
      <c r="G292">
        <v>8</v>
      </c>
      <c r="H292">
        <v>0.85</v>
      </c>
      <c r="I292">
        <v>0.14999998</v>
      </c>
      <c r="J292">
        <v>0.54054049999999998</v>
      </c>
    </row>
    <row r="293" spans="1:10" x14ac:dyDescent="0.3">
      <c r="A293">
        <v>291</v>
      </c>
      <c r="B293">
        <v>4636</v>
      </c>
      <c r="C293" t="b">
        <v>1</v>
      </c>
      <c r="D293">
        <v>8042</v>
      </c>
      <c r="E293">
        <v>8123</v>
      </c>
      <c r="F293">
        <v>6.8</v>
      </c>
      <c r="G293">
        <v>8</v>
      </c>
      <c r="H293">
        <v>0.85</v>
      </c>
      <c r="I293">
        <v>0.14999998</v>
      </c>
      <c r="J293">
        <v>0.54054049999999998</v>
      </c>
    </row>
    <row r="294" spans="1:10" x14ac:dyDescent="0.3">
      <c r="A294">
        <v>292</v>
      </c>
      <c r="B294">
        <v>4652</v>
      </c>
      <c r="C294" t="b">
        <v>1</v>
      </c>
      <c r="D294">
        <v>8048</v>
      </c>
      <c r="E294">
        <v>8123</v>
      </c>
      <c r="F294">
        <v>6.8</v>
      </c>
      <c r="G294">
        <v>8</v>
      </c>
      <c r="H294">
        <v>0.85</v>
      </c>
      <c r="I294">
        <v>0.14999998</v>
      </c>
      <c r="J294">
        <v>0.54054049999999998</v>
      </c>
    </row>
    <row r="295" spans="1:10" x14ac:dyDescent="0.3">
      <c r="A295">
        <v>293</v>
      </c>
      <c r="B295">
        <v>4668</v>
      </c>
      <c r="C295" t="b">
        <v>1</v>
      </c>
      <c r="D295">
        <v>8042</v>
      </c>
      <c r="E295">
        <v>8129</v>
      </c>
      <c r="F295">
        <v>6.8</v>
      </c>
      <c r="G295">
        <v>8</v>
      </c>
      <c r="H295">
        <v>0.85</v>
      </c>
      <c r="I295">
        <v>0.14999998</v>
      </c>
      <c r="J295">
        <v>0.54054049999999998</v>
      </c>
    </row>
    <row r="296" spans="1:10" x14ac:dyDescent="0.3">
      <c r="A296">
        <v>294</v>
      </c>
      <c r="B296">
        <v>4684</v>
      </c>
      <c r="C296" t="b">
        <v>1</v>
      </c>
      <c r="D296">
        <v>8048</v>
      </c>
      <c r="E296">
        <v>8123</v>
      </c>
      <c r="F296">
        <v>6.8</v>
      </c>
      <c r="G296">
        <v>8</v>
      </c>
      <c r="H296">
        <v>0.85</v>
      </c>
      <c r="I296">
        <v>0.14999998</v>
      </c>
      <c r="J296">
        <v>0.54054049999999998</v>
      </c>
    </row>
    <row r="297" spans="1:10" x14ac:dyDescent="0.3">
      <c r="A297">
        <v>295</v>
      </c>
      <c r="B297">
        <v>4700</v>
      </c>
      <c r="C297" t="b">
        <v>1</v>
      </c>
      <c r="D297">
        <v>8048</v>
      </c>
      <c r="E297">
        <v>8123</v>
      </c>
      <c r="F297">
        <v>6.8</v>
      </c>
      <c r="G297">
        <v>8</v>
      </c>
      <c r="H297">
        <v>0.85</v>
      </c>
      <c r="I297">
        <v>0.14999998</v>
      </c>
      <c r="J297">
        <v>0.54054049999999998</v>
      </c>
    </row>
    <row r="298" spans="1:10" x14ac:dyDescent="0.3">
      <c r="A298">
        <v>296</v>
      </c>
      <c r="B298">
        <v>4716</v>
      </c>
      <c r="C298" t="b">
        <v>1</v>
      </c>
      <c r="D298">
        <v>8048</v>
      </c>
      <c r="E298">
        <v>8129</v>
      </c>
      <c r="F298">
        <v>6.8</v>
      </c>
      <c r="G298">
        <v>8</v>
      </c>
      <c r="H298">
        <v>0.85</v>
      </c>
      <c r="I298">
        <v>0.14999998</v>
      </c>
      <c r="J298">
        <v>0.54054049999999998</v>
      </c>
    </row>
    <row r="299" spans="1:10" x14ac:dyDescent="0.3">
      <c r="A299">
        <v>297</v>
      </c>
      <c r="B299">
        <v>4732</v>
      </c>
      <c r="C299" t="b">
        <v>1</v>
      </c>
      <c r="D299">
        <v>8048</v>
      </c>
      <c r="E299">
        <v>8129</v>
      </c>
      <c r="F299">
        <v>6.8</v>
      </c>
      <c r="G299">
        <v>8.4</v>
      </c>
      <c r="H299">
        <v>0.80952389999999996</v>
      </c>
      <c r="I299">
        <v>0.19047612999999999</v>
      </c>
      <c r="J299">
        <v>0.55263156000000002</v>
      </c>
    </row>
    <row r="300" spans="1:10" x14ac:dyDescent="0.3">
      <c r="A300">
        <v>298</v>
      </c>
      <c r="B300">
        <v>4748</v>
      </c>
      <c r="C300" t="b">
        <v>1</v>
      </c>
      <c r="D300">
        <v>8048</v>
      </c>
      <c r="E300">
        <v>8123</v>
      </c>
      <c r="F300">
        <v>7.2</v>
      </c>
      <c r="G300">
        <v>8.4</v>
      </c>
      <c r="H300">
        <v>0.85714287</v>
      </c>
      <c r="I300">
        <v>0.14285712</v>
      </c>
      <c r="J300">
        <v>0.53846150000000004</v>
      </c>
    </row>
    <row r="301" spans="1:10" x14ac:dyDescent="0.3">
      <c r="A301">
        <v>299</v>
      </c>
      <c r="B301">
        <v>4763</v>
      </c>
      <c r="C301" t="b">
        <v>1</v>
      </c>
      <c r="D301">
        <v>8048</v>
      </c>
      <c r="E301">
        <v>8123</v>
      </c>
      <c r="F301">
        <v>7.6</v>
      </c>
      <c r="G301">
        <v>8.4</v>
      </c>
      <c r="H301">
        <v>0.90476190000000001</v>
      </c>
      <c r="I301">
        <v>9.5238069999999994E-2</v>
      </c>
      <c r="J301">
        <v>0.52500000000000002</v>
      </c>
    </row>
    <row r="302" spans="1:10" x14ac:dyDescent="0.3">
      <c r="A302">
        <v>300</v>
      </c>
      <c r="B302">
        <v>4779</v>
      </c>
      <c r="C302" t="b">
        <v>1</v>
      </c>
      <c r="D302">
        <v>8048</v>
      </c>
      <c r="E302">
        <v>8129</v>
      </c>
      <c r="F302">
        <v>8</v>
      </c>
      <c r="G302">
        <v>8.8000000000000007</v>
      </c>
      <c r="H302">
        <v>0.90909090000000004</v>
      </c>
      <c r="I302">
        <v>9.0909110000000001E-2</v>
      </c>
      <c r="J302">
        <v>0.52380954999999996</v>
      </c>
    </row>
    <row r="303" spans="1:10" x14ac:dyDescent="0.3">
      <c r="A303">
        <v>301</v>
      </c>
      <c r="B303">
        <v>4795</v>
      </c>
      <c r="C303" t="b">
        <v>1</v>
      </c>
      <c r="D303">
        <v>8048</v>
      </c>
      <c r="E303">
        <v>8123</v>
      </c>
      <c r="F303">
        <v>8</v>
      </c>
      <c r="G303">
        <v>8.8000000000000007</v>
      </c>
      <c r="H303">
        <v>0.90909090000000004</v>
      </c>
      <c r="I303">
        <v>9.0909110000000001E-2</v>
      </c>
      <c r="J303">
        <v>0.52380954999999996</v>
      </c>
    </row>
    <row r="304" spans="1:10" x14ac:dyDescent="0.3">
      <c r="A304">
        <v>302</v>
      </c>
      <c r="B304">
        <v>4811</v>
      </c>
      <c r="C304" t="b">
        <v>1</v>
      </c>
      <c r="D304">
        <v>8048</v>
      </c>
      <c r="E304">
        <v>8129</v>
      </c>
      <c r="F304">
        <v>8</v>
      </c>
      <c r="G304">
        <v>8.8000000000000007</v>
      </c>
      <c r="H304">
        <v>0.90909090000000004</v>
      </c>
      <c r="I304">
        <v>9.0909110000000001E-2</v>
      </c>
      <c r="J304">
        <v>0.52380954999999996</v>
      </c>
    </row>
    <row r="305" spans="1:10" x14ac:dyDescent="0.3">
      <c r="A305">
        <v>303</v>
      </c>
      <c r="B305">
        <v>4827</v>
      </c>
      <c r="C305" t="b">
        <v>1</v>
      </c>
      <c r="D305">
        <v>8048</v>
      </c>
      <c r="E305">
        <v>8123</v>
      </c>
      <c r="F305">
        <v>8</v>
      </c>
      <c r="G305">
        <v>8.8000000000000007</v>
      </c>
      <c r="H305">
        <v>0.90909090000000004</v>
      </c>
      <c r="I305">
        <v>9.0909110000000001E-2</v>
      </c>
      <c r="J305">
        <v>0.52380954999999996</v>
      </c>
    </row>
    <row r="306" spans="1:10" x14ac:dyDescent="0.3">
      <c r="A306">
        <v>304</v>
      </c>
      <c r="B306">
        <v>4843</v>
      </c>
      <c r="C306" t="b">
        <v>1</v>
      </c>
      <c r="D306">
        <v>8048</v>
      </c>
      <c r="E306">
        <v>8123</v>
      </c>
      <c r="F306">
        <v>8</v>
      </c>
      <c r="G306">
        <v>8.8000000000000007</v>
      </c>
      <c r="H306">
        <v>0.90909090000000004</v>
      </c>
      <c r="I306">
        <v>9.0909110000000001E-2</v>
      </c>
      <c r="J306">
        <v>0.52380954999999996</v>
      </c>
    </row>
    <row r="307" spans="1:10" x14ac:dyDescent="0.3">
      <c r="A307">
        <v>305</v>
      </c>
      <c r="B307">
        <v>4859</v>
      </c>
      <c r="C307" t="b">
        <v>1</v>
      </c>
      <c r="D307">
        <v>8048</v>
      </c>
      <c r="E307">
        <v>8123</v>
      </c>
      <c r="F307">
        <v>8</v>
      </c>
      <c r="G307">
        <v>8.8000000000000007</v>
      </c>
      <c r="H307">
        <v>0.90909090000000004</v>
      </c>
      <c r="I307">
        <v>9.0909110000000001E-2</v>
      </c>
      <c r="J307">
        <v>0.52380954999999996</v>
      </c>
    </row>
    <row r="308" spans="1:10" x14ac:dyDescent="0.3">
      <c r="A308">
        <v>306</v>
      </c>
      <c r="B308">
        <v>4875</v>
      </c>
      <c r="C308" t="b">
        <v>1</v>
      </c>
      <c r="D308">
        <v>8042</v>
      </c>
      <c r="E308">
        <v>8123</v>
      </c>
      <c r="F308">
        <v>8</v>
      </c>
      <c r="G308">
        <v>8.8000000000000007</v>
      </c>
      <c r="H308">
        <v>0.90909090000000004</v>
      </c>
      <c r="I308">
        <v>9.0909110000000001E-2</v>
      </c>
      <c r="J308">
        <v>0.52380954999999996</v>
      </c>
    </row>
    <row r="309" spans="1:10" x14ac:dyDescent="0.3">
      <c r="A309">
        <v>307</v>
      </c>
      <c r="B309">
        <v>4891</v>
      </c>
      <c r="C309" t="b">
        <v>1</v>
      </c>
      <c r="D309">
        <v>8042</v>
      </c>
      <c r="E309">
        <v>8123</v>
      </c>
      <c r="F309">
        <v>8</v>
      </c>
      <c r="G309">
        <v>8.8000000000000007</v>
      </c>
      <c r="H309">
        <v>0.90909090000000004</v>
      </c>
      <c r="I309">
        <v>9.0909110000000001E-2</v>
      </c>
      <c r="J309">
        <v>0.52380954999999996</v>
      </c>
    </row>
    <row r="310" spans="1:10" x14ac:dyDescent="0.3">
      <c r="A310">
        <v>308</v>
      </c>
      <c r="B310">
        <v>4906</v>
      </c>
      <c r="C310" t="b">
        <v>1</v>
      </c>
      <c r="D310">
        <v>8048</v>
      </c>
      <c r="E310">
        <v>8123</v>
      </c>
      <c r="F310">
        <v>8</v>
      </c>
      <c r="G310">
        <v>8.8000000000000007</v>
      </c>
      <c r="H310">
        <v>0.90909090000000004</v>
      </c>
      <c r="I310">
        <v>9.0909110000000001E-2</v>
      </c>
      <c r="J310">
        <v>0.52380954999999996</v>
      </c>
    </row>
    <row r="311" spans="1:10" x14ac:dyDescent="0.3">
      <c r="A311">
        <v>309</v>
      </c>
      <c r="B311">
        <v>4922</v>
      </c>
      <c r="C311" t="b">
        <v>1</v>
      </c>
      <c r="D311">
        <v>8048</v>
      </c>
      <c r="E311">
        <v>8123</v>
      </c>
      <c r="F311">
        <v>8</v>
      </c>
      <c r="G311">
        <v>8.8000000000000007</v>
      </c>
      <c r="H311">
        <v>0.90909090000000004</v>
      </c>
      <c r="I311">
        <v>9.0909110000000001E-2</v>
      </c>
      <c r="J311">
        <v>0.52380954999999996</v>
      </c>
    </row>
    <row r="312" spans="1:10" x14ac:dyDescent="0.3">
      <c r="A312">
        <v>310</v>
      </c>
      <c r="B312">
        <v>4938</v>
      </c>
      <c r="C312" t="b">
        <v>1</v>
      </c>
      <c r="D312">
        <v>8048</v>
      </c>
      <c r="E312">
        <v>8123</v>
      </c>
      <c r="F312">
        <v>8</v>
      </c>
      <c r="G312">
        <v>8.8000000000000007</v>
      </c>
      <c r="H312">
        <v>0.90909090000000004</v>
      </c>
      <c r="I312">
        <v>9.0909110000000001E-2</v>
      </c>
      <c r="J312">
        <v>0.52380954999999996</v>
      </c>
    </row>
    <row r="313" spans="1:10" x14ac:dyDescent="0.3">
      <c r="A313">
        <v>311</v>
      </c>
      <c r="B313">
        <v>4954</v>
      </c>
      <c r="C313" t="b">
        <v>1</v>
      </c>
      <c r="D313">
        <v>8048</v>
      </c>
      <c r="E313">
        <v>8129</v>
      </c>
      <c r="F313">
        <v>8</v>
      </c>
      <c r="G313">
        <v>8.8000000000000007</v>
      </c>
      <c r="H313">
        <v>0.90909090000000004</v>
      </c>
      <c r="I313">
        <v>9.0909110000000001E-2</v>
      </c>
      <c r="J313">
        <v>0.52380954999999996</v>
      </c>
    </row>
    <row r="314" spans="1:10" x14ac:dyDescent="0.3">
      <c r="A314">
        <v>312</v>
      </c>
      <c r="B314">
        <v>4970</v>
      </c>
      <c r="C314" t="b">
        <v>1</v>
      </c>
      <c r="D314">
        <v>8048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4986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5001</v>
      </c>
      <c r="C316" t="b">
        <v>1</v>
      </c>
      <c r="D316">
        <v>8048</v>
      </c>
      <c r="E316">
        <v>8129</v>
      </c>
      <c r="F316">
        <v>8</v>
      </c>
      <c r="G316">
        <v>8.4</v>
      </c>
      <c r="H316">
        <v>0.95238100000000003</v>
      </c>
      <c r="I316">
        <v>4.7619003999999999E-2</v>
      </c>
      <c r="J316">
        <v>0.51219510000000001</v>
      </c>
    </row>
    <row r="317" spans="1:10" x14ac:dyDescent="0.3">
      <c r="A317">
        <v>315</v>
      </c>
      <c r="B317">
        <v>5017</v>
      </c>
      <c r="C317" t="b">
        <v>1</v>
      </c>
      <c r="D317">
        <v>8048</v>
      </c>
      <c r="E317">
        <v>8123</v>
      </c>
      <c r="F317">
        <v>8</v>
      </c>
      <c r="G317">
        <v>8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5033</v>
      </c>
      <c r="C318" t="b">
        <v>1</v>
      </c>
      <c r="D318">
        <v>8042</v>
      </c>
      <c r="E318">
        <v>8123</v>
      </c>
      <c r="F318">
        <v>8</v>
      </c>
      <c r="G318">
        <v>8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5049</v>
      </c>
      <c r="C319" t="b">
        <v>1</v>
      </c>
      <c r="D319">
        <v>8048</v>
      </c>
      <c r="E319">
        <v>8123</v>
      </c>
      <c r="F319">
        <v>8</v>
      </c>
      <c r="G319">
        <v>8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5065</v>
      </c>
      <c r="C320" t="b">
        <v>1</v>
      </c>
      <c r="D320">
        <v>8048</v>
      </c>
      <c r="E320">
        <v>8117</v>
      </c>
      <c r="F320">
        <v>8</v>
      </c>
      <c r="G320">
        <v>8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5081</v>
      </c>
      <c r="C321" t="b">
        <v>1</v>
      </c>
      <c r="D321">
        <v>8042</v>
      </c>
      <c r="E321">
        <v>8123</v>
      </c>
      <c r="F321">
        <v>8</v>
      </c>
      <c r="G321">
        <v>8</v>
      </c>
      <c r="H321">
        <v>1</v>
      </c>
      <c r="I321">
        <v>0</v>
      </c>
      <c r="J321">
        <v>0.5</v>
      </c>
    </row>
    <row r="322" spans="1:10" x14ac:dyDescent="0.3">
      <c r="A322">
        <v>320</v>
      </c>
      <c r="B322">
        <v>5097</v>
      </c>
      <c r="C322" t="b">
        <v>1</v>
      </c>
      <c r="D322">
        <v>8048</v>
      </c>
      <c r="E322">
        <v>8129</v>
      </c>
      <c r="F322">
        <v>8</v>
      </c>
      <c r="G322">
        <v>8</v>
      </c>
      <c r="H322">
        <v>1</v>
      </c>
      <c r="I322">
        <v>0</v>
      </c>
      <c r="J322">
        <v>0.5</v>
      </c>
    </row>
    <row r="323" spans="1:10" x14ac:dyDescent="0.3">
      <c r="A323">
        <v>321</v>
      </c>
      <c r="B323">
        <v>5113</v>
      </c>
      <c r="C323" t="b">
        <v>1</v>
      </c>
      <c r="D323">
        <v>8048</v>
      </c>
      <c r="E323">
        <v>8117</v>
      </c>
      <c r="F323">
        <v>8</v>
      </c>
      <c r="G323">
        <v>8</v>
      </c>
      <c r="H323">
        <v>1</v>
      </c>
      <c r="I323">
        <v>0</v>
      </c>
      <c r="J323">
        <v>0.5</v>
      </c>
    </row>
    <row r="324" spans="1:10" x14ac:dyDescent="0.3">
      <c r="A324">
        <v>322</v>
      </c>
      <c r="B324">
        <v>5129</v>
      </c>
      <c r="C324" t="b">
        <v>1</v>
      </c>
      <c r="D324">
        <v>8042</v>
      </c>
      <c r="E324">
        <v>8117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5145</v>
      </c>
      <c r="C325" t="b">
        <v>1</v>
      </c>
      <c r="D325">
        <v>8048</v>
      </c>
      <c r="E325">
        <v>8117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5161</v>
      </c>
      <c r="C326" t="b">
        <v>1</v>
      </c>
      <c r="D326">
        <v>8042</v>
      </c>
      <c r="E326">
        <v>8123</v>
      </c>
      <c r="F326">
        <v>8</v>
      </c>
      <c r="G326">
        <v>6.8</v>
      </c>
      <c r="H326">
        <v>1.1764705</v>
      </c>
      <c r="I326">
        <v>-0.17647055</v>
      </c>
      <c r="J326">
        <v>0.45945944999999999</v>
      </c>
    </row>
    <row r="327" spans="1:10" x14ac:dyDescent="0.3">
      <c r="A327">
        <v>325</v>
      </c>
      <c r="B327">
        <v>5177</v>
      </c>
      <c r="C327" t="b">
        <v>1</v>
      </c>
      <c r="D327">
        <v>8048</v>
      </c>
      <c r="E327">
        <v>8123</v>
      </c>
      <c r="F327">
        <v>8</v>
      </c>
      <c r="G327">
        <v>6.4</v>
      </c>
      <c r="H327">
        <v>1.25</v>
      </c>
      <c r="I327">
        <v>-0.24999999000000001</v>
      </c>
      <c r="J327">
        <v>0.44444447999999998</v>
      </c>
    </row>
    <row r="328" spans="1:10" x14ac:dyDescent="0.3">
      <c r="A328">
        <v>326</v>
      </c>
      <c r="B328">
        <v>5193</v>
      </c>
      <c r="C328" t="b">
        <v>1</v>
      </c>
      <c r="D328">
        <v>8042</v>
      </c>
      <c r="E328">
        <v>8117</v>
      </c>
      <c r="F328">
        <v>7.6</v>
      </c>
      <c r="G328">
        <v>6</v>
      </c>
      <c r="H328">
        <v>1.2666667</v>
      </c>
      <c r="I328">
        <v>-0.26666665000000001</v>
      </c>
      <c r="J328">
        <v>0.44117644</v>
      </c>
    </row>
    <row r="329" spans="1:10" x14ac:dyDescent="0.3">
      <c r="A329">
        <v>327</v>
      </c>
      <c r="B329">
        <v>5208</v>
      </c>
      <c r="C329" t="b">
        <v>1</v>
      </c>
      <c r="D329">
        <v>8048</v>
      </c>
      <c r="E329">
        <v>8123</v>
      </c>
      <c r="F329">
        <v>7.6</v>
      </c>
      <c r="G329">
        <v>6</v>
      </c>
      <c r="H329">
        <v>1.2666667</v>
      </c>
      <c r="I329">
        <v>-0.26666665000000001</v>
      </c>
      <c r="J329">
        <v>0.44117644</v>
      </c>
    </row>
    <row r="330" spans="1:10" x14ac:dyDescent="0.3">
      <c r="A330">
        <v>328</v>
      </c>
      <c r="B330">
        <v>5224</v>
      </c>
      <c r="C330" t="b">
        <v>1</v>
      </c>
      <c r="D330">
        <v>8048</v>
      </c>
      <c r="E330">
        <v>8123</v>
      </c>
      <c r="F330">
        <v>7.6</v>
      </c>
      <c r="G330">
        <v>6</v>
      </c>
      <c r="H330">
        <v>1.2666667</v>
      </c>
      <c r="I330">
        <v>-0.26666665000000001</v>
      </c>
      <c r="J330">
        <v>0.44117644</v>
      </c>
    </row>
    <row r="331" spans="1:10" x14ac:dyDescent="0.3">
      <c r="A331">
        <v>329</v>
      </c>
      <c r="B331">
        <v>5240</v>
      </c>
      <c r="C331" t="b">
        <v>1</v>
      </c>
      <c r="D331">
        <v>8048</v>
      </c>
      <c r="E331">
        <v>8123</v>
      </c>
      <c r="F331">
        <v>7.6</v>
      </c>
      <c r="G331">
        <v>6</v>
      </c>
      <c r="H331">
        <v>1.2666667</v>
      </c>
      <c r="I331">
        <v>-0.26666665000000001</v>
      </c>
      <c r="J331">
        <v>0.44117644</v>
      </c>
    </row>
    <row r="332" spans="1:10" x14ac:dyDescent="0.3">
      <c r="A332">
        <v>330</v>
      </c>
      <c r="B332">
        <v>5256</v>
      </c>
      <c r="C332" t="b">
        <v>1</v>
      </c>
      <c r="D332">
        <v>8048</v>
      </c>
      <c r="E332">
        <v>8123</v>
      </c>
      <c r="F332">
        <v>7.6</v>
      </c>
      <c r="G332">
        <v>6</v>
      </c>
      <c r="H332">
        <v>1.2666667</v>
      </c>
      <c r="I332">
        <v>-0.26666665000000001</v>
      </c>
      <c r="J332">
        <v>0.44117644</v>
      </c>
    </row>
    <row r="333" spans="1:10" x14ac:dyDescent="0.3">
      <c r="A333">
        <v>331</v>
      </c>
      <c r="B333">
        <v>5272</v>
      </c>
      <c r="C333" t="b">
        <v>1</v>
      </c>
      <c r="D333">
        <v>8048</v>
      </c>
      <c r="E333">
        <v>8123</v>
      </c>
      <c r="F333">
        <v>7.6</v>
      </c>
      <c r="G333">
        <v>6</v>
      </c>
      <c r="H333">
        <v>1.2666667</v>
      </c>
      <c r="I333">
        <v>-0.26666665000000001</v>
      </c>
      <c r="J333">
        <v>0.44117644</v>
      </c>
    </row>
    <row r="334" spans="1:10" x14ac:dyDescent="0.3">
      <c r="A334">
        <v>332</v>
      </c>
      <c r="B334">
        <v>5288</v>
      </c>
      <c r="C334" t="b">
        <v>1</v>
      </c>
      <c r="D334">
        <v>8054</v>
      </c>
      <c r="E334">
        <v>8117</v>
      </c>
      <c r="F334">
        <v>7.6</v>
      </c>
      <c r="G334">
        <v>6</v>
      </c>
      <c r="H334">
        <v>1.2666667</v>
      </c>
      <c r="I334">
        <v>-0.26666665000000001</v>
      </c>
      <c r="J334">
        <v>0.44117644</v>
      </c>
    </row>
    <row r="335" spans="1:10" x14ac:dyDescent="0.3">
      <c r="A335">
        <v>333</v>
      </c>
      <c r="B335">
        <v>5304</v>
      </c>
      <c r="C335" t="b">
        <v>1</v>
      </c>
      <c r="D335">
        <v>8048</v>
      </c>
      <c r="E335">
        <v>8123</v>
      </c>
      <c r="F335">
        <v>7.6</v>
      </c>
      <c r="G335">
        <v>6</v>
      </c>
      <c r="H335">
        <v>1.2666667</v>
      </c>
      <c r="I335">
        <v>-0.26666665000000001</v>
      </c>
      <c r="J335">
        <v>0.44117644</v>
      </c>
    </row>
    <row r="336" spans="1:10" x14ac:dyDescent="0.3">
      <c r="A336">
        <v>334</v>
      </c>
      <c r="B336">
        <v>5319</v>
      </c>
      <c r="C336" t="b">
        <v>1</v>
      </c>
      <c r="D336">
        <v>8042</v>
      </c>
      <c r="E336">
        <v>8123</v>
      </c>
      <c r="F336">
        <v>7.6</v>
      </c>
      <c r="G336">
        <v>6</v>
      </c>
      <c r="H336">
        <v>1.2666667</v>
      </c>
      <c r="I336">
        <v>-0.26666665000000001</v>
      </c>
      <c r="J336">
        <v>0.44117644</v>
      </c>
    </row>
    <row r="337" spans="1:10" x14ac:dyDescent="0.3">
      <c r="A337">
        <v>335</v>
      </c>
      <c r="B337">
        <v>5335</v>
      </c>
      <c r="C337" t="b">
        <v>1</v>
      </c>
      <c r="D337">
        <v>8048</v>
      </c>
      <c r="E337">
        <v>8123</v>
      </c>
      <c r="F337">
        <v>7.6</v>
      </c>
      <c r="G337">
        <v>6</v>
      </c>
      <c r="H337">
        <v>1.2666667</v>
      </c>
      <c r="I337">
        <v>-0.26666665000000001</v>
      </c>
      <c r="J337">
        <v>0.44117644</v>
      </c>
    </row>
    <row r="338" spans="1:10" x14ac:dyDescent="0.3">
      <c r="A338">
        <v>336</v>
      </c>
      <c r="B338">
        <v>5351</v>
      </c>
      <c r="C338" t="b">
        <v>1</v>
      </c>
      <c r="D338">
        <v>8048</v>
      </c>
      <c r="E338">
        <v>8134</v>
      </c>
      <c r="F338">
        <v>7.6</v>
      </c>
      <c r="G338">
        <v>6</v>
      </c>
      <c r="H338">
        <v>1.2666667</v>
      </c>
      <c r="I338">
        <v>-0.26666665000000001</v>
      </c>
      <c r="J338">
        <v>0.44117644</v>
      </c>
    </row>
    <row r="339" spans="1:10" x14ac:dyDescent="0.3">
      <c r="A339">
        <v>337</v>
      </c>
      <c r="B339">
        <v>5367</v>
      </c>
      <c r="C339" t="b">
        <v>1</v>
      </c>
      <c r="D339">
        <v>8048</v>
      </c>
      <c r="E339">
        <v>8134</v>
      </c>
      <c r="F339">
        <v>7.6</v>
      </c>
      <c r="G339">
        <v>6.4</v>
      </c>
      <c r="H339">
        <v>1.1875</v>
      </c>
      <c r="I339">
        <v>-0.18749996999999999</v>
      </c>
      <c r="J339">
        <v>0.45714285999999998</v>
      </c>
    </row>
    <row r="340" spans="1:10" x14ac:dyDescent="0.3">
      <c r="A340">
        <v>338</v>
      </c>
      <c r="B340">
        <v>5383</v>
      </c>
      <c r="C340" t="b">
        <v>1</v>
      </c>
      <c r="D340">
        <v>8048</v>
      </c>
      <c r="E340">
        <v>8123</v>
      </c>
      <c r="F340">
        <v>7.6</v>
      </c>
      <c r="G340">
        <v>6.8</v>
      </c>
      <c r="H340">
        <v>1.1176470000000001</v>
      </c>
      <c r="I340">
        <v>-0.11764701499999999</v>
      </c>
      <c r="J340">
        <v>0.47222224000000002</v>
      </c>
    </row>
    <row r="341" spans="1:10" x14ac:dyDescent="0.3">
      <c r="A341">
        <v>339</v>
      </c>
      <c r="B341">
        <v>5399</v>
      </c>
      <c r="C341" t="b">
        <v>1</v>
      </c>
      <c r="D341">
        <v>8048</v>
      </c>
      <c r="E341">
        <v>8129</v>
      </c>
      <c r="F341">
        <v>7.6</v>
      </c>
      <c r="G341">
        <v>7.6</v>
      </c>
      <c r="H341">
        <v>1</v>
      </c>
      <c r="I341">
        <v>0</v>
      </c>
      <c r="J341">
        <v>0.5</v>
      </c>
    </row>
    <row r="342" spans="1:10" x14ac:dyDescent="0.3">
      <c r="A342">
        <v>340</v>
      </c>
      <c r="B342">
        <v>5414</v>
      </c>
      <c r="C342" t="b">
        <v>1</v>
      </c>
      <c r="D342">
        <v>8048</v>
      </c>
      <c r="E342">
        <v>8123</v>
      </c>
      <c r="F342">
        <v>7.6</v>
      </c>
      <c r="G342">
        <v>8.4</v>
      </c>
      <c r="H342">
        <v>0.90476190000000001</v>
      </c>
      <c r="I342">
        <v>9.5238069999999994E-2</v>
      </c>
      <c r="J342">
        <v>0.52500000000000002</v>
      </c>
    </row>
    <row r="343" spans="1:10" x14ac:dyDescent="0.3">
      <c r="A343">
        <v>341</v>
      </c>
      <c r="B343">
        <v>5430</v>
      </c>
      <c r="C343" t="b">
        <v>1</v>
      </c>
      <c r="D343">
        <v>8048</v>
      </c>
      <c r="E343">
        <v>8123</v>
      </c>
      <c r="F343">
        <v>8</v>
      </c>
      <c r="G343">
        <v>8.8000000000000007</v>
      </c>
      <c r="H343">
        <v>0.90909090000000004</v>
      </c>
      <c r="I343">
        <v>9.0909110000000001E-2</v>
      </c>
      <c r="J343">
        <v>0.52380954999999996</v>
      </c>
    </row>
    <row r="344" spans="1:10" x14ac:dyDescent="0.3">
      <c r="A344">
        <v>342</v>
      </c>
      <c r="B344">
        <v>5446</v>
      </c>
      <c r="C344" t="b">
        <v>1</v>
      </c>
      <c r="D344">
        <v>8048</v>
      </c>
      <c r="E344">
        <v>8123</v>
      </c>
      <c r="F344">
        <v>8</v>
      </c>
      <c r="G344">
        <v>8.8000000000000007</v>
      </c>
      <c r="H344">
        <v>0.90909090000000004</v>
      </c>
      <c r="I344">
        <v>9.0909110000000001E-2</v>
      </c>
      <c r="J344">
        <v>0.52380954999999996</v>
      </c>
    </row>
    <row r="345" spans="1:10" x14ac:dyDescent="0.3">
      <c r="A345">
        <v>343</v>
      </c>
      <c r="B345">
        <v>5462</v>
      </c>
      <c r="C345" t="b">
        <v>1</v>
      </c>
      <c r="D345">
        <v>8048</v>
      </c>
      <c r="E345">
        <v>8123</v>
      </c>
      <c r="F345">
        <v>8</v>
      </c>
      <c r="G345">
        <v>8.8000000000000007</v>
      </c>
      <c r="H345">
        <v>0.90909090000000004</v>
      </c>
      <c r="I345">
        <v>9.0909110000000001E-2</v>
      </c>
      <c r="J345">
        <v>0.52380954999999996</v>
      </c>
    </row>
    <row r="346" spans="1:10" x14ac:dyDescent="0.3">
      <c r="A346">
        <v>344</v>
      </c>
      <c r="B346">
        <v>5478</v>
      </c>
      <c r="C346" t="b">
        <v>1</v>
      </c>
      <c r="D346">
        <v>8048</v>
      </c>
      <c r="E346">
        <v>8123</v>
      </c>
      <c r="F346">
        <v>8</v>
      </c>
      <c r="G346">
        <v>8.8000000000000007</v>
      </c>
      <c r="H346">
        <v>0.90909090000000004</v>
      </c>
      <c r="I346">
        <v>9.0909110000000001E-2</v>
      </c>
      <c r="J346">
        <v>0.52380954999999996</v>
      </c>
    </row>
    <row r="347" spans="1:10" x14ac:dyDescent="0.3">
      <c r="A347">
        <v>345</v>
      </c>
      <c r="B347">
        <v>5493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5509</v>
      </c>
      <c r="C348" t="b">
        <v>1</v>
      </c>
      <c r="D348">
        <v>8042</v>
      </c>
      <c r="E348">
        <v>8123</v>
      </c>
      <c r="F348">
        <v>8</v>
      </c>
      <c r="G348">
        <v>8.8000000000000007</v>
      </c>
      <c r="H348">
        <v>0.90909090000000004</v>
      </c>
      <c r="I348">
        <v>9.0909110000000001E-2</v>
      </c>
      <c r="J348">
        <v>0.52380954999999996</v>
      </c>
    </row>
    <row r="349" spans="1:10" x14ac:dyDescent="0.3">
      <c r="A349">
        <v>347</v>
      </c>
      <c r="B349">
        <v>5525</v>
      </c>
      <c r="C349" t="b">
        <v>1</v>
      </c>
      <c r="D349">
        <v>8042</v>
      </c>
      <c r="E349">
        <v>8129</v>
      </c>
      <c r="F349">
        <v>8</v>
      </c>
      <c r="G349">
        <v>8.8000000000000007</v>
      </c>
      <c r="H349">
        <v>0.90909090000000004</v>
      </c>
      <c r="I349">
        <v>9.0909110000000001E-2</v>
      </c>
      <c r="J349">
        <v>0.52380954999999996</v>
      </c>
    </row>
    <row r="350" spans="1:10" x14ac:dyDescent="0.3">
      <c r="A350">
        <v>348</v>
      </c>
      <c r="B350">
        <v>5541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5557</v>
      </c>
      <c r="C351" t="b">
        <v>1</v>
      </c>
      <c r="D351">
        <v>8048</v>
      </c>
      <c r="E351">
        <v>8123</v>
      </c>
      <c r="F351">
        <v>8</v>
      </c>
      <c r="G351">
        <v>8.8000000000000007</v>
      </c>
      <c r="H351">
        <v>0.90909090000000004</v>
      </c>
      <c r="I351">
        <v>9.0909110000000001E-2</v>
      </c>
      <c r="J351">
        <v>0.52380954999999996</v>
      </c>
    </row>
    <row r="352" spans="1:10" x14ac:dyDescent="0.3">
      <c r="A352">
        <v>350</v>
      </c>
      <c r="B352">
        <v>5573</v>
      </c>
      <c r="C352" t="b">
        <v>1</v>
      </c>
      <c r="D352">
        <v>8048</v>
      </c>
      <c r="E352">
        <v>8129</v>
      </c>
      <c r="F352">
        <v>8</v>
      </c>
      <c r="G352">
        <v>8.8000000000000007</v>
      </c>
      <c r="H352">
        <v>0.90909090000000004</v>
      </c>
      <c r="I352">
        <v>9.0909110000000001E-2</v>
      </c>
      <c r="J352">
        <v>0.52380954999999996</v>
      </c>
    </row>
    <row r="353" spans="1:10" x14ac:dyDescent="0.3">
      <c r="A353">
        <v>351</v>
      </c>
      <c r="B353">
        <v>5589</v>
      </c>
      <c r="C353" t="b">
        <v>1</v>
      </c>
      <c r="D353">
        <v>8048</v>
      </c>
      <c r="E353">
        <v>8123</v>
      </c>
      <c r="F353">
        <v>8</v>
      </c>
      <c r="G353">
        <v>8.8000000000000007</v>
      </c>
      <c r="H353">
        <v>0.90909090000000004</v>
      </c>
      <c r="I353">
        <v>9.0909110000000001E-2</v>
      </c>
      <c r="J353">
        <v>0.52380954999999996</v>
      </c>
    </row>
    <row r="354" spans="1:10" x14ac:dyDescent="0.3">
      <c r="A354">
        <v>352</v>
      </c>
      <c r="B354">
        <v>5604</v>
      </c>
      <c r="C354" t="b">
        <v>1</v>
      </c>
      <c r="D354">
        <v>8042</v>
      </c>
      <c r="E354">
        <v>8123</v>
      </c>
      <c r="F354">
        <v>8</v>
      </c>
      <c r="G354">
        <v>8.8000000000000007</v>
      </c>
      <c r="H354">
        <v>0.90909090000000004</v>
      </c>
      <c r="I354">
        <v>9.0909110000000001E-2</v>
      </c>
      <c r="J354">
        <v>0.52380954999999996</v>
      </c>
    </row>
    <row r="355" spans="1:10" x14ac:dyDescent="0.3">
      <c r="A355">
        <v>353</v>
      </c>
      <c r="B355">
        <v>5620</v>
      </c>
      <c r="C355" t="b">
        <v>1</v>
      </c>
      <c r="D355">
        <v>8042</v>
      </c>
      <c r="E355">
        <v>8117</v>
      </c>
      <c r="F355">
        <v>8</v>
      </c>
      <c r="G355">
        <v>8.8000000000000007</v>
      </c>
      <c r="H355">
        <v>0.90909090000000004</v>
      </c>
      <c r="I355">
        <v>9.0909110000000001E-2</v>
      </c>
      <c r="J355">
        <v>0.52380954999999996</v>
      </c>
    </row>
    <row r="356" spans="1:10" x14ac:dyDescent="0.3">
      <c r="A356">
        <v>354</v>
      </c>
      <c r="B356">
        <v>5636</v>
      </c>
      <c r="C356" t="b">
        <v>1</v>
      </c>
      <c r="D356">
        <v>8042</v>
      </c>
      <c r="E356">
        <v>8123</v>
      </c>
      <c r="F356">
        <v>7.6</v>
      </c>
      <c r="G356">
        <v>8.4</v>
      </c>
      <c r="H356">
        <v>0.90476190000000001</v>
      </c>
      <c r="I356">
        <v>9.5238069999999994E-2</v>
      </c>
      <c r="J356">
        <v>0.52500000000000002</v>
      </c>
    </row>
    <row r="357" spans="1:10" x14ac:dyDescent="0.3">
      <c r="A357">
        <v>355</v>
      </c>
      <c r="B357">
        <v>5652</v>
      </c>
      <c r="C357" t="b">
        <v>1</v>
      </c>
      <c r="D357">
        <v>8048</v>
      </c>
      <c r="E357">
        <v>8123</v>
      </c>
      <c r="F357">
        <v>7.2</v>
      </c>
      <c r="G357">
        <v>8</v>
      </c>
      <c r="H357">
        <v>0.9</v>
      </c>
      <c r="I357">
        <v>0.10000002400000001</v>
      </c>
      <c r="J357">
        <v>0.5263158</v>
      </c>
    </row>
    <row r="358" spans="1:10" x14ac:dyDescent="0.3">
      <c r="A358">
        <v>356</v>
      </c>
      <c r="B358">
        <v>5668</v>
      </c>
      <c r="C358" t="b">
        <v>1</v>
      </c>
      <c r="D358">
        <v>8048</v>
      </c>
      <c r="E358">
        <v>8123</v>
      </c>
      <c r="F358">
        <v>6.8</v>
      </c>
      <c r="G358">
        <v>8</v>
      </c>
      <c r="H358">
        <v>0.85</v>
      </c>
      <c r="I358">
        <v>0.14999998</v>
      </c>
      <c r="J358">
        <v>0.54054049999999998</v>
      </c>
    </row>
    <row r="359" spans="1:10" x14ac:dyDescent="0.3">
      <c r="A359">
        <v>357</v>
      </c>
      <c r="B359">
        <v>5684</v>
      </c>
      <c r="C359" t="b">
        <v>1</v>
      </c>
      <c r="D359">
        <v>8042</v>
      </c>
      <c r="E359">
        <v>8123</v>
      </c>
      <c r="F359">
        <v>6.4</v>
      </c>
      <c r="G359">
        <v>8</v>
      </c>
      <c r="H359">
        <v>0.8</v>
      </c>
      <c r="I359">
        <v>0.19999998999999999</v>
      </c>
      <c r="J359">
        <v>0.55555560000000004</v>
      </c>
    </row>
    <row r="360" spans="1:10" x14ac:dyDescent="0.3">
      <c r="A360">
        <v>358</v>
      </c>
      <c r="B360">
        <v>5700</v>
      </c>
      <c r="C360" t="b">
        <v>1</v>
      </c>
      <c r="D360">
        <v>8042</v>
      </c>
      <c r="E360">
        <v>8123</v>
      </c>
      <c r="F360">
        <v>6</v>
      </c>
      <c r="G360">
        <v>8</v>
      </c>
      <c r="H360">
        <v>0.75</v>
      </c>
      <c r="I360">
        <v>0.25</v>
      </c>
      <c r="J360">
        <v>0.57142859999999995</v>
      </c>
    </row>
    <row r="361" spans="1:10" x14ac:dyDescent="0.3">
      <c r="A361">
        <v>359</v>
      </c>
      <c r="B361">
        <v>5716</v>
      </c>
      <c r="C361" t="b">
        <v>1</v>
      </c>
      <c r="D361">
        <v>8037</v>
      </c>
      <c r="E361">
        <v>8123</v>
      </c>
      <c r="F361">
        <v>5.6</v>
      </c>
      <c r="G361">
        <v>8</v>
      </c>
      <c r="H361">
        <v>0.7</v>
      </c>
      <c r="I361">
        <v>0.3</v>
      </c>
      <c r="J361">
        <v>0.58823526000000004</v>
      </c>
    </row>
    <row r="362" spans="1:10" x14ac:dyDescent="0.3">
      <c r="A362">
        <v>360</v>
      </c>
      <c r="B362">
        <v>5731</v>
      </c>
      <c r="C362" t="b">
        <v>1</v>
      </c>
      <c r="D362">
        <v>8042</v>
      </c>
      <c r="E362">
        <v>8123</v>
      </c>
      <c r="F362">
        <v>5.2</v>
      </c>
      <c r="G362">
        <v>8</v>
      </c>
      <c r="H362">
        <v>0.65</v>
      </c>
      <c r="I362">
        <v>0.35000002000000002</v>
      </c>
      <c r="J362">
        <v>0.60606059999999995</v>
      </c>
    </row>
    <row r="363" spans="1:10" x14ac:dyDescent="0.3">
      <c r="A363">
        <v>361</v>
      </c>
      <c r="B363">
        <v>5747</v>
      </c>
      <c r="C363" t="b">
        <v>1</v>
      </c>
      <c r="D363">
        <v>8042</v>
      </c>
      <c r="E363">
        <v>8129</v>
      </c>
      <c r="F363">
        <v>4.8</v>
      </c>
      <c r="G363">
        <v>8</v>
      </c>
      <c r="H363">
        <v>0.6</v>
      </c>
      <c r="I363">
        <v>0.39999997999999998</v>
      </c>
      <c r="J363">
        <v>0.625</v>
      </c>
    </row>
    <row r="364" spans="1:10" x14ac:dyDescent="0.3">
      <c r="A364">
        <v>362</v>
      </c>
      <c r="B364">
        <v>5763</v>
      </c>
      <c r="C364" t="b">
        <v>1</v>
      </c>
      <c r="D364">
        <v>8037</v>
      </c>
      <c r="E364">
        <v>8123</v>
      </c>
      <c r="F364">
        <v>4.4000000000000004</v>
      </c>
      <c r="G364">
        <v>8</v>
      </c>
      <c r="H364">
        <v>0.55000000000000004</v>
      </c>
      <c r="I364">
        <v>0.45</v>
      </c>
      <c r="J364">
        <v>0.64516132999999998</v>
      </c>
    </row>
    <row r="365" spans="1:10" x14ac:dyDescent="0.3">
      <c r="A365">
        <v>363</v>
      </c>
      <c r="B365">
        <v>5779</v>
      </c>
      <c r="C365" t="b">
        <v>1</v>
      </c>
      <c r="D365">
        <v>8048</v>
      </c>
      <c r="E365">
        <v>8129</v>
      </c>
      <c r="F365">
        <v>4</v>
      </c>
      <c r="G365">
        <v>8</v>
      </c>
      <c r="H365">
        <v>0.5</v>
      </c>
      <c r="I365">
        <v>0.5</v>
      </c>
      <c r="J365">
        <v>0.66666669999999995</v>
      </c>
    </row>
    <row r="366" spans="1:10" x14ac:dyDescent="0.3">
      <c r="A366">
        <v>364</v>
      </c>
      <c r="B366">
        <v>5795</v>
      </c>
      <c r="C366" t="b">
        <v>1</v>
      </c>
      <c r="D366">
        <v>8054</v>
      </c>
      <c r="E366">
        <v>8123</v>
      </c>
      <c r="F366">
        <v>3.6</v>
      </c>
      <c r="G366">
        <v>8</v>
      </c>
      <c r="H366">
        <v>0.45</v>
      </c>
      <c r="I366">
        <v>0.55000000000000004</v>
      </c>
      <c r="J366">
        <v>0.68965509999999997</v>
      </c>
    </row>
    <row r="367" spans="1:10" x14ac:dyDescent="0.3">
      <c r="A367">
        <v>365</v>
      </c>
      <c r="B367">
        <v>5811</v>
      </c>
      <c r="C367" t="b">
        <v>1</v>
      </c>
      <c r="D367">
        <v>8054</v>
      </c>
      <c r="E367">
        <v>8123</v>
      </c>
      <c r="F367">
        <v>3.6</v>
      </c>
      <c r="G367">
        <v>8</v>
      </c>
      <c r="H367">
        <v>0.45</v>
      </c>
      <c r="I367">
        <v>0.55000000000000004</v>
      </c>
      <c r="J367">
        <v>0.68965509999999997</v>
      </c>
    </row>
    <row r="368" spans="1:10" x14ac:dyDescent="0.3">
      <c r="A368">
        <v>366</v>
      </c>
      <c r="B368">
        <v>5827</v>
      </c>
      <c r="C368" t="b">
        <v>1</v>
      </c>
      <c r="D368">
        <v>8054</v>
      </c>
      <c r="E368">
        <v>8123</v>
      </c>
      <c r="F368">
        <v>4</v>
      </c>
      <c r="G368">
        <v>8</v>
      </c>
      <c r="H368">
        <v>0.5</v>
      </c>
      <c r="I368">
        <v>0.5</v>
      </c>
      <c r="J368">
        <v>0.66666669999999995</v>
      </c>
    </row>
    <row r="369" spans="1:10" x14ac:dyDescent="0.3">
      <c r="A369">
        <v>367</v>
      </c>
      <c r="B369">
        <v>5843</v>
      </c>
      <c r="C369" t="b">
        <v>1</v>
      </c>
      <c r="D369">
        <v>8054</v>
      </c>
      <c r="E369">
        <v>8129</v>
      </c>
      <c r="F369">
        <v>4.4000000000000004</v>
      </c>
      <c r="G369">
        <v>8</v>
      </c>
      <c r="H369">
        <v>0.55000000000000004</v>
      </c>
      <c r="I369">
        <v>0.45</v>
      </c>
      <c r="J369">
        <v>0.64516132999999998</v>
      </c>
    </row>
    <row r="370" spans="1:10" x14ac:dyDescent="0.3">
      <c r="A370">
        <v>368</v>
      </c>
      <c r="B370">
        <v>5859</v>
      </c>
      <c r="C370" t="b">
        <v>1</v>
      </c>
      <c r="D370">
        <v>8054</v>
      </c>
      <c r="E370">
        <v>8123</v>
      </c>
      <c r="F370">
        <v>4.8</v>
      </c>
      <c r="G370">
        <v>8</v>
      </c>
      <c r="H370">
        <v>0.6</v>
      </c>
      <c r="I370">
        <v>0.39999997999999998</v>
      </c>
      <c r="J370">
        <v>0.625</v>
      </c>
    </row>
    <row r="371" spans="1:10" x14ac:dyDescent="0.3">
      <c r="A371">
        <v>369</v>
      </c>
      <c r="B371">
        <v>5875</v>
      </c>
      <c r="C371" t="b">
        <v>1</v>
      </c>
      <c r="D371">
        <v>8054</v>
      </c>
      <c r="E371">
        <v>8123</v>
      </c>
      <c r="F371">
        <v>5.6</v>
      </c>
      <c r="G371">
        <v>8</v>
      </c>
      <c r="H371">
        <v>0.7</v>
      </c>
      <c r="I371">
        <v>0.3</v>
      </c>
      <c r="J371">
        <v>0.58823526000000004</v>
      </c>
    </row>
    <row r="372" spans="1:10" x14ac:dyDescent="0.3">
      <c r="A372">
        <v>370</v>
      </c>
      <c r="B372">
        <v>5891</v>
      </c>
      <c r="C372" t="b">
        <v>1</v>
      </c>
      <c r="D372">
        <v>8042</v>
      </c>
      <c r="E372">
        <v>8123</v>
      </c>
      <c r="F372">
        <v>6.4</v>
      </c>
      <c r="G372">
        <v>8</v>
      </c>
      <c r="H372">
        <v>0.8</v>
      </c>
      <c r="I372">
        <v>0.19999998999999999</v>
      </c>
      <c r="J372">
        <v>0.55555560000000004</v>
      </c>
    </row>
    <row r="373" spans="1:10" x14ac:dyDescent="0.3">
      <c r="A373">
        <v>371</v>
      </c>
      <c r="B373">
        <v>5907</v>
      </c>
      <c r="C373" t="b">
        <v>1</v>
      </c>
      <c r="D373">
        <v>8042</v>
      </c>
      <c r="E373">
        <v>8123</v>
      </c>
      <c r="F373">
        <v>7.2</v>
      </c>
      <c r="G373">
        <v>8</v>
      </c>
      <c r="H373">
        <v>0.9</v>
      </c>
      <c r="I373">
        <v>0.10000002400000001</v>
      </c>
      <c r="J373">
        <v>0.5263158</v>
      </c>
    </row>
    <row r="374" spans="1:10" x14ac:dyDescent="0.3">
      <c r="A374">
        <v>372</v>
      </c>
      <c r="B374">
        <v>5923</v>
      </c>
      <c r="C374" t="b">
        <v>1</v>
      </c>
      <c r="D374">
        <v>8037</v>
      </c>
      <c r="E374">
        <v>8123</v>
      </c>
      <c r="F374">
        <v>7.2</v>
      </c>
      <c r="G374">
        <v>8</v>
      </c>
      <c r="H374">
        <v>0.9</v>
      </c>
      <c r="I374">
        <v>0.10000002400000001</v>
      </c>
      <c r="J374">
        <v>0.5263158</v>
      </c>
    </row>
    <row r="375" spans="1:10" x14ac:dyDescent="0.3">
      <c r="A375">
        <v>373</v>
      </c>
      <c r="B375">
        <v>5938</v>
      </c>
      <c r="C375" t="b">
        <v>1</v>
      </c>
      <c r="D375">
        <v>8042</v>
      </c>
      <c r="E375">
        <v>8123</v>
      </c>
      <c r="F375">
        <v>7.2</v>
      </c>
      <c r="G375">
        <v>8</v>
      </c>
      <c r="H375">
        <v>0.9</v>
      </c>
      <c r="I375">
        <v>0.10000002400000001</v>
      </c>
      <c r="J375">
        <v>0.5263158</v>
      </c>
    </row>
    <row r="376" spans="1:10" x14ac:dyDescent="0.3">
      <c r="A376">
        <v>374</v>
      </c>
      <c r="B376">
        <v>5954</v>
      </c>
      <c r="C376" t="b">
        <v>1</v>
      </c>
      <c r="D376">
        <v>8042</v>
      </c>
      <c r="E376">
        <v>8123</v>
      </c>
      <c r="F376">
        <v>7.2</v>
      </c>
      <c r="G376">
        <v>8</v>
      </c>
      <c r="H376">
        <v>0.9</v>
      </c>
      <c r="I376">
        <v>0.10000002400000001</v>
      </c>
      <c r="J376">
        <v>0.5263158</v>
      </c>
    </row>
    <row r="377" spans="1:10" x14ac:dyDescent="0.3">
      <c r="A377">
        <v>375</v>
      </c>
      <c r="B377">
        <v>5970</v>
      </c>
      <c r="C377" t="b">
        <v>1</v>
      </c>
      <c r="D377">
        <v>8042</v>
      </c>
      <c r="E377">
        <v>8123</v>
      </c>
      <c r="F377">
        <v>7.2</v>
      </c>
      <c r="G377">
        <v>8</v>
      </c>
      <c r="H377">
        <v>0.9</v>
      </c>
      <c r="I377">
        <v>0.10000002400000001</v>
      </c>
      <c r="J377">
        <v>0.5263158</v>
      </c>
    </row>
    <row r="378" spans="1:10" x14ac:dyDescent="0.3">
      <c r="A378">
        <v>376</v>
      </c>
      <c r="B378">
        <v>5986</v>
      </c>
      <c r="C378" t="b">
        <v>1</v>
      </c>
      <c r="D378">
        <v>8048</v>
      </c>
      <c r="E378">
        <v>8123</v>
      </c>
      <c r="F378">
        <v>7.2</v>
      </c>
      <c r="G378">
        <v>8</v>
      </c>
      <c r="H378">
        <v>0.9</v>
      </c>
      <c r="I378">
        <v>0.10000002400000001</v>
      </c>
      <c r="J378">
        <v>0.5263158</v>
      </c>
    </row>
    <row r="379" spans="1:10" x14ac:dyDescent="0.3">
      <c r="A379">
        <v>377</v>
      </c>
      <c r="B379">
        <v>6002</v>
      </c>
      <c r="C379" t="b">
        <v>1</v>
      </c>
      <c r="D379">
        <v>8048</v>
      </c>
      <c r="E379">
        <v>8123</v>
      </c>
      <c r="F379">
        <v>7.2</v>
      </c>
      <c r="G379">
        <v>8</v>
      </c>
      <c r="H379">
        <v>0.9</v>
      </c>
      <c r="I379">
        <v>0.10000002400000001</v>
      </c>
      <c r="J379">
        <v>0.5263158</v>
      </c>
    </row>
    <row r="380" spans="1:10" x14ac:dyDescent="0.3">
      <c r="A380">
        <v>378</v>
      </c>
      <c r="B380">
        <v>6018</v>
      </c>
      <c r="C380" t="b">
        <v>1</v>
      </c>
      <c r="D380">
        <v>8048</v>
      </c>
      <c r="E380">
        <v>8123</v>
      </c>
      <c r="F380">
        <v>7.6</v>
      </c>
      <c r="G380">
        <v>8</v>
      </c>
      <c r="H380">
        <v>0.95</v>
      </c>
      <c r="I380">
        <v>5.0000012000000003E-2</v>
      </c>
      <c r="J380">
        <v>0.51282050000000001</v>
      </c>
    </row>
    <row r="381" spans="1:10" x14ac:dyDescent="0.3">
      <c r="A381">
        <v>379</v>
      </c>
      <c r="B381">
        <v>6034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6050</v>
      </c>
      <c r="C382" t="b">
        <v>1</v>
      </c>
      <c r="D382">
        <v>8048</v>
      </c>
      <c r="E382">
        <v>8117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6066</v>
      </c>
      <c r="C383" t="b">
        <v>1</v>
      </c>
      <c r="D383">
        <v>8048</v>
      </c>
      <c r="E383">
        <v>8117</v>
      </c>
      <c r="F383">
        <v>7.6</v>
      </c>
      <c r="G383">
        <v>7.6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6082</v>
      </c>
      <c r="C384" t="b">
        <v>1</v>
      </c>
      <c r="D384">
        <v>8048</v>
      </c>
      <c r="E384">
        <v>8117</v>
      </c>
      <c r="F384">
        <v>7.2</v>
      </c>
      <c r="G384">
        <v>7.2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6098</v>
      </c>
      <c r="C385" t="b">
        <v>1</v>
      </c>
      <c r="D385">
        <v>8042</v>
      </c>
      <c r="E385">
        <v>8123</v>
      </c>
      <c r="F385">
        <v>6.8</v>
      </c>
      <c r="G385">
        <v>6.8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6114</v>
      </c>
      <c r="C386" t="b">
        <v>1</v>
      </c>
      <c r="D386">
        <v>8048</v>
      </c>
      <c r="E386">
        <v>8129</v>
      </c>
      <c r="F386">
        <v>6.4</v>
      </c>
      <c r="G386">
        <v>6.4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6130</v>
      </c>
      <c r="C387" t="b">
        <v>1</v>
      </c>
      <c r="D387">
        <v>8048</v>
      </c>
      <c r="E387">
        <v>8123</v>
      </c>
      <c r="F387">
        <v>6</v>
      </c>
      <c r="G387">
        <v>6.4</v>
      </c>
      <c r="H387">
        <v>0.9375</v>
      </c>
      <c r="I387">
        <v>6.2500015000000006E-2</v>
      </c>
      <c r="J387">
        <v>0.51612910000000001</v>
      </c>
    </row>
    <row r="388" spans="1:10" x14ac:dyDescent="0.3">
      <c r="A388">
        <v>386</v>
      </c>
      <c r="B388">
        <v>6146</v>
      </c>
      <c r="C388" t="b">
        <v>1</v>
      </c>
      <c r="D388">
        <v>8048</v>
      </c>
      <c r="E388">
        <v>8123</v>
      </c>
      <c r="F388">
        <v>5.6</v>
      </c>
      <c r="G388">
        <v>6.4</v>
      </c>
      <c r="H388">
        <v>0.875</v>
      </c>
      <c r="I388">
        <v>0.12500003000000001</v>
      </c>
      <c r="J388">
        <v>0.53333335999999998</v>
      </c>
    </row>
    <row r="389" spans="1:10" x14ac:dyDescent="0.3">
      <c r="A389">
        <v>387</v>
      </c>
      <c r="B389">
        <v>6162</v>
      </c>
      <c r="C389" t="b">
        <v>1</v>
      </c>
      <c r="D389">
        <v>8042</v>
      </c>
      <c r="E389">
        <v>8123</v>
      </c>
      <c r="F389">
        <v>6</v>
      </c>
      <c r="G389">
        <v>6.4</v>
      </c>
      <c r="H389">
        <v>0.9375</v>
      </c>
      <c r="I389">
        <v>6.2500015000000006E-2</v>
      </c>
      <c r="J389">
        <v>0.51612910000000001</v>
      </c>
    </row>
    <row r="390" spans="1:10" x14ac:dyDescent="0.3">
      <c r="A390">
        <v>388</v>
      </c>
      <c r="B390">
        <v>6178</v>
      </c>
      <c r="C390" t="b">
        <v>1</v>
      </c>
      <c r="D390">
        <v>8048</v>
      </c>
      <c r="E390">
        <v>8129</v>
      </c>
      <c r="F390">
        <v>6.4</v>
      </c>
      <c r="G390">
        <v>6.4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6194</v>
      </c>
      <c r="C391" t="b">
        <v>1</v>
      </c>
      <c r="D391">
        <v>8048</v>
      </c>
      <c r="E391">
        <v>8117</v>
      </c>
      <c r="F391">
        <v>6.8</v>
      </c>
      <c r="G391">
        <v>6.4</v>
      </c>
      <c r="H391">
        <v>1.0625</v>
      </c>
      <c r="I391">
        <v>-6.2500015000000006E-2</v>
      </c>
      <c r="J391">
        <v>0.48484846999999998</v>
      </c>
    </row>
    <row r="392" spans="1:10" x14ac:dyDescent="0.3">
      <c r="A392">
        <v>390</v>
      </c>
      <c r="B392">
        <v>6210</v>
      </c>
      <c r="C392" t="b">
        <v>1</v>
      </c>
      <c r="D392">
        <v>8048</v>
      </c>
      <c r="E392">
        <v>8117</v>
      </c>
      <c r="F392">
        <v>7.2</v>
      </c>
      <c r="G392">
        <v>6.4</v>
      </c>
      <c r="H392">
        <v>1.125</v>
      </c>
      <c r="I392">
        <v>-0.124999955</v>
      </c>
      <c r="J392">
        <v>0.47058823999999999</v>
      </c>
    </row>
    <row r="393" spans="1:10" x14ac:dyDescent="0.3">
      <c r="A393">
        <v>391</v>
      </c>
      <c r="B393">
        <v>6225</v>
      </c>
      <c r="C393" t="b">
        <v>1</v>
      </c>
      <c r="D393">
        <v>8048</v>
      </c>
      <c r="E393">
        <v>8117</v>
      </c>
      <c r="F393">
        <v>7.6</v>
      </c>
      <c r="G393">
        <v>6</v>
      </c>
      <c r="H393">
        <v>1.2666667</v>
      </c>
      <c r="I393">
        <v>-0.26666665000000001</v>
      </c>
      <c r="J393">
        <v>0.44117644</v>
      </c>
    </row>
    <row r="394" spans="1:10" x14ac:dyDescent="0.3">
      <c r="A394">
        <v>392</v>
      </c>
      <c r="B394">
        <v>6241</v>
      </c>
      <c r="C394" t="b">
        <v>1</v>
      </c>
      <c r="D394">
        <v>8048</v>
      </c>
      <c r="E394">
        <v>8111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6257</v>
      </c>
      <c r="C395" t="b">
        <v>1</v>
      </c>
      <c r="D395">
        <v>8048</v>
      </c>
      <c r="E395">
        <v>8117</v>
      </c>
      <c r="F395">
        <v>8</v>
      </c>
      <c r="G395">
        <v>5.2</v>
      </c>
      <c r="H395">
        <v>1.5384616</v>
      </c>
      <c r="I395">
        <v>-0.53846156999999994</v>
      </c>
      <c r="J395">
        <v>0.39393938000000001</v>
      </c>
    </row>
    <row r="396" spans="1:10" x14ac:dyDescent="0.3">
      <c r="A396">
        <v>394</v>
      </c>
      <c r="B396">
        <v>6273</v>
      </c>
      <c r="C396" t="b">
        <v>1</v>
      </c>
      <c r="D396">
        <v>8048</v>
      </c>
      <c r="E396">
        <v>8117</v>
      </c>
      <c r="F396">
        <v>8</v>
      </c>
      <c r="G396">
        <v>4.8</v>
      </c>
      <c r="H396">
        <v>1.6666666000000001</v>
      </c>
      <c r="I396">
        <v>-0.6666666</v>
      </c>
      <c r="J396">
        <v>0.375</v>
      </c>
    </row>
    <row r="397" spans="1:10" x14ac:dyDescent="0.3">
      <c r="A397">
        <v>395</v>
      </c>
      <c r="B397">
        <v>6289</v>
      </c>
      <c r="C397" t="b">
        <v>1</v>
      </c>
      <c r="D397">
        <v>8048</v>
      </c>
      <c r="E397">
        <v>8117</v>
      </c>
      <c r="F397">
        <v>8</v>
      </c>
      <c r="G397">
        <v>4.4000000000000004</v>
      </c>
      <c r="H397">
        <v>1.8181818000000001</v>
      </c>
      <c r="I397">
        <v>-0.81818175000000004</v>
      </c>
      <c r="J397">
        <v>0.35483872999999999</v>
      </c>
    </row>
    <row r="398" spans="1:10" x14ac:dyDescent="0.3">
      <c r="A398">
        <v>396</v>
      </c>
      <c r="B398">
        <v>6305</v>
      </c>
      <c r="C398" t="b">
        <v>1</v>
      </c>
      <c r="D398">
        <v>8048</v>
      </c>
      <c r="E398">
        <v>8134</v>
      </c>
      <c r="F398">
        <v>8</v>
      </c>
      <c r="G398">
        <v>4.4000000000000004</v>
      </c>
      <c r="H398">
        <v>1.8181818000000001</v>
      </c>
      <c r="I398">
        <v>-0.81818175000000004</v>
      </c>
      <c r="J398">
        <v>0.35483872999999999</v>
      </c>
    </row>
    <row r="399" spans="1:10" x14ac:dyDescent="0.3">
      <c r="A399">
        <v>397</v>
      </c>
      <c r="B399">
        <v>6320</v>
      </c>
      <c r="C399" t="b">
        <v>1</v>
      </c>
      <c r="D399">
        <v>8042</v>
      </c>
      <c r="E399">
        <v>8129</v>
      </c>
      <c r="F399">
        <v>8</v>
      </c>
      <c r="G399">
        <v>4.4000000000000004</v>
      </c>
      <c r="H399">
        <v>1.8181818000000001</v>
      </c>
      <c r="I399">
        <v>-0.81818175000000004</v>
      </c>
      <c r="J399">
        <v>0.35483872999999999</v>
      </c>
    </row>
    <row r="400" spans="1:10" x14ac:dyDescent="0.3">
      <c r="A400">
        <v>398</v>
      </c>
      <c r="B400">
        <v>6336</v>
      </c>
      <c r="C400" t="b">
        <v>1</v>
      </c>
      <c r="D400">
        <v>8048</v>
      </c>
      <c r="E400">
        <v>8129</v>
      </c>
      <c r="F400">
        <v>8</v>
      </c>
      <c r="G400">
        <v>5.2</v>
      </c>
      <c r="H400">
        <v>1.5384616</v>
      </c>
      <c r="I400">
        <v>-0.53846156999999994</v>
      </c>
      <c r="J400">
        <v>0.39393938000000001</v>
      </c>
    </row>
    <row r="401" spans="1:10" x14ac:dyDescent="0.3">
      <c r="A401">
        <v>399</v>
      </c>
      <c r="B401">
        <v>6352</v>
      </c>
      <c r="C401" t="b">
        <v>1</v>
      </c>
      <c r="D401">
        <v>8042</v>
      </c>
      <c r="E401">
        <v>8129</v>
      </c>
      <c r="F401">
        <v>8</v>
      </c>
      <c r="G401">
        <v>6</v>
      </c>
      <c r="H401">
        <v>1.3333333999999999</v>
      </c>
      <c r="I401">
        <v>-0.33333333999999998</v>
      </c>
      <c r="J401">
        <v>0.42857142999999998</v>
      </c>
    </row>
    <row r="402" spans="1:10" x14ac:dyDescent="0.3">
      <c r="A402">
        <v>400</v>
      </c>
      <c r="B402">
        <v>6368</v>
      </c>
      <c r="C402" t="b">
        <v>1</v>
      </c>
      <c r="D402">
        <v>8042</v>
      </c>
      <c r="E402">
        <v>8129</v>
      </c>
      <c r="F402">
        <v>7.6</v>
      </c>
      <c r="G402">
        <v>6.4</v>
      </c>
      <c r="H402">
        <v>1.1875</v>
      </c>
      <c r="I402">
        <v>-0.18749996999999999</v>
      </c>
      <c r="J402">
        <v>0.45714285999999998</v>
      </c>
    </row>
    <row r="403" spans="1:10" x14ac:dyDescent="0.3">
      <c r="A403">
        <v>401</v>
      </c>
      <c r="B403">
        <v>6384</v>
      </c>
      <c r="C403" t="b">
        <v>1</v>
      </c>
      <c r="D403">
        <v>8048</v>
      </c>
      <c r="E403">
        <v>8129</v>
      </c>
      <c r="F403">
        <v>7.2</v>
      </c>
      <c r="G403">
        <v>6.8</v>
      </c>
      <c r="H403">
        <v>1.0588234999999999</v>
      </c>
      <c r="I403">
        <v>-5.8823470000000003E-2</v>
      </c>
      <c r="J403">
        <v>0.48571429999999999</v>
      </c>
    </row>
    <row r="404" spans="1:10" x14ac:dyDescent="0.3">
      <c r="A404">
        <v>402</v>
      </c>
      <c r="B404">
        <v>6400</v>
      </c>
      <c r="C404" t="b">
        <v>1</v>
      </c>
      <c r="D404">
        <v>8042</v>
      </c>
      <c r="E404">
        <v>8117</v>
      </c>
      <c r="F404">
        <v>6.8</v>
      </c>
      <c r="G404">
        <v>7.2</v>
      </c>
      <c r="H404">
        <v>0.94444450000000002</v>
      </c>
      <c r="I404">
        <v>5.5555503999999999E-2</v>
      </c>
      <c r="J404">
        <v>0.51428569999999996</v>
      </c>
    </row>
    <row r="405" spans="1:10" x14ac:dyDescent="0.3">
      <c r="A405">
        <v>403</v>
      </c>
      <c r="B405">
        <v>6416</v>
      </c>
      <c r="C405" t="b">
        <v>1</v>
      </c>
      <c r="D405">
        <v>8048</v>
      </c>
      <c r="E405">
        <v>8123</v>
      </c>
      <c r="F405">
        <v>6.4</v>
      </c>
      <c r="G405">
        <v>7.6</v>
      </c>
      <c r="H405">
        <v>0.84210527000000002</v>
      </c>
      <c r="I405">
        <v>0.15789471999999999</v>
      </c>
      <c r="J405">
        <v>0.54285709999999998</v>
      </c>
    </row>
    <row r="406" spans="1:10" x14ac:dyDescent="0.3">
      <c r="A406">
        <v>404</v>
      </c>
      <c r="B406">
        <v>6432</v>
      </c>
      <c r="C406" t="b">
        <v>1</v>
      </c>
      <c r="D406">
        <v>8048</v>
      </c>
      <c r="E406">
        <v>8117</v>
      </c>
      <c r="F406">
        <v>6.4</v>
      </c>
      <c r="G406">
        <v>7.6</v>
      </c>
      <c r="H406">
        <v>0.84210527000000002</v>
      </c>
      <c r="I406">
        <v>0.15789471999999999</v>
      </c>
      <c r="J406">
        <v>0.54285709999999998</v>
      </c>
    </row>
    <row r="407" spans="1:10" x14ac:dyDescent="0.3">
      <c r="A407">
        <v>405</v>
      </c>
      <c r="B407">
        <v>6448</v>
      </c>
      <c r="C407" t="b">
        <v>1</v>
      </c>
      <c r="D407">
        <v>8048</v>
      </c>
      <c r="E407">
        <v>8123</v>
      </c>
      <c r="F407">
        <v>6.4</v>
      </c>
      <c r="G407">
        <v>7.6</v>
      </c>
      <c r="H407">
        <v>0.84210527000000002</v>
      </c>
      <c r="I407">
        <v>0.15789471999999999</v>
      </c>
      <c r="J407">
        <v>0.54285709999999998</v>
      </c>
    </row>
    <row r="408" spans="1:10" x14ac:dyDescent="0.3">
      <c r="A408">
        <v>406</v>
      </c>
      <c r="B408">
        <v>6464</v>
      </c>
      <c r="C408" t="b">
        <v>1</v>
      </c>
      <c r="D408">
        <v>8048</v>
      </c>
      <c r="E408">
        <v>8123</v>
      </c>
      <c r="F408">
        <v>6.4</v>
      </c>
      <c r="G408">
        <v>8</v>
      </c>
      <c r="H408">
        <v>0.8</v>
      </c>
      <c r="I408">
        <v>0.19999998999999999</v>
      </c>
      <c r="J408">
        <v>0.55555560000000004</v>
      </c>
    </row>
    <row r="409" spans="1:10" x14ac:dyDescent="0.3">
      <c r="A409">
        <v>407</v>
      </c>
      <c r="B409">
        <v>6480</v>
      </c>
      <c r="C409" t="b">
        <v>1</v>
      </c>
      <c r="D409">
        <v>8048</v>
      </c>
      <c r="E409">
        <v>8117</v>
      </c>
      <c r="F409">
        <v>6.4</v>
      </c>
      <c r="G409">
        <v>8.4</v>
      </c>
      <c r="H409">
        <v>0.76190484000000003</v>
      </c>
      <c r="I409">
        <v>0.23809520000000001</v>
      </c>
      <c r="J409">
        <v>0.56756759999999995</v>
      </c>
    </row>
    <row r="410" spans="1:10" x14ac:dyDescent="0.3">
      <c r="A410">
        <v>408</v>
      </c>
      <c r="B410">
        <v>6496</v>
      </c>
      <c r="C410" t="b">
        <v>1</v>
      </c>
      <c r="D410">
        <v>8042</v>
      </c>
      <c r="E410">
        <v>8123</v>
      </c>
      <c r="F410">
        <v>6.4</v>
      </c>
      <c r="G410">
        <v>8.8000000000000007</v>
      </c>
      <c r="H410">
        <v>0.72727275000000002</v>
      </c>
      <c r="I410">
        <v>0.27272728000000002</v>
      </c>
      <c r="J410">
        <v>0.57894736999999996</v>
      </c>
    </row>
    <row r="411" spans="1:10" x14ac:dyDescent="0.3">
      <c r="A411">
        <v>409</v>
      </c>
      <c r="B411">
        <v>6512</v>
      </c>
      <c r="C411" t="b">
        <v>1</v>
      </c>
      <c r="D411">
        <v>8042</v>
      </c>
      <c r="E411">
        <v>8123</v>
      </c>
      <c r="F411">
        <v>6.4</v>
      </c>
      <c r="G411">
        <v>9.1999999999999993</v>
      </c>
      <c r="H411">
        <v>0.69565220000000005</v>
      </c>
      <c r="I411">
        <v>0.3043478</v>
      </c>
      <c r="J411">
        <v>0.58974355000000001</v>
      </c>
    </row>
    <row r="412" spans="1:10" x14ac:dyDescent="0.3">
      <c r="A412">
        <v>410</v>
      </c>
      <c r="B412">
        <v>6527</v>
      </c>
      <c r="C412" t="b">
        <v>1</v>
      </c>
      <c r="D412">
        <v>8037</v>
      </c>
      <c r="E412">
        <v>8129</v>
      </c>
      <c r="F412">
        <v>6</v>
      </c>
      <c r="G412">
        <v>9.6</v>
      </c>
      <c r="H412">
        <v>0.625</v>
      </c>
      <c r="I412">
        <v>0.37500002999999998</v>
      </c>
      <c r="J412">
        <v>0.61538464000000004</v>
      </c>
    </row>
    <row r="413" spans="1:10" x14ac:dyDescent="0.3">
      <c r="A413">
        <v>411</v>
      </c>
      <c r="B413">
        <v>6543</v>
      </c>
      <c r="C413" t="b">
        <v>1</v>
      </c>
      <c r="D413">
        <v>8037</v>
      </c>
      <c r="E413">
        <v>8129</v>
      </c>
      <c r="F413">
        <v>5.6</v>
      </c>
      <c r="G413">
        <v>10</v>
      </c>
      <c r="H413">
        <v>0.56000000000000005</v>
      </c>
      <c r="I413">
        <v>0.44</v>
      </c>
      <c r="J413">
        <v>0.64102559999999997</v>
      </c>
    </row>
    <row r="414" spans="1:10" x14ac:dyDescent="0.3">
      <c r="A414">
        <v>412</v>
      </c>
      <c r="B414">
        <v>6559</v>
      </c>
      <c r="C414" t="b">
        <v>1</v>
      </c>
      <c r="D414">
        <v>8037</v>
      </c>
      <c r="E414">
        <v>8129</v>
      </c>
      <c r="F414">
        <v>4.8666669999999996</v>
      </c>
      <c r="G414">
        <v>10.8</v>
      </c>
      <c r="H414">
        <v>0.45061728000000001</v>
      </c>
      <c r="I414">
        <v>0.5493827</v>
      </c>
      <c r="J414">
        <v>0.68936169999999997</v>
      </c>
    </row>
    <row r="415" spans="1:10" x14ac:dyDescent="0.3">
      <c r="A415">
        <v>413</v>
      </c>
      <c r="B415">
        <v>6575</v>
      </c>
      <c r="C415" t="b">
        <v>1</v>
      </c>
      <c r="D415">
        <v>8042</v>
      </c>
      <c r="E415">
        <v>8123</v>
      </c>
      <c r="F415">
        <v>4.1333330000000004</v>
      </c>
      <c r="G415">
        <v>10.8</v>
      </c>
      <c r="H415">
        <v>0.38271602999999998</v>
      </c>
      <c r="I415">
        <v>0.61728393999999998</v>
      </c>
      <c r="J415">
        <v>0.72321427000000005</v>
      </c>
    </row>
    <row r="416" spans="1:10" x14ac:dyDescent="0.3">
      <c r="A416">
        <v>414</v>
      </c>
      <c r="B416">
        <v>6590</v>
      </c>
      <c r="C416" t="b">
        <v>1</v>
      </c>
      <c r="D416">
        <v>8048</v>
      </c>
      <c r="E416">
        <v>8117</v>
      </c>
      <c r="F416">
        <v>3.4</v>
      </c>
      <c r="G416">
        <v>10.8</v>
      </c>
      <c r="H416">
        <v>0.31481480000000001</v>
      </c>
      <c r="I416">
        <v>0.68518520000000005</v>
      </c>
      <c r="J416">
        <v>0.7605634</v>
      </c>
    </row>
    <row r="417" spans="1:10" x14ac:dyDescent="0.3">
      <c r="A417">
        <v>415</v>
      </c>
      <c r="B417">
        <v>6606</v>
      </c>
      <c r="C417" t="b">
        <v>1</v>
      </c>
      <c r="D417">
        <v>8042</v>
      </c>
      <c r="E417">
        <v>8117</v>
      </c>
      <c r="F417">
        <v>3.4</v>
      </c>
      <c r="G417">
        <v>10.4</v>
      </c>
      <c r="H417">
        <v>0.32692310000000002</v>
      </c>
      <c r="I417">
        <v>0.67307689999999998</v>
      </c>
      <c r="J417">
        <v>0.75362320000000005</v>
      </c>
    </row>
    <row r="418" spans="1:10" x14ac:dyDescent="0.3">
      <c r="A418">
        <v>416</v>
      </c>
      <c r="B418">
        <v>6622</v>
      </c>
      <c r="C418" t="b">
        <v>1</v>
      </c>
      <c r="D418">
        <v>8048</v>
      </c>
      <c r="E418">
        <v>8117</v>
      </c>
      <c r="F418">
        <v>3.4</v>
      </c>
      <c r="G418">
        <v>9.6</v>
      </c>
      <c r="H418">
        <v>0.35416666000000002</v>
      </c>
      <c r="I418">
        <v>0.64583330000000005</v>
      </c>
      <c r="J418">
        <v>0.73846155000000002</v>
      </c>
    </row>
    <row r="419" spans="1:10" x14ac:dyDescent="0.3">
      <c r="A419">
        <v>417</v>
      </c>
      <c r="B419">
        <v>6638</v>
      </c>
      <c r="C419" t="b">
        <v>1</v>
      </c>
      <c r="D419">
        <v>8048</v>
      </c>
      <c r="E419">
        <v>8117</v>
      </c>
      <c r="F419">
        <v>3.8</v>
      </c>
      <c r="G419">
        <v>8.8000000000000007</v>
      </c>
      <c r="H419">
        <v>0.43181816000000001</v>
      </c>
      <c r="I419">
        <v>0.56818179999999996</v>
      </c>
      <c r="J419">
        <v>0.6984127</v>
      </c>
    </row>
    <row r="420" spans="1:10" x14ac:dyDescent="0.3">
      <c r="A420">
        <v>418</v>
      </c>
      <c r="B420">
        <v>6654</v>
      </c>
      <c r="C420" t="b">
        <v>1</v>
      </c>
      <c r="D420">
        <v>8048</v>
      </c>
      <c r="E420">
        <v>8117</v>
      </c>
      <c r="F420">
        <v>4.2</v>
      </c>
      <c r="G420">
        <v>8</v>
      </c>
      <c r="H420">
        <v>0.52500000000000002</v>
      </c>
      <c r="I420">
        <v>0.47500002000000002</v>
      </c>
      <c r="J420">
        <v>0.65573769999999998</v>
      </c>
    </row>
    <row r="421" spans="1:10" x14ac:dyDescent="0.3">
      <c r="A421">
        <v>419</v>
      </c>
      <c r="B421">
        <v>6670</v>
      </c>
      <c r="C421" t="b">
        <v>1</v>
      </c>
      <c r="D421">
        <v>8042</v>
      </c>
      <c r="E421">
        <v>8123</v>
      </c>
      <c r="F421">
        <v>4.2</v>
      </c>
      <c r="G421">
        <v>7.6</v>
      </c>
      <c r="H421">
        <v>0.55263156000000002</v>
      </c>
      <c r="I421">
        <v>0.44736843999999998</v>
      </c>
      <c r="J421">
        <v>0.64406779999999997</v>
      </c>
    </row>
    <row r="422" spans="1:10" x14ac:dyDescent="0.3">
      <c r="A422">
        <v>420</v>
      </c>
      <c r="B422">
        <v>6685</v>
      </c>
      <c r="C422" t="b">
        <v>1</v>
      </c>
      <c r="D422">
        <v>8048</v>
      </c>
      <c r="E422">
        <v>8129</v>
      </c>
      <c r="F422">
        <v>4.2</v>
      </c>
      <c r="G422">
        <v>7.2</v>
      </c>
      <c r="H422">
        <v>0.58333330000000005</v>
      </c>
      <c r="I422">
        <v>0.4166667</v>
      </c>
      <c r="J422">
        <v>0.63157890000000005</v>
      </c>
    </row>
    <row r="423" spans="1:10" x14ac:dyDescent="0.3">
      <c r="A423">
        <v>421</v>
      </c>
      <c r="B423">
        <v>6701</v>
      </c>
      <c r="C423" t="b">
        <v>1</v>
      </c>
      <c r="D423">
        <v>8042</v>
      </c>
      <c r="E423">
        <v>8123</v>
      </c>
      <c r="F423">
        <v>4.2</v>
      </c>
      <c r="G423">
        <v>7.2</v>
      </c>
      <c r="H423">
        <v>0.58333330000000005</v>
      </c>
      <c r="I423">
        <v>0.4166667</v>
      </c>
      <c r="J423">
        <v>0.63157890000000005</v>
      </c>
    </row>
    <row r="424" spans="1:10" x14ac:dyDescent="0.3">
      <c r="A424">
        <v>422</v>
      </c>
      <c r="B424">
        <v>6717</v>
      </c>
      <c r="C424" t="b">
        <v>1</v>
      </c>
      <c r="D424">
        <v>8042</v>
      </c>
      <c r="E424">
        <v>8123</v>
      </c>
      <c r="F424">
        <v>3.8</v>
      </c>
      <c r="G424">
        <v>7.2</v>
      </c>
      <c r="H424">
        <v>0.52777779999999996</v>
      </c>
      <c r="I424">
        <v>0.47222219999999998</v>
      </c>
      <c r="J424">
        <v>0.65454540000000005</v>
      </c>
    </row>
    <row r="425" spans="1:10" x14ac:dyDescent="0.3">
      <c r="A425">
        <v>423</v>
      </c>
      <c r="B425">
        <v>6733</v>
      </c>
      <c r="C425" t="b">
        <v>1</v>
      </c>
      <c r="D425">
        <v>8048</v>
      </c>
      <c r="E425">
        <v>8123</v>
      </c>
      <c r="F425">
        <v>3.4</v>
      </c>
      <c r="G425">
        <v>7.2</v>
      </c>
      <c r="H425">
        <v>0.47222224000000002</v>
      </c>
      <c r="I425">
        <v>0.52777772999999994</v>
      </c>
      <c r="J425">
        <v>0.67924523000000003</v>
      </c>
    </row>
    <row r="426" spans="1:10" x14ac:dyDescent="0.3">
      <c r="A426">
        <v>424</v>
      </c>
      <c r="B426">
        <v>6749</v>
      </c>
      <c r="C426" t="b">
        <v>1</v>
      </c>
      <c r="D426">
        <v>8042</v>
      </c>
      <c r="E426">
        <v>8129</v>
      </c>
      <c r="F426">
        <v>3</v>
      </c>
      <c r="G426">
        <v>7.2</v>
      </c>
      <c r="H426">
        <v>0.4166667</v>
      </c>
      <c r="I426">
        <v>0.58333330000000005</v>
      </c>
      <c r="J426">
        <v>0.70588240000000002</v>
      </c>
    </row>
    <row r="427" spans="1:10" x14ac:dyDescent="0.3">
      <c r="A427">
        <v>425</v>
      </c>
      <c r="B427">
        <v>6764</v>
      </c>
      <c r="C427" t="b">
        <v>1</v>
      </c>
      <c r="D427">
        <v>8048</v>
      </c>
      <c r="E427">
        <v>8117</v>
      </c>
      <c r="F427">
        <v>3</v>
      </c>
      <c r="G427">
        <v>7.2</v>
      </c>
      <c r="H427">
        <v>0.4166667</v>
      </c>
      <c r="I427">
        <v>0.58333330000000005</v>
      </c>
      <c r="J427">
        <v>0.70588240000000002</v>
      </c>
    </row>
    <row r="428" spans="1:10" x14ac:dyDescent="0.3">
      <c r="A428">
        <v>426</v>
      </c>
      <c r="B428">
        <v>6780</v>
      </c>
      <c r="C428" t="b">
        <v>1</v>
      </c>
      <c r="D428">
        <v>8048</v>
      </c>
      <c r="E428">
        <v>8123</v>
      </c>
      <c r="F428">
        <v>3.4</v>
      </c>
      <c r="G428">
        <v>7.2</v>
      </c>
      <c r="H428">
        <v>0.47222224000000002</v>
      </c>
      <c r="I428">
        <v>0.52777772999999994</v>
      </c>
      <c r="J428">
        <v>0.67924523000000003</v>
      </c>
    </row>
    <row r="429" spans="1:10" x14ac:dyDescent="0.3">
      <c r="A429">
        <v>427</v>
      </c>
      <c r="B429">
        <v>6796</v>
      </c>
      <c r="C429" t="b">
        <v>1</v>
      </c>
      <c r="D429">
        <v>8048</v>
      </c>
      <c r="E429">
        <v>8123</v>
      </c>
      <c r="F429">
        <v>4.1333330000000004</v>
      </c>
      <c r="G429">
        <v>6.8</v>
      </c>
      <c r="H429">
        <v>0.60784309999999997</v>
      </c>
      <c r="I429">
        <v>0.39215689999999997</v>
      </c>
      <c r="J429">
        <v>0.62195120000000004</v>
      </c>
    </row>
    <row r="430" spans="1:10" x14ac:dyDescent="0.3">
      <c r="A430">
        <v>428</v>
      </c>
      <c r="B430">
        <v>6812</v>
      </c>
      <c r="C430" t="b">
        <v>1</v>
      </c>
      <c r="D430">
        <v>8048</v>
      </c>
      <c r="E430">
        <v>8123</v>
      </c>
      <c r="F430">
        <v>4.8666669999999996</v>
      </c>
      <c r="G430">
        <v>6.4</v>
      </c>
      <c r="H430">
        <v>0.76041669999999995</v>
      </c>
      <c r="I430">
        <v>0.23958333000000001</v>
      </c>
      <c r="J430">
        <v>0.56804734000000001</v>
      </c>
    </row>
    <row r="431" spans="1:10" x14ac:dyDescent="0.3">
      <c r="A431">
        <v>429</v>
      </c>
      <c r="B431">
        <v>6828</v>
      </c>
      <c r="C431" t="b">
        <v>1</v>
      </c>
      <c r="D431">
        <v>8048</v>
      </c>
      <c r="E431">
        <v>8129</v>
      </c>
      <c r="F431">
        <v>5.6</v>
      </c>
      <c r="G431">
        <v>6</v>
      </c>
      <c r="H431">
        <v>0.93333334000000001</v>
      </c>
      <c r="I431">
        <v>6.6666685000000003E-2</v>
      </c>
      <c r="J431">
        <v>0.51724135999999998</v>
      </c>
    </row>
    <row r="432" spans="1:10" x14ac:dyDescent="0.3">
      <c r="A432">
        <v>430</v>
      </c>
      <c r="B432">
        <v>6844</v>
      </c>
      <c r="C432" t="b">
        <v>1</v>
      </c>
      <c r="D432">
        <v>8048</v>
      </c>
      <c r="E432">
        <v>8123</v>
      </c>
      <c r="F432">
        <v>6</v>
      </c>
      <c r="G432">
        <v>6</v>
      </c>
      <c r="H432">
        <v>1</v>
      </c>
      <c r="I432">
        <v>0</v>
      </c>
      <c r="J432">
        <v>0.5</v>
      </c>
    </row>
    <row r="433" spans="1:10" x14ac:dyDescent="0.3">
      <c r="A433">
        <v>431</v>
      </c>
      <c r="B433">
        <v>6860</v>
      </c>
      <c r="C433" t="b">
        <v>1</v>
      </c>
      <c r="D433">
        <v>8048</v>
      </c>
      <c r="E433">
        <v>8123</v>
      </c>
      <c r="F433">
        <v>6.4</v>
      </c>
      <c r="G433">
        <v>6.4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6876</v>
      </c>
      <c r="C434" t="b">
        <v>1</v>
      </c>
      <c r="D434">
        <v>8048</v>
      </c>
      <c r="E434">
        <v>8117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6891</v>
      </c>
      <c r="C435" t="b">
        <v>1</v>
      </c>
      <c r="D435">
        <v>8048</v>
      </c>
      <c r="E435">
        <v>8129</v>
      </c>
      <c r="F435">
        <v>6.4</v>
      </c>
      <c r="G435">
        <v>7.2</v>
      </c>
      <c r="H435">
        <v>0.88888895999999995</v>
      </c>
      <c r="I435">
        <v>0.111111075</v>
      </c>
      <c r="J435">
        <v>0.52941172999999997</v>
      </c>
    </row>
    <row r="436" spans="1:10" x14ac:dyDescent="0.3">
      <c r="A436">
        <v>434</v>
      </c>
      <c r="B436">
        <v>6907</v>
      </c>
      <c r="C436" t="b">
        <v>1</v>
      </c>
      <c r="D436">
        <v>8048</v>
      </c>
      <c r="E436">
        <v>8134</v>
      </c>
      <c r="F436">
        <v>6.4</v>
      </c>
      <c r="G436">
        <v>7.6</v>
      </c>
      <c r="H436">
        <v>0.84210527000000002</v>
      </c>
      <c r="I436">
        <v>0.15789471999999999</v>
      </c>
      <c r="J436">
        <v>0.54285709999999998</v>
      </c>
    </row>
    <row r="437" spans="1:10" x14ac:dyDescent="0.3">
      <c r="A437">
        <v>435</v>
      </c>
      <c r="B437">
        <v>6923</v>
      </c>
      <c r="C437" t="b">
        <v>1</v>
      </c>
      <c r="D437">
        <v>8048</v>
      </c>
      <c r="E437">
        <v>8123</v>
      </c>
      <c r="F437">
        <v>6.4</v>
      </c>
      <c r="G437">
        <v>8</v>
      </c>
      <c r="H437">
        <v>0.8</v>
      </c>
      <c r="I437">
        <v>0.19999998999999999</v>
      </c>
      <c r="J437">
        <v>0.55555560000000004</v>
      </c>
    </row>
    <row r="438" spans="1:10" x14ac:dyDescent="0.3">
      <c r="A438">
        <v>436</v>
      </c>
      <c r="B438">
        <v>6938</v>
      </c>
      <c r="C438" t="b">
        <v>1</v>
      </c>
      <c r="D438">
        <v>8042</v>
      </c>
      <c r="E438">
        <v>8123</v>
      </c>
      <c r="F438">
        <v>6.4</v>
      </c>
      <c r="G438">
        <v>8</v>
      </c>
      <c r="H438">
        <v>0.8</v>
      </c>
      <c r="I438">
        <v>0.19999998999999999</v>
      </c>
      <c r="J438">
        <v>0.55555560000000004</v>
      </c>
    </row>
    <row r="439" spans="1:10" x14ac:dyDescent="0.3">
      <c r="A439">
        <v>437</v>
      </c>
      <c r="B439">
        <v>6954</v>
      </c>
      <c r="C439" t="b">
        <v>1</v>
      </c>
      <c r="D439">
        <v>8048</v>
      </c>
      <c r="E439">
        <v>8123</v>
      </c>
      <c r="F439">
        <v>6.8</v>
      </c>
      <c r="G439">
        <v>8</v>
      </c>
      <c r="H439">
        <v>0.85</v>
      </c>
      <c r="I439">
        <v>0.14999998</v>
      </c>
      <c r="J439">
        <v>0.54054049999999998</v>
      </c>
    </row>
    <row r="440" spans="1:10" x14ac:dyDescent="0.3">
      <c r="A440">
        <v>438</v>
      </c>
      <c r="B440">
        <v>6970</v>
      </c>
      <c r="C440" t="b">
        <v>1</v>
      </c>
      <c r="D440">
        <v>8048</v>
      </c>
      <c r="E440">
        <v>8123</v>
      </c>
      <c r="F440">
        <v>7.2</v>
      </c>
      <c r="G440">
        <v>8</v>
      </c>
      <c r="H440">
        <v>0.9</v>
      </c>
      <c r="I440">
        <v>0.10000002400000001</v>
      </c>
      <c r="J440">
        <v>0.5263158</v>
      </c>
    </row>
    <row r="441" spans="1:10" x14ac:dyDescent="0.3">
      <c r="A441">
        <v>439</v>
      </c>
      <c r="B441">
        <v>6986</v>
      </c>
      <c r="C441" t="b">
        <v>1</v>
      </c>
      <c r="D441">
        <v>8042</v>
      </c>
      <c r="E441">
        <v>8123</v>
      </c>
      <c r="F441">
        <v>7.6</v>
      </c>
      <c r="G441">
        <v>8</v>
      </c>
      <c r="H441">
        <v>0.95</v>
      </c>
      <c r="I441">
        <v>5.0000012000000003E-2</v>
      </c>
      <c r="J441">
        <v>0.51282050000000001</v>
      </c>
    </row>
    <row r="442" spans="1:10" x14ac:dyDescent="0.3">
      <c r="A442">
        <v>440</v>
      </c>
      <c r="B442">
        <v>7002</v>
      </c>
      <c r="C442" t="b">
        <v>1</v>
      </c>
      <c r="D442">
        <v>8048</v>
      </c>
      <c r="E442">
        <v>8123</v>
      </c>
      <c r="F442">
        <v>8</v>
      </c>
      <c r="G442">
        <v>8</v>
      </c>
      <c r="H442">
        <v>1</v>
      </c>
      <c r="I442">
        <v>0</v>
      </c>
      <c r="J442">
        <v>0.5</v>
      </c>
    </row>
    <row r="443" spans="1:10" x14ac:dyDescent="0.3">
      <c r="A443">
        <v>441</v>
      </c>
      <c r="B443">
        <v>7018</v>
      </c>
      <c r="C443" t="b">
        <v>1</v>
      </c>
      <c r="D443">
        <v>8048</v>
      </c>
      <c r="E443">
        <v>8123</v>
      </c>
      <c r="F443">
        <v>8</v>
      </c>
      <c r="G443">
        <v>8</v>
      </c>
      <c r="H443">
        <v>1</v>
      </c>
      <c r="I443">
        <v>0</v>
      </c>
      <c r="J443">
        <v>0.5</v>
      </c>
    </row>
    <row r="444" spans="1:10" x14ac:dyDescent="0.3">
      <c r="A444">
        <v>442</v>
      </c>
      <c r="B444">
        <v>7034</v>
      </c>
      <c r="C444" t="b">
        <v>1</v>
      </c>
      <c r="D444">
        <v>8042</v>
      </c>
      <c r="E444">
        <v>8123</v>
      </c>
      <c r="F444">
        <v>8</v>
      </c>
      <c r="G444">
        <v>8</v>
      </c>
      <c r="H444">
        <v>1</v>
      </c>
      <c r="I444">
        <v>0</v>
      </c>
      <c r="J444">
        <v>0.5</v>
      </c>
    </row>
    <row r="445" spans="1:10" x14ac:dyDescent="0.3">
      <c r="A445">
        <v>443</v>
      </c>
      <c r="B445">
        <v>7049</v>
      </c>
      <c r="C445" t="b">
        <v>1</v>
      </c>
      <c r="D445">
        <v>8048</v>
      </c>
      <c r="E445">
        <v>8123</v>
      </c>
      <c r="F445">
        <v>8</v>
      </c>
      <c r="G445">
        <v>8</v>
      </c>
      <c r="H445">
        <v>1</v>
      </c>
      <c r="I445">
        <v>0</v>
      </c>
      <c r="J445">
        <v>0.5</v>
      </c>
    </row>
    <row r="446" spans="1:10" x14ac:dyDescent="0.3">
      <c r="A446">
        <v>444</v>
      </c>
      <c r="B446">
        <v>7065</v>
      </c>
      <c r="C446" t="b">
        <v>1</v>
      </c>
      <c r="D446">
        <v>8042</v>
      </c>
      <c r="E446">
        <v>8123</v>
      </c>
      <c r="F446">
        <v>8</v>
      </c>
      <c r="G446">
        <v>8</v>
      </c>
      <c r="H446">
        <v>1</v>
      </c>
      <c r="I446">
        <v>0</v>
      </c>
      <c r="J446">
        <v>0.5</v>
      </c>
    </row>
    <row r="447" spans="1:10" x14ac:dyDescent="0.3">
      <c r="A447">
        <v>445</v>
      </c>
      <c r="B447">
        <v>7081</v>
      </c>
      <c r="C447" t="b">
        <v>1</v>
      </c>
      <c r="D447">
        <v>8048</v>
      </c>
      <c r="E447">
        <v>8129</v>
      </c>
      <c r="F447">
        <v>8</v>
      </c>
      <c r="G447">
        <v>8</v>
      </c>
      <c r="H447">
        <v>1</v>
      </c>
      <c r="I447">
        <v>0</v>
      </c>
      <c r="J447">
        <v>0.5</v>
      </c>
    </row>
    <row r="448" spans="1:10" x14ac:dyDescent="0.3">
      <c r="A448">
        <v>446</v>
      </c>
      <c r="B448">
        <v>7097</v>
      </c>
      <c r="C448" t="b">
        <v>1</v>
      </c>
      <c r="D448">
        <v>8048</v>
      </c>
      <c r="E448">
        <v>8129</v>
      </c>
      <c r="F448">
        <v>8</v>
      </c>
      <c r="G448">
        <v>8</v>
      </c>
      <c r="H448">
        <v>1</v>
      </c>
      <c r="I448">
        <v>0</v>
      </c>
      <c r="J448">
        <v>0.5</v>
      </c>
    </row>
    <row r="449" spans="1:10" x14ac:dyDescent="0.3">
      <c r="A449">
        <v>447</v>
      </c>
      <c r="B449">
        <v>7113</v>
      </c>
      <c r="C449" t="b">
        <v>1</v>
      </c>
      <c r="D449">
        <v>8048</v>
      </c>
      <c r="E449">
        <v>8134</v>
      </c>
      <c r="F449">
        <v>8</v>
      </c>
      <c r="G449">
        <v>8.4</v>
      </c>
      <c r="H449">
        <v>0.95238100000000003</v>
      </c>
      <c r="I449">
        <v>4.7619003999999999E-2</v>
      </c>
      <c r="J449">
        <v>0.51219510000000001</v>
      </c>
    </row>
    <row r="450" spans="1:10" x14ac:dyDescent="0.3">
      <c r="A450">
        <v>448</v>
      </c>
      <c r="B450">
        <v>7129</v>
      </c>
      <c r="C450" t="b">
        <v>1</v>
      </c>
      <c r="D450">
        <v>8048</v>
      </c>
      <c r="E450">
        <v>8129</v>
      </c>
      <c r="F450">
        <v>8</v>
      </c>
      <c r="G450">
        <v>8.8000000000000007</v>
      </c>
      <c r="H450">
        <v>0.90909090000000004</v>
      </c>
      <c r="I450">
        <v>9.0909110000000001E-2</v>
      </c>
      <c r="J450">
        <v>0.52380954999999996</v>
      </c>
    </row>
    <row r="451" spans="1:10" x14ac:dyDescent="0.3">
      <c r="A451">
        <v>449</v>
      </c>
      <c r="B451">
        <v>7145</v>
      </c>
      <c r="C451" t="b">
        <v>1</v>
      </c>
      <c r="D451">
        <v>8054</v>
      </c>
      <c r="E451">
        <v>8123</v>
      </c>
      <c r="F451">
        <v>8</v>
      </c>
      <c r="G451">
        <v>9.1999999999999993</v>
      </c>
      <c r="H451">
        <v>0.86956524999999996</v>
      </c>
      <c r="I451">
        <v>0.13043477000000001</v>
      </c>
      <c r="J451">
        <v>0.53488369999999996</v>
      </c>
    </row>
    <row r="452" spans="1:10" x14ac:dyDescent="0.3">
      <c r="A452">
        <v>450</v>
      </c>
      <c r="B452">
        <v>7160</v>
      </c>
      <c r="C452" t="b">
        <v>1</v>
      </c>
      <c r="D452">
        <v>8048</v>
      </c>
      <c r="E452">
        <v>8129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7176</v>
      </c>
      <c r="C453" t="b">
        <v>1</v>
      </c>
      <c r="D453">
        <v>8042</v>
      </c>
      <c r="E453">
        <v>8129</v>
      </c>
      <c r="F453">
        <v>8</v>
      </c>
      <c r="G453">
        <v>10</v>
      </c>
      <c r="H453">
        <v>0.8</v>
      </c>
      <c r="I453">
        <v>0.2</v>
      </c>
      <c r="J453">
        <v>0.55555560000000004</v>
      </c>
    </row>
    <row r="454" spans="1:10" x14ac:dyDescent="0.3">
      <c r="A454">
        <v>452</v>
      </c>
      <c r="B454">
        <v>7192</v>
      </c>
      <c r="C454" t="b">
        <v>1</v>
      </c>
      <c r="D454">
        <v>8048</v>
      </c>
      <c r="E454">
        <v>8129</v>
      </c>
      <c r="F454">
        <v>8</v>
      </c>
      <c r="G454">
        <v>10.4</v>
      </c>
      <c r="H454">
        <v>0.76923079999999999</v>
      </c>
      <c r="I454">
        <v>0.23076920000000001</v>
      </c>
      <c r="J454">
        <v>0.56521739999999998</v>
      </c>
    </row>
    <row r="455" spans="1:10" x14ac:dyDescent="0.3">
      <c r="A455">
        <v>453</v>
      </c>
      <c r="B455">
        <v>7208</v>
      </c>
      <c r="C455" t="b">
        <v>1</v>
      </c>
      <c r="D455">
        <v>8048</v>
      </c>
      <c r="E455">
        <v>8123</v>
      </c>
      <c r="F455">
        <v>8</v>
      </c>
      <c r="G455">
        <v>10.8</v>
      </c>
      <c r="H455">
        <v>0.74074070000000003</v>
      </c>
      <c r="I455">
        <v>0.25925927999999998</v>
      </c>
      <c r="J455">
        <v>0.57446814000000002</v>
      </c>
    </row>
    <row r="456" spans="1:10" x14ac:dyDescent="0.3">
      <c r="A456">
        <v>454</v>
      </c>
      <c r="B456">
        <v>7223</v>
      </c>
      <c r="C456" t="b">
        <v>1</v>
      </c>
      <c r="D456">
        <v>8048</v>
      </c>
      <c r="E456">
        <v>8123</v>
      </c>
      <c r="F456">
        <v>8</v>
      </c>
      <c r="G456">
        <v>11.2</v>
      </c>
      <c r="H456">
        <v>0.71428572999999995</v>
      </c>
      <c r="I456">
        <v>0.28571426999999999</v>
      </c>
      <c r="J456">
        <v>0.58333330000000005</v>
      </c>
    </row>
    <row r="457" spans="1:10" x14ac:dyDescent="0.3">
      <c r="A457">
        <v>455</v>
      </c>
      <c r="B457">
        <v>7239</v>
      </c>
      <c r="C457" t="b">
        <v>1</v>
      </c>
      <c r="D457">
        <v>8048</v>
      </c>
      <c r="E457">
        <v>8123</v>
      </c>
      <c r="F457">
        <v>8</v>
      </c>
      <c r="G457">
        <v>11.2</v>
      </c>
      <c r="H457">
        <v>0.71428572999999995</v>
      </c>
      <c r="I457">
        <v>0.28571426999999999</v>
      </c>
      <c r="J457">
        <v>0.58333330000000005</v>
      </c>
    </row>
    <row r="458" spans="1:10" x14ac:dyDescent="0.3">
      <c r="A458">
        <v>456</v>
      </c>
      <c r="B458">
        <v>7254</v>
      </c>
      <c r="C458" t="b">
        <v>1</v>
      </c>
      <c r="D458">
        <v>8048</v>
      </c>
      <c r="E458">
        <v>8123</v>
      </c>
      <c r="F458">
        <v>8</v>
      </c>
      <c r="G458">
        <v>11.2</v>
      </c>
      <c r="H458">
        <v>0.71428572999999995</v>
      </c>
      <c r="I458">
        <v>0.28571426999999999</v>
      </c>
      <c r="J458">
        <v>0.58333330000000005</v>
      </c>
    </row>
    <row r="459" spans="1:10" x14ac:dyDescent="0.3">
      <c r="A459">
        <v>457</v>
      </c>
      <c r="B459">
        <v>7270</v>
      </c>
      <c r="C459" t="b">
        <v>1</v>
      </c>
      <c r="D459">
        <v>8048</v>
      </c>
      <c r="E459">
        <v>8123</v>
      </c>
      <c r="F459">
        <v>8</v>
      </c>
      <c r="G459">
        <v>11.2</v>
      </c>
      <c r="H459">
        <v>0.71428572999999995</v>
      </c>
      <c r="I459">
        <v>0.28571426999999999</v>
      </c>
      <c r="J459">
        <v>0.58333330000000005</v>
      </c>
    </row>
    <row r="460" spans="1:10" x14ac:dyDescent="0.3">
      <c r="A460">
        <v>458</v>
      </c>
      <c r="B460">
        <v>7286</v>
      </c>
      <c r="C460" t="b">
        <v>1</v>
      </c>
      <c r="D460">
        <v>8048</v>
      </c>
      <c r="E460">
        <v>8123</v>
      </c>
      <c r="F460">
        <v>8</v>
      </c>
      <c r="G460">
        <v>11.2</v>
      </c>
      <c r="H460">
        <v>0.71428572999999995</v>
      </c>
      <c r="I460">
        <v>0.28571426999999999</v>
      </c>
      <c r="J460">
        <v>0.58333330000000005</v>
      </c>
    </row>
    <row r="461" spans="1:10" x14ac:dyDescent="0.3">
      <c r="A461">
        <v>459</v>
      </c>
      <c r="B461">
        <v>7302</v>
      </c>
      <c r="C461" t="b">
        <v>1</v>
      </c>
      <c r="D461">
        <v>8048</v>
      </c>
      <c r="E461">
        <v>8123</v>
      </c>
      <c r="F461">
        <v>8</v>
      </c>
      <c r="G461">
        <v>11.2</v>
      </c>
      <c r="H461">
        <v>0.71428572999999995</v>
      </c>
      <c r="I461">
        <v>0.28571426999999999</v>
      </c>
      <c r="J461">
        <v>0.58333330000000005</v>
      </c>
    </row>
    <row r="462" spans="1:10" x14ac:dyDescent="0.3">
      <c r="A462">
        <v>460</v>
      </c>
      <c r="B462">
        <v>7318</v>
      </c>
      <c r="C462" t="b">
        <v>1</v>
      </c>
      <c r="D462">
        <v>8048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7333</v>
      </c>
      <c r="C463" t="b">
        <v>1</v>
      </c>
      <c r="D463">
        <v>8048</v>
      </c>
      <c r="E463">
        <v>8123</v>
      </c>
      <c r="F463">
        <v>8</v>
      </c>
      <c r="G463">
        <v>11.2</v>
      </c>
      <c r="H463">
        <v>0.71428572999999995</v>
      </c>
      <c r="I463">
        <v>0.28571426999999999</v>
      </c>
      <c r="J463">
        <v>0.58333330000000005</v>
      </c>
    </row>
    <row r="464" spans="1:10" x14ac:dyDescent="0.3">
      <c r="A464">
        <v>462</v>
      </c>
      <c r="B464">
        <v>7349</v>
      </c>
      <c r="C464" t="b">
        <v>1</v>
      </c>
      <c r="D464">
        <v>8048</v>
      </c>
      <c r="E464">
        <v>8129</v>
      </c>
      <c r="F464">
        <v>8</v>
      </c>
      <c r="G464">
        <v>10.8</v>
      </c>
      <c r="H464">
        <v>0.74074070000000003</v>
      </c>
      <c r="I464">
        <v>0.25925927999999998</v>
      </c>
      <c r="J464">
        <v>0.57446814000000002</v>
      </c>
    </row>
    <row r="465" spans="1:10" x14ac:dyDescent="0.3">
      <c r="A465">
        <v>463</v>
      </c>
      <c r="B465">
        <v>7365</v>
      </c>
      <c r="C465" t="b">
        <v>1</v>
      </c>
      <c r="D465">
        <v>8048</v>
      </c>
      <c r="E465">
        <v>8129</v>
      </c>
      <c r="F465">
        <v>8</v>
      </c>
      <c r="G465">
        <v>10.4</v>
      </c>
      <c r="H465">
        <v>0.76923079999999999</v>
      </c>
      <c r="I465">
        <v>0.23076920000000001</v>
      </c>
      <c r="J465">
        <v>0.56521739999999998</v>
      </c>
    </row>
    <row r="466" spans="1:10" x14ac:dyDescent="0.3">
      <c r="A466">
        <v>464</v>
      </c>
      <c r="B466">
        <v>7381</v>
      </c>
      <c r="C466" t="b">
        <v>1</v>
      </c>
      <c r="D466">
        <v>8048</v>
      </c>
      <c r="E466">
        <v>8129</v>
      </c>
      <c r="F466">
        <v>8</v>
      </c>
      <c r="G466">
        <v>10.4</v>
      </c>
      <c r="H466">
        <v>0.76923079999999999</v>
      </c>
      <c r="I466">
        <v>0.23076920000000001</v>
      </c>
      <c r="J466">
        <v>0.56521739999999998</v>
      </c>
    </row>
    <row r="467" spans="1:10" x14ac:dyDescent="0.3">
      <c r="A467">
        <v>465</v>
      </c>
      <c r="B467">
        <v>7397</v>
      </c>
      <c r="C467" t="b">
        <v>1</v>
      </c>
      <c r="D467">
        <v>8048</v>
      </c>
      <c r="E467">
        <v>8123</v>
      </c>
      <c r="F467">
        <v>8</v>
      </c>
      <c r="G467">
        <v>10.4</v>
      </c>
      <c r="H467">
        <v>0.76923079999999999</v>
      </c>
      <c r="I467">
        <v>0.23076920000000001</v>
      </c>
      <c r="J467">
        <v>0.56521739999999998</v>
      </c>
    </row>
    <row r="468" spans="1:10" x14ac:dyDescent="0.3">
      <c r="A468">
        <v>466</v>
      </c>
      <c r="B468">
        <v>7413</v>
      </c>
      <c r="C468" t="b">
        <v>1</v>
      </c>
      <c r="D468">
        <v>8048</v>
      </c>
      <c r="E468">
        <v>8123</v>
      </c>
      <c r="F468">
        <v>8</v>
      </c>
      <c r="G468">
        <v>10.4</v>
      </c>
      <c r="H468">
        <v>0.76923079999999999</v>
      </c>
      <c r="I468">
        <v>0.23076920000000001</v>
      </c>
      <c r="J468">
        <v>0.56521739999999998</v>
      </c>
    </row>
    <row r="469" spans="1:10" x14ac:dyDescent="0.3">
      <c r="A469">
        <v>467</v>
      </c>
      <c r="B469">
        <v>7429</v>
      </c>
      <c r="C469" t="b">
        <v>1</v>
      </c>
      <c r="D469">
        <v>8048</v>
      </c>
      <c r="E469">
        <v>8123</v>
      </c>
      <c r="F469">
        <v>8</v>
      </c>
      <c r="G469">
        <v>10</v>
      </c>
      <c r="H469">
        <v>0.8</v>
      </c>
      <c r="I469">
        <v>0.2</v>
      </c>
      <c r="J469">
        <v>0.55555560000000004</v>
      </c>
    </row>
    <row r="470" spans="1:10" x14ac:dyDescent="0.3">
      <c r="A470">
        <v>468</v>
      </c>
      <c r="B470">
        <v>7445</v>
      </c>
      <c r="C470" t="b">
        <v>1</v>
      </c>
      <c r="D470">
        <v>8048</v>
      </c>
      <c r="E470">
        <v>8123</v>
      </c>
      <c r="F470">
        <v>8</v>
      </c>
      <c r="G470">
        <v>9.6</v>
      </c>
      <c r="H470">
        <v>0.83333330000000005</v>
      </c>
      <c r="I470">
        <v>0.1666667</v>
      </c>
      <c r="J470">
        <v>0.54545456000000003</v>
      </c>
    </row>
    <row r="471" spans="1:10" x14ac:dyDescent="0.3">
      <c r="A471">
        <v>469</v>
      </c>
      <c r="B471">
        <v>7461</v>
      </c>
      <c r="C471" t="b">
        <v>1</v>
      </c>
      <c r="D471">
        <v>8048</v>
      </c>
      <c r="E471">
        <v>8129</v>
      </c>
      <c r="F471">
        <v>8</v>
      </c>
      <c r="G471">
        <v>9.1999999999999993</v>
      </c>
      <c r="H471">
        <v>0.86956524999999996</v>
      </c>
      <c r="I471">
        <v>0.13043477000000001</v>
      </c>
      <c r="J471">
        <v>0.53488369999999996</v>
      </c>
    </row>
    <row r="472" spans="1:10" x14ac:dyDescent="0.3">
      <c r="A472">
        <v>470</v>
      </c>
      <c r="B472">
        <v>7477</v>
      </c>
      <c r="C472" t="b">
        <v>1</v>
      </c>
      <c r="D472">
        <v>8048</v>
      </c>
      <c r="E472">
        <v>8129</v>
      </c>
      <c r="F472">
        <v>8</v>
      </c>
      <c r="G472">
        <v>9.1999999999999993</v>
      </c>
      <c r="H472">
        <v>0.86956524999999996</v>
      </c>
      <c r="I472">
        <v>0.13043477000000001</v>
      </c>
      <c r="J472">
        <v>0.53488369999999996</v>
      </c>
    </row>
    <row r="473" spans="1:10" x14ac:dyDescent="0.3">
      <c r="A473">
        <v>471</v>
      </c>
      <c r="B473">
        <v>7493</v>
      </c>
      <c r="C473" t="b">
        <v>1</v>
      </c>
      <c r="D473">
        <v>8054</v>
      </c>
      <c r="E473">
        <v>8129</v>
      </c>
      <c r="F473">
        <v>8</v>
      </c>
      <c r="G473">
        <v>9.6</v>
      </c>
      <c r="H473">
        <v>0.83333330000000005</v>
      </c>
      <c r="I473">
        <v>0.1666667</v>
      </c>
      <c r="J473">
        <v>0.54545456000000003</v>
      </c>
    </row>
    <row r="474" spans="1:10" x14ac:dyDescent="0.3">
      <c r="A474">
        <v>472</v>
      </c>
      <c r="B474">
        <v>7509</v>
      </c>
      <c r="C474" t="b">
        <v>1</v>
      </c>
      <c r="D474">
        <v>8042</v>
      </c>
      <c r="E474">
        <v>8129</v>
      </c>
      <c r="F474">
        <v>8</v>
      </c>
      <c r="G474">
        <v>10</v>
      </c>
      <c r="H474">
        <v>0.8</v>
      </c>
      <c r="I474">
        <v>0.2</v>
      </c>
      <c r="J474">
        <v>0.55555560000000004</v>
      </c>
    </row>
    <row r="475" spans="1:10" x14ac:dyDescent="0.3">
      <c r="A475">
        <v>473</v>
      </c>
      <c r="B475">
        <v>7525</v>
      </c>
      <c r="C475" t="b">
        <v>1</v>
      </c>
      <c r="D475">
        <v>8042</v>
      </c>
      <c r="E475">
        <v>8123</v>
      </c>
      <c r="F475">
        <v>8</v>
      </c>
      <c r="G475">
        <v>10.4</v>
      </c>
      <c r="H475">
        <v>0.76923079999999999</v>
      </c>
      <c r="I475">
        <v>0.23076920000000001</v>
      </c>
      <c r="J475">
        <v>0.56521739999999998</v>
      </c>
    </row>
    <row r="476" spans="1:10" x14ac:dyDescent="0.3">
      <c r="A476">
        <v>474</v>
      </c>
      <c r="B476">
        <v>7540</v>
      </c>
      <c r="C476" t="b">
        <v>1</v>
      </c>
      <c r="D476">
        <v>8042</v>
      </c>
      <c r="E476">
        <v>8129</v>
      </c>
      <c r="F476">
        <v>7.6</v>
      </c>
      <c r="G476">
        <v>10.8</v>
      </c>
      <c r="H476">
        <v>0.70370370000000004</v>
      </c>
      <c r="I476">
        <v>0.29629633</v>
      </c>
      <c r="J476">
        <v>0.58695655999999996</v>
      </c>
    </row>
    <row r="477" spans="1:10" x14ac:dyDescent="0.3">
      <c r="A477">
        <v>475</v>
      </c>
      <c r="B477">
        <v>7556</v>
      </c>
      <c r="C477" t="b">
        <v>1</v>
      </c>
      <c r="D477">
        <v>8042</v>
      </c>
      <c r="E477">
        <v>8123</v>
      </c>
      <c r="F477">
        <v>7.2</v>
      </c>
      <c r="G477">
        <v>11.2</v>
      </c>
      <c r="H477">
        <v>0.64285713</v>
      </c>
      <c r="I477">
        <v>0.35714287</v>
      </c>
      <c r="J477">
        <v>0.6086956</v>
      </c>
    </row>
    <row r="478" spans="1:10" x14ac:dyDescent="0.3">
      <c r="A478">
        <v>476</v>
      </c>
      <c r="B478">
        <v>7572</v>
      </c>
      <c r="C478" t="b">
        <v>1</v>
      </c>
      <c r="D478">
        <v>8042</v>
      </c>
      <c r="E478">
        <v>8123</v>
      </c>
      <c r="F478">
        <v>6.8</v>
      </c>
      <c r="G478">
        <v>11.2</v>
      </c>
      <c r="H478">
        <v>0.60714287</v>
      </c>
      <c r="I478">
        <v>0.39285710000000001</v>
      </c>
      <c r="J478">
        <v>0.62222219999999995</v>
      </c>
    </row>
    <row r="479" spans="1:10" x14ac:dyDescent="0.3">
      <c r="A479">
        <v>477</v>
      </c>
      <c r="B479">
        <v>7587</v>
      </c>
      <c r="C479" t="b">
        <v>1</v>
      </c>
      <c r="D479">
        <v>8042</v>
      </c>
      <c r="E479">
        <v>8129</v>
      </c>
      <c r="F479">
        <v>6.4</v>
      </c>
      <c r="G479">
        <v>11.2</v>
      </c>
      <c r="H479">
        <v>0.57142859999999995</v>
      </c>
      <c r="I479">
        <v>0.42857139999999999</v>
      </c>
      <c r="J479">
        <v>0.63636360000000003</v>
      </c>
    </row>
    <row r="480" spans="1:10" x14ac:dyDescent="0.3">
      <c r="A480">
        <v>478</v>
      </c>
      <c r="B480">
        <v>7604</v>
      </c>
      <c r="C480" t="b">
        <v>1</v>
      </c>
      <c r="D480">
        <v>8042</v>
      </c>
      <c r="E480">
        <v>8123</v>
      </c>
      <c r="F480">
        <v>6</v>
      </c>
      <c r="G480">
        <v>11.2</v>
      </c>
      <c r="H480">
        <v>0.53571427000000005</v>
      </c>
      <c r="I480">
        <v>0.46428570000000002</v>
      </c>
      <c r="J480">
        <v>0.65116273999999996</v>
      </c>
    </row>
    <row r="481" spans="1:10" x14ac:dyDescent="0.3">
      <c r="A481">
        <v>479</v>
      </c>
      <c r="B481">
        <v>7620</v>
      </c>
      <c r="C481" t="b">
        <v>1</v>
      </c>
      <c r="D481">
        <v>8042</v>
      </c>
      <c r="E481">
        <v>8123</v>
      </c>
      <c r="F481">
        <v>5.6</v>
      </c>
      <c r="G481">
        <v>10.8</v>
      </c>
      <c r="H481">
        <v>0.51851849999999999</v>
      </c>
      <c r="I481">
        <v>0.48148150000000001</v>
      </c>
      <c r="J481">
        <v>0.65853660000000003</v>
      </c>
    </row>
    <row r="482" spans="1:10" x14ac:dyDescent="0.3">
      <c r="A482">
        <v>480</v>
      </c>
      <c r="B482">
        <v>7635</v>
      </c>
      <c r="C482" t="b">
        <v>1</v>
      </c>
      <c r="D482">
        <v>8042</v>
      </c>
      <c r="E482">
        <v>8123</v>
      </c>
      <c r="F482">
        <v>5.2</v>
      </c>
      <c r="G482">
        <v>10.4</v>
      </c>
      <c r="H482">
        <v>0.5</v>
      </c>
      <c r="I482">
        <v>0.5</v>
      </c>
      <c r="J482">
        <v>0.66666669999999995</v>
      </c>
    </row>
    <row r="483" spans="1:10" x14ac:dyDescent="0.3">
      <c r="A483">
        <v>481</v>
      </c>
      <c r="B483">
        <v>7651</v>
      </c>
      <c r="C483" t="b">
        <v>1</v>
      </c>
      <c r="D483">
        <v>8042</v>
      </c>
      <c r="E483">
        <v>8123</v>
      </c>
      <c r="F483">
        <v>4.8</v>
      </c>
      <c r="G483">
        <v>10</v>
      </c>
      <c r="H483">
        <v>0.48000002000000003</v>
      </c>
      <c r="I483">
        <v>0.52</v>
      </c>
      <c r="J483">
        <v>0.67567569999999999</v>
      </c>
    </row>
    <row r="484" spans="1:10" x14ac:dyDescent="0.3">
      <c r="A484">
        <v>482</v>
      </c>
      <c r="B484">
        <v>7667</v>
      </c>
      <c r="C484" t="b">
        <v>1</v>
      </c>
      <c r="D484">
        <v>8048</v>
      </c>
      <c r="E484">
        <v>8123</v>
      </c>
      <c r="F484">
        <v>4.4000000000000004</v>
      </c>
      <c r="G484">
        <v>10</v>
      </c>
      <c r="H484">
        <v>0.44</v>
      </c>
      <c r="I484">
        <v>0.56000000000000005</v>
      </c>
      <c r="J484">
        <v>0.69444450000000002</v>
      </c>
    </row>
    <row r="485" spans="1:10" x14ac:dyDescent="0.3">
      <c r="A485">
        <v>483</v>
      </c>
      <c r="B485">
        <v>7683</v>
      </c>
      <c r="C485" t="b">
        <v>1</v>
      </c>
      <c r="D485">
        <v>8042</v>
      </c>
      <c r="E485">
        <v>8123</v>
      </c>
      <c r="F485">
        <v>4</v>
      </c>
      <c r="G485">
        <v>10</v>
      </c>
      <c r="H485">
        <v>0.4</v>
      </c>
      <c r="I485">
        <v>0.6</v>
      </c>
      <c r="J485">
        <v>0.71428572999999995</v>
      </c>
    </row>
    <row r="486" spans="1:10" x14ac:dyDescent="0.3">
      <c r="A486">
        <v>484</v>
      </c>
      <c r="B486">
        <v>7699</v>
      </c>
      <c r="C486" t="b">
        <v>1</v>
      </c>
      <c r="D486">
        <v>8048</v>
      </c>
      <c r="E486">
        <v>8123</v>
      </c>
      <c r="F486">
        <v>3.6</v>
      </c>
      <c r="G486">
        <v>10</v>
      </c>
      <c r="H486">
        <v>0.35999998</v>
      </c>
      <c r="I486">
        <v>0.64</v>
      </c>
      <c r="J486">
        <v>0.73529409999999995</v>
      </c>
    </row>
    <row r="487" spans="1:10" x14ac:dyDescent="0.3">
      <c r="A487">
        <v>485</v>
      </c>
      <c r="B487">
        <v>7715</v>
      </c>
      <c r="C487" t="b">
        <v>1</v>
      </c>
      <c r="D487">
        <v>8048</v>
      </c>
      <c r="E487">
        <v>8123</v>
      </c>
      <c r="F487">
        <v>3.6</v>
      </c>
      <c r="G487">
        <v>10</v>
      </c>
      <c r="H487">
        <v>0.35999998</v>
      </c>
      <c r="I487">
        <v>0.64</v>
      </c>
      <c r="J487">
        <v>0.73529409999999995</v>
      </c>
    </row>
    <row r="488" spans="1:10" x14ac:dyDescent="0.3">
      <c r="A488">
        <v>486</v>
      </c>
      <c r="B488">
        <v>7731</v>
      </c>
      <c r="C488" t="b">
        <v>1</v>
      </c>
      <c r="D488">
        <v>8048</v>
      </c>
      <c r="E488">
        <v>8123</v>
      </c>
      <c r="F488">
        <v>3.6</v>
      </c>
      <c r="G488">
        <v>9.6</v>
      </c>
      <c r="H488">
        <v>0.37499997000000002</v>
      </c>
      <c r="I488">
        <v>0.625</v>
      </c>
      <c r="J488">
        <v>0.72727269999999999</v>
      </c>
    </row>
    <row r="489" spans="1:10" x14ac:dyDescent="0.3">
      <c r="A489">
        <v>487</v>
      </c>
      <c r="B489">
        <v>7747</v>
      </c>
      <c r="C489" t="b">
        <v>1</v>
      </c>
      <c r="D489">
        <v>8042</v>
      </c>
      <c r="E489">
        <v>8123</v>
      </c>
      <c r="F489">
        <v>3.6</v>
      </c>
      <c r="G489">
        <v>9.1999999999999993</v>
      </c>
      <c r="H489">
        <v>0.39130433999999997</v>
      </c>
      <c r="I489">
        <v>0.6086956</v>
      </c>
      <c r="J489">
        <v>0.71875</v>
      </c>
    </row>
    <row r="490" spans="1:10" x14ac:dyDescent="0.3">
      <c r="A490">
        <v>488</v>
      </c>
      <c r="B490">
        <v>7763</v>
      </c>
      <c r="C490" t="b">
        <v>1</v>
      </c>
      <c r="D490">
        <v>8048</v>
      </c>
      <c r="E490">
        <v>8123</v>
      </c>
      <c r="F490">
        <v>3.6</v>
      </c>
      <c r="G490">
        <v>8.8000000000000007</v>
      </c>
      <c r="H490">
        <v>0.40909087999999999</v>
      </c>
      <c r="I490">
        <v>0.59090909999999996</v>
      </c>
      <c r="J490">
        <v>0.70967745999999998</v>
      </c>
    </row>
    <row r="491" spans="1:10" x14ac:dyDescent="0.3">
      <c r="A491">
        <v>489</v>
      </c>
      <c r="B491">
        <v>7779</v>
      </c>
      <c r="C491" t="b">
        <v>1</v>
      </c>
      <c r="D491">
        <v>8048</v>
      </c>
      <c r="E491">
        <v>8123</v>
      </c>
      <c r="F491">
        <v>4</v>
      </c>
      <c r="G491">
        <v>8.4</v>
      </c>
      <c r="H491">
        <v>0.47619050000000002</v>
      </c>
      <c r="I491">
        <v>0.52380950000000004</v>
      </c>
      <c r="J491">
        <v>0.67741936000000003</v>
      </c>
    </row>
    <row r="492" spans="1:10" x14ac:dyDescent="0.3">
      <c r="A492">
        <v>490</v>
      </c>
      <c r="B492">
        <v>7795</v>
      </c>
      <c r="C492" t="b">
        <v>1</v>
      </c>
      <c r="D492">
        <v>8048</v>
      </c>
      <c r="E492">
        <v>8123</v>
      </c>
      <c r="F492">
        <v>4.4000000000000004</v>
      </c>
      <c r="G492">
        <v>8</v>
      </c>
      <c r="H492">
        <v>0.55000000000000004</v>
      </c>
      <c r="I492">
        <v>0.45</v>
      </c>
      <c r="J492">
        <v>0.64516132999999998</v>
      </c>
    </row>
    <row r="493" spans="1:10" x14ac:dyDescent="0.3">
      <c r="A493">
        <v>491</v>
      </c>
      <c r="B493">
        <v>7811</v>
      </c>
      <c r="C493" t="b">
        <v>1</v>
      </c>
      <c r="D493">
        <v>8048</v>
      </c>
      <c r="E493">
        <v>8129</v>
      </c>
      <c r="F493">
        <v>4.8</v>
      </c>
      <c r="G493">
        <v>8</v>
      </c>
      <c r="H493">
        <v>0.6</v>
      </c>
      <c r="I493">
        <v>0.39999997999999998</v>
      </c>
      <c r="J493">
        <v>0.625</v>
      </c>
    </row>
    <row r="494" spans="1:10" x14ac:dyDescent="0.3">
      <c r="A494">
        <v>492</v>
      </c>
      <c r="B494">
        <v>7826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7843</v>
      </c>
      <c r="C495" t="b">
        <v>1</v>
      </c>
      <c r="D495">
        <v>8048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7858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7874</v>
      </c>
      <c r="C497" t="b">
        <v>1</v>
      </c>
      <c r="D497">
        <v>8048</v>
      </c>
      <c r="E497">
        <v>8129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7890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7905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7921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7937</v>
      </c>
      <c r="C501" t="b">
        <v>1</v>
      </c>
      <c r="D501">
        <v>8048</v>
      </c>
      <c r="E501">
        <v>8134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7953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B637-8E8E-4ED8-B7C6-DCBA0DE51A6A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8030</v>
      </c>
      <c r="E2">
        <v>8117</v>
      </c>
      <c r="F2">
        <v>190</v>
      </c>
      <c r="G2">
        <v>202</v>
      </c>
      <c r="H2">
        <v>0.94059409999999999</v>
      </c>
      <c r="I2">
        <v>5.9405939999999997E-2</v>
      </c>
      <c r="J2">
        <v>0.51530609999999999</v>
      </c>
    </row>
    <row r="3" spans="1:10" x14ac:dyDescent="0.3">
      <c r="A3">
        <v>1</v>
      </c>
      <c r="B3">
        <v>21</v>
      </c>
      <c r="C3" t="b">
        <v>1</v>
      </c>
      <c r="D3">
        <v>8054</v>
      </c>
      <c r="E3">
        <v>8087</v>
      </c>
      <c r="F3">
        <v>202</v>
      </c>
      <c r="G3">
        <v>202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36</v>
      </c>
      <c r="C4" t="b">
        <v>1</v>
      </c>
      <c r="D4">
        <v>8048</v>
      </c>
      <c r="E4">
        <v>8099</v>
      </c>
      <c r="F4">
        <v>204</v>
      </c>
      <c r="G4">
        <v>196</v>
      </c>
      <c r="H4">
        <v>1.0408162999999999</v>
      </c>
      <c r="I4">
        <v>-4.0816326E-2</v>
      </c>
      <c r="J4">
        <v>0.49</v>
      </c>
    </row>
    <row r="5" spans="1:10" x14ac:dyDescent="0.3">
      <c r="A5">
        <v>3</v>
      </c>
      <c r="B5">
        <v>52</v>
      </c>
      <c r="C5" t="b">
        <v>1</v>
      </c>
      <c r="D5">
        <v>8030</v>
      </c>
      <c r="E5">
        <v>8087</v>
      </c>
      <c r="F5">
        <v>205</v>
      </c>
      <c r="G5">
        <v>193</v>
      </c>
      <c r="H5">
        <v>1.0621761000000001</v>
      </c>
      <c r="I5">
        <v>-6.2176163999999999E-2</v>
      </c>
      <c r="J5">
        <v>0.48492459999999998</v>
      </c>
    </row>
    <row r="6" spans="1:10" x14ac:dyDescent="0.3">
      <c r="A6">
        <v>4</v>
      </c>
      <c r="B6">
        <v>84</v>
      </c>
      <c r="C6" t="b">
        <v>1</v>
      </c>
      <c r="D6">
        <v>8048</v>
      </c>
      <c r="E6">
        <v>8105</v>
      </c>
      <c r="F6">
        <v>205.6</v>
      </c>
      <c r="G6">
        <v>191.2</v>
      </c>
      <c r="H6">
        <v>1.0753138</v>
      </c>
      <c r="I6">
        <v>-7.5313859999999996E-2</v>
      </c>
      <c r="J6">
        <v>0.48185486</v>
      </c>
    </row>
    <row r="7" spans="1:10" x14ac:dyDescent="0.3">
      <c r="A7">
        <v>5</v>
      </c>
      <c r="B7">
        <v>116</v>
      </c>
      <c r="C7" t="b">
        <v>1</v>
      </c>
      <c r="D7">
        <v>8065</v>
      </c>
      <c r="E7">
        <v>8123</v>
      </c>
      <c r="F7">
        <v>206</v>
      </c>
      <c r="G7">
        <v>190</v>
      </c>
      <c r="H7">
        <v>1.0842105</v>
      </c>
      <c r="I7">
        <v>-8.4210530000000006E-2</v>
      </c>
      <c r="J7">
        <v>0.479798</v>
      </c>
    </row>
    <row r="8" spans="1:10" x14ac:dyDescent="0.3">
      <c r="A8">
        <v>6</v>
      </c>
      <c r="B8">
        <v>148</v>
      </c>
      <c r="C8" t="b">
        <v>1</v>
      </c>
      <c r="D8">
        <v>8030</v>
      </c>
      <c r="E8">
        <v>8111</v>
      </c>
      <c r="F8">
        <v>206.28572</v>
      </c>
      <c r="G8">
        <v>190</v>
      </c>
      <c r="H8">
        <v>1.0857143</v>
      </c>
      <c r="I8">
        <v>-8.5714319999999997E-2</v>
      </c>
      <c r="J8">
        <v>0.47945207000000001</v>
      </c>
    </row>
    <row r="9" spans="1:10" x14ac:dyDescent="0.3">
      <c r="A9">
        <v>7</v>
      </c>
      <c r="B9">
        <v>179</v>
      </c>
      <c r="C9" t="b">
        <v>1</v>
      </c>
      <c r="D9">
        <v>8054</v>
      </c>
      <c r="E9">
        <v>8105</v>
      </c>
      <c r="F9">
        <v>206.5</v>
      </c>
      <c r="G9">
        <v>190</v>
      </c>
      <c r="H9">
        <v>1.0868420999999999</v>
      </c>
      <c r="I9">
        <v>-8.6842105000000003E-2</v>
      </c>
      <c r="J9">
        <v>0.47919294000000001</v>
      </c>
    </row>
    <row r="10" spans="1:10" x14ac:dyDescent="0.3">
      <c r="A10">
        <v>8</v>
      </c>
      <c r="B10">
        <v>211</v>
      </c>
      <c r="C10" t="b">
        <v>1</v>
      </c>
      <c r="D10">
        <v>8023</v>
      </c>
      <c r="E10">
        <v>8081</v>
      </c>
      <c r="F10">
        <v>206.66667000000001</v>
      </c>
      <c r="G10">
        <v>190</v>
      </c>
      <c r="H10">
        <v>1.0877193000000001</v>
      </c>
      <c r="I10">
        <v>-8.7719329999999998E-2</v>
      </c>
      <c r="J10">
        <v>0.47899156999999998</v>
      </c>
    </row>
    <row r="11" spans="1:10" x14ac:dyDescent="0.3">
      <c r="A11">
        <v>9</v>
      </c>
      <c r="B11">
        <v>242</v>
      </c>
      <c r="C11" t="b">
        <v>1</v>
      </c>
      <c r="D11">
        <v>8037</v>
      </c>
      <c r="E11">
        <v>8111</v>
      </c>
      <c r="F11">
        <v>205.7</v>
      </c>
      <c r="G11">
        <v>190.6</v>
      </c>
      <c r="H11">
        <v>1.0792234999999999</v>
      </c>
      <c r="I11">
        <v>-7.9223453999999999E-2</v>
      </c>
      <c r="J11">
        <v>0.48094880000000001</v>
      </c>
    </row>
    <row r="12" spans="1:10" x14ac:dyDescent="0.3">
      <c r="A12">
        <v>10</v>
      </c>
      <c r="B12">
        <v>274</v>
      </c>
      <c r="C12" t="b">
        <v>1</v>
      </c>
      <c r="D12">
        <v>8042</v>
      </c>
      <c r="E12">
        <v>8129</v>
      </c>
      <c r="F12">
        <v>204.90908999999999</v>
      </c>
      <c r="G12">
        <v>191.09091000000001</v>
      </c>
      <c r="H12">
        <v>1.0723119999999999</v>
      </c>
      <c r="I12">
        <v>-7.2312059999999997E-2</v>
      </c>
      <c r="J12">
        <v>0.4825528</v>
      </c>
    </row>
    <row r="13" spans="1:10" x14ac:dyDescent="0.3">
      <c r="A13">
        <v>11</v>
      </c>
      <c r="B13">
        <v>306</v>
      </c>
      <c r="C13" t="b">
        <v>1</v>
      </c>
      <c r="D13">
        <v>8060</v>
      </c>
      <c r="E13">
        <v>8111</v>
      </c>
      <c r="F13">
        <v>204.66667000000001</v>
      </c>
      <c r="G13">
        <v>191.5</v>
      </c>
      <c r="H13">
        <v>1.0687555</v>
      </c>
      <c r="I13">
        <v>-6.8755460000000004E-2</v>
      </c>
      <c r="J13">
        <v>0.48338239999999999</v>
      </c>
    </row>
    <row r="14" spans="1:10" x14ac:dyDescent="0.3">
      <c r="A14">
        <v>12</v>
      </c>
      <c r="B14">
        <v>338</v>
      </c>
      <c r="C14" t="b">
        <v>1</v>
      </c>
      <c r="D14">
        <v>8054</v>
      </c>
      <c r="E14">
        <v>8099</v>
      </c>
      <c r="F14">
        <v>204.46153000000001</v>
      </c>
      <c r="G14">
        <v>191.84616</v>
      </c>
      <c r="H14">
        <v>1.0657578000000001</v>
      </c>
      <c r="I14">
        <v>-6.5757750000000004E-2</v>
      </c>
      <c r="J14">
        <v>0.48408390000000001</v>
      </c>
    </row>
    <row r="15" spans="1:10" x14ac:dyDescent="0.3">
      <c r="A15">
        <v>13</v>
      </c>
      <c r="B15">
        <v>370</v>
      </c>
      <c r="C15" t="b">
        <v>1</v>
      </c>
      <c r="D15">
        <v>8037</v>
      </c>
      <c r="E15">
        <v>8117</v>
      </c>
      <c r="F15">
        <v>204.28572</v>
      </c>
      <c r="G15">
        <v>192.14285000000001</v>
      </c>
      <c r="H15">
        <v>1.0631971</v>
      </c>
      <c r="I15">
        <v>-6.3197084000000001E-2</v>
      </c>
      <c r="J15">
        <v>0.48468464999999999</v>
      </c>
    </row>
    <row r="16" spans="1:10" x14ac:dyDescent="0.3">
      <c r="A16">
        <v>14</v>
      </c>
      <c r="B16">
        <v>386</v>
      </c>
      <c r="C16" t="b">
        <v>1</v>
      </c>
      <c r="D16">
        <v>8054</v>
      </c>
      <c r="E16">
        <v>8099</v>
      </c>
      <c r="F16">
        <v>204.93333000000001</v>
      </c>
      <c r="G16">
        <v>192.4</v>
      </c>
      <c r="H16">
        <v>1.0651421999999999</v>
      </c>
      <c r="I16">
        <v>-6.5142099999999994E-2</v>
      </c>
      <c r="J16">
        <v>0.4842282</v>
      </c>
    </row>
    <row r="17" spans="1:10" x14ac:dyDescent="0.3">
      <c r="A17">
        <v>15</v>
      </c>
      <c r="B17">
        <v>418</v>
      </c>
      <c r="C17" t="b">
        <v>1</v>
      </c>
      <c r="D17">
        <v>8042</v>
      </c>
      <c r="E17">
        <v>8099</v>
      </c>
      <c r="F17">
        <v>206.53334000000001</v>
      </c>
      <c r="G17">
        <v>191.2</v>
      </c>
      <c r="H17">
        <v>1.0801953</v>
      </c>
      <c r="I17">
        <v>-8.0195315000000003E-2</v>
      </c>
      <c r="J17">
        <v>0.48072409999999999</v>
      </c>
    </row>
    <row r="18" spans="1:10" x14ac:dyDescent="0.3">
      <c r="A18">
        <v>16</v>
      </c>
      <c r="B18">
        <v>450</v>
      </c>
      <c r="C18" t="b">
        <v>1</v>
      </c>
      <c r="D18">
        <v>8042</v>
      </c>
      <c r="E18">
        <v>8099</v>
      </c>
      <c r="F18">
        <v>205.73334</v>
      </c>
      <c r="G18">
        <v>190</v>
      </c>
      <c r="H18">
        <v>1.0828070999999999</v>
      </c>
      <c r="I18">
        <v>-8.2807039999999998E-2</v>
      </c>
      <c r="J18">
        <v>0.48012127999999998</v>
      </c>
    </row>
    <row r="19" spans="1:10" x14ac:dyDescent="0.3">
      <c r="A19">
        <v>17</v>
      </c>
      <c r="B19">
        <v>481</v>
      </c>
      <c r="C19" t="b">
        <v>1</v>
      </c>
      <c r="D19">
        <v>8054</v>
      </c>
      <c r="E19">
        <v>8105</v>
      </c>
      <c r="F19">
        <v>205.33332999999999</v>
      </c>
      <c r="G19">
        <v>190</v>
      </c>
      <c r="H19">
        <v>1.0807017000000001</v>
      </c>
      <c r="I19">
        <v>-8.0701729999999999E-2</v>
      </c>
      <c r="J19">
        <v>0.48060712</v>
      </c>
    </row>
    <row r="20" spans="1:10" x14ac:dyDescent="0.3">
      <c r="A20">
        <v>18</v>
      </c>
      <c r="B20">
        <v>513</v>
      </c>
      <c r="C20" t="b">
        <v>1</v>
      </c>
      <c r="D20">
        <v>8048</v>
      </c>
      <c r="E20">
        <v>8099</v>
      </c>
      <c r="F20">
        <v>205.33332999999999</v>
      </c>
      <c r="G20">
        <v>190</v>
      </c>
      <c r="H20">
        <v>1.0807017000000001</v>
      </c>
      <c r="I20">
        <v>-8.0701729999999999E-2</v>
      </c>
      <c r="J20">
        <v>0.48060712</v>
      </c>
    </row>
    <row r="21" spans="1:10" x14ac:dyDescent="0.3">
      <c r="A21">
        <v>19</v>
      </c>
      <c r="B21">
        <v>529</v>
      </c>
      <c r="C21" t="b">
        <v>1</v>
      </c>
      <c r="D21">
        <v>8048</v>
      </c>
      <c r="E21">
        <v>8099</v>
      </c>
      <c r="F21">
        <v>205.33332999999999</v>
      </c>
      <c r="G21">
        <v>190</v>
      </c>
      <c r="H21">
        <v>1.0807017000000001</v>
      </c>
      <c r="I21">
        <v>-8.0701729999999999E-2</v>
      </c>
      <c r="J21">
        <v>0.48060712</v>
      </c>
    </row>
    <row r="22" spans="1:10" x14ac:dyDescent="0.3">
      <c r="A22">
        <v>20</v>
      </c>
      <c r="B22">
        <v>545</v>
      </c>
      <c r="C22" t="b">
        <v>1</v>
      </c>
      <c r="D22">
        <v>8042</v>
      </c>
      <c r="E22">
        <v>8105</v>
      </c>
      <c r="F22">
        <v>205.33332999999999</v>
      </c>
      <c r="G22">
        <v>190</v>
      </c>
      <c r="H22">
        <v>1.0807017000000001</v>
      </c>
      <c r="I22">
        <v>-8.0701729999999999E-2</v>
      </c>
      <c r="J22">
        <v>0.48060712</v>
      </c>
    </row>
    <row r="23" spans="1:10" x14ac:dyDescent="0.3">
      <c r="A23">
        <v>21</v>
      </c>
      <c r="B23">
        <v>561</v>
      </c>
      <c r="C23" t="b">
        <v>1</v>
      </c>
      <c r="D23">
        <v>8042</v>
      </c>
      <c r="E23">
        <v>8117</v>
      </c>
      <c r="F23">
        <v>205.33332999999999</v>
      </c>
      <c r="G23">
        <v>190</v>
      </c>
      <c r="H23">
        <v>1.0807017000000001</v>
      </c>
      <c r="I23">
        <v>-8.0701729999999999E-2</v>
      </c>
      <c r="J23">
        <v>0.48060712</v>
      </c>
    </row>
    <row r="24" spans="1:10" x14ac:dyDescent="0.3">
      <c r="A24">
        <v>22</v>
      </c>
      <c r="B24">
        <v>593</v>
      </c>
      <c r="C24" t="b">
        <v>1</v>
      </c>
      <c r="D24">
        <v>8048</v>
      </c>
      <c r="E24">
        <v>8087</v>
      </c>
      <c r="F24">
        <v>205.33332999999999</v>
      </c>
      <c r="G24">
        <v>189.6</v>
      </c>
      <c r="H24">
        <v>1.0829816999999999</v>
      </c>
      <c r="I24">
        <v>-8.2981650000000004E-2</v>
      </c>
      <c r="J24">
        <v>0.48008102000000002</v>
      </c>
    </row>
    <row r="25" spans="1:10" x14ac:dyDescent="0.3">
      <c r="A25">
        <v>23</v>
      </c>
      <c r="B25">
        <v>625</v>
      </c>
      <c r="C25" t="b">
        <v>1</v>
      </c>
      <c r="D25">
        <v>8030</v>
      </c>
      <c r="E25">
        <v>8105</v>
      </c>
      <c r="F25">
        <v>204.93333000000001</v>
      </c>
      <c r="G25">
        <v>189.6</v>
      </c>
      <c r="H25">
        <v>1.0808719</v>
      </c>
      <c r="I25">
        <v>-8.0871983999999994E-2</v>
      </c>
      <c r="J25">
        <v>0.48056778</v>
      </c>
    </row>
    <row r="26" spans="1:10" x14ac:dyDescent="0.3">
      <c r="A26">
        <v>24</v>
      </c>
      <c r="B26">
        <v>657</v>
      </c>
      <c r="C26" t="b">
        <v>1</v>
      </c>
      <c r="D26">
        <v>8054</v>
      </c>
      <c r="E26">
        <v>8111</v>
      </c>
      <c r="F26">
        <v>205.26666</v>
      </c>
      <c r="G26">
        <v>189.2</v>
      </c>
      <c r="H26">
        <v>1.084919</v>
      </c>
      <c r="I26">
        <v>-8.4918950000000007E-2</v>
      </c>
      <c r="J26">
        <v>0.47963494000000001</v>
      </c>
    </row>
    <row r="27" spans="1:10" x14ac:dyDescent="0.3">
      <c r="A27">
        <v>25</v>
      </c>
      <c r="B27">
        <v>688</v>
      </c>
      <c r="C27" t="b">
        <v>1</v>
      </c>
      <c r="D27">
        <v>8071</v>
      </c>
      <c r="E27">
        <v>8099</v>
      </c>
      <c r="F27">
        <v>206</v>
      </c>
      <c r="G27">
        <v>188.8</v>
      </c>
      <c r="H27">
        <v>1.0911016</v>
      </c>
      <c r="I27">
        <v>-9.1101676000000006E-2</v>
      </c>
      <c r="J27">
        <v>0.47821682999999998</v>
      </c>
    </row>
    <row r="28" spans="1:10" x14ac:dyDescent="0.3">
      <c r="A28">
        <v>26</v>
      </c>
      <c r="B28">
        <v>704</v>
      </c>
      <c r="C28" t="b">
        <v>1</v>
      </c>
      <c r="D28">
        <v>8042</v>
      </c>
      <c r="E28">
        <v>8111</v>
      </c>
      <c r="F28">
        <v>206.4</v>
      </c>
      <c r="G28">
        <v>188.4</v>
      </c>
      <c r="H28">
        <v>1.0955414000000001</v>
      </c>
      <c r="I28">
        <v>-9.5541399999999999E-2</v>
      </c>
      <c r="J28">
        <v>0.47720363999999998</v>
      </c>
    </row>
    <row r="29" spans="1:10" x14ac:dyDescent="0.3">
      <c r="A29">
        <v>27</v>
      </c>
      <c r="B29">
        <v>736</v>
      </c>
      <c r="C29" t="b">
        <v>1</v>
      </c>
      <c r="D29">
        <v>8042</v>
      </c>
      <c r="E29">
        <v>8099</v>
      </c>
      <c r="F29">
        <v>206.4</v>
      </c>
      <c r="G29">
        <v>188</v>
      </c>
      <c r="H29">
        <v>1.0978722999999999</v>
      </c>
      <c r="I29">
        <v>-9.7872310000000004E-2</v>
      </c>
      <c r="J29">
        <v>0.47667342000000001</v>
      </c>
    </row>
    <row r="30" spans="1:10" x14ac:dyDescent="0.3">
      <c r="A30">
        <v>28</v>
      </c>
      <c r="B30">
        <v>767</v>
      </c>
      <c r="C30" t="b">
        <v>1</v>
      </c>
      <c r="D30">
        <v>8042</v>
      </c>
      <c r="E30">
        <v>8111</v>
      </c>
      <c r="F30">
        <v>206.4</v>
      </c>
      <c r="G30">
        <v>188</v>
      </c>
      <c r="H30">
        <v>1.0978722999999999</v>
      </c>
      <c r="I30">
        <v>-9.7872310000000004E-2</v>
      </c>
      <c r="J30">
        <v>0.47667342000000001</v>
      </c>
    </row>
    <row r="31" spans="1:10" x14ac:dyDescent="0.3">
      <c r="A31">
        <v>29</v>
      </c>
      <c r="B31">
        <v>799</v>
      </c>
      <c r="C31" t="b">
        <v>1</v>
      </c>
      <c r="D31">
        <v>8054</v>
      </c>
      <c r="E31">
        <v>8099</v>
      </c>
      <c r="F31">
        <v>205.6</v>
      </c>
      <c r="G31">
        <v>187.2</v>
      </c>
      <c r="H31">
        <v>1.0982907</v>
      </c>
      <c r="I31">
        <v>-9.8290649999999993E-2</v>
      </c>
      <c r="J31">
        <v>0.47657840000000001</v>
      </c>
    </row>
    <row r="32" spans="1:10" x14ac:dyDescent="0.3">
      <c r="A32">
        <v>30</v>
      </c>
      <c r="B32">
        <v>832</v>
      </c>
      <c r="C32" t="b">
        <v>1</v>
      </c>
      <c r="D32">
        <v>8054</v>
      </c>
      <c r="E32">
        <v>8105</v>
      </c>
      <c r="F32">
        <v>204.8</v>
      </c>
      <c r="G32">
        <v>187.6</v>
      </c>
      <c r="H32">
        <v>1.0916844999999999</v>
      </c>
      <c r="I32">
        <v>-9.1684416000000005E-2</v>
      </c>
      <c r="J32">
        <v>0.47808358000000001</v>
      </c>
    </row>
    <row r="33" spans="1:10" x14ac:dyDescent="0.3">
      <c r="A33">
        <v>31</v>
      </c>
      <c r="B33">
        <v>864</v>
      </c>
      <c r="C33" t="b">
        <v>1</v>
      </c>
      <c r="D33">
        <v>8042</v>
      </c>
      <c r="E33">
        <v>8093</v>
      </c>
      <c r="F33">
        <v>204.8</v>
      </c>
      <c r="G33">
        <v>187.6</v>
      </c>
      <c r="H33">
        <v>1.0916844999999999</v>
      </c>
      <c r="I33">
        <v>-9.1684416000000005E-2</v>
      </c>
      <c r="J33">
        <v>0.47808358000000001</v>
      </c>
    </row>
    <row r="34" spans="1:10" x14ac:dyDescent="0.3">
      <c r="A34">
        <v>32</v>
      </c>
      <c r="B34">
        <v>895</v>
      </c>
      <c r="C34" t="b">
        <v>1</v>
      </c>
      <c r="D34">
        <v>8023</v>
      </c>
      <c r="E34">
        <v>8111</v>
      </c>
      <c r="F34">
        <v>204.8</v>
      </c>
      <c r="G34">
        <v>188</v>
      </c>
      <c r="H34">
        <v>1.0893617</v>
      </c>
      <c r="I34">
        <v>-8.9361720000000006E-2</v>
      </c>
      <c r="J34">
        <v>0.47861508000000003</v>
      </c>
    </row>
    <row r="35" spans="1:10" x14ac:dyDescent="0.3">
      <c r="A35">
        <v>33</v>
      </c>
      <c r="B35">
        <v>927</v>
      </c>
      <c r="C35" t="b">
        <v>1</v>
      </c>
      <c r="D35">
        <v>8054</v>
      </c>
      <c r="E35">
        <v>8087</v>
      </c>
      <c r="F35">
        <v>205.2</v>
      </c>
      <c r="G35">
        <v>188</v>
      </c>
      <c r="H35">
        <v>1.0914893000000001</v>
      </c>
      <c r="I35">
        <v>-9.1489345E-2</v>
      </c>
      <c r="J35">
        <v>0.47812817000000002</v>
      </c>
    </row>
    <row r="36" spans="1:10" x14ac:dyDescent="0.3">
      <c r="A36">
        <v>34</v>
      </c>
      <c r="B36">
        <v>943</v>
      </c>
      <c r="C36" t="b">
        <v>1</v>
      </c>
      <c r="D36">
        <v>8048</v>
      </c>
      <c r="E36">
        <v>8087</v>
      </c>
      <c r="F36">
        <v>205.2</v>
      </c>
      <c r="G36">
        <v>187.6</v>
      </c>
      <c r="H36">
        <v>1.0938166</v>
      </c>
      <c r="I36">
        <v>-9.3816579999999997E-2</v>
      </c>
      <c r="J36">
        <v>0.47759676000000001</v>
      </c>
    </row>
    <row r="37" spans="1:10" x14ac:dyDescent="0.3">
      <c r="A37">
        <v>35</v>
      </c>
      <c r="B37">
        <v>974</v>
      </c>
      <c r="C37" t="b">
        <v>1</v>
      </c>
      <c r="D37">
        <v>8037</v>
      </c>
      <c r="E37">
        <v>8105</v>
      </c>
      <c r="F37">
        <v>204.8</v>
      </c>
      <c r="G37">
        <v>187.2</v>
      </c>
      <c r="H37">
        <v>1.0940171000000001</v>
      </c>
      <c r="I37">
        <v>-9.4017126000000006E-2</v>
      </c>
      <c r="J37">
        <v>0.477551</v>
      </c>
    </row>
    <row r="38" spans="1:10" x14ac:dyDescent="0.3">
      <c r="A38">
        <v>36</v>
      </c>
      <c r="B38">
        <v>1006</v>
      </c>
      <c r="C38" t="b">
        <v>1</v>
      </c>
      <c r="D38">
        <v>8048</v>
      </c>
      <c r="E38">
        <v>8117</v>
      </c>
      <c r="F38">
        <v>204.8</v>
      </c>
      <c r="G38">
        <v>187.2</v>
      </c>
      <c r="H38">
        <v>1.0940171000000001</v>
      </c>
      <c r="I38">
        <v>-9.4017126000000006E-2</v>
      </c>
      <c r="J38">
        <v>0.477551</v>
      </c>
    </row>
    <row r="39" spans="1:10" x14ac:dyDescent="0.3">
      <c r="A39">
        <v>37</v>
      </c>
      <c r="B39">
        <v>1038</v>
      </c>
      <c r="C39" t="b">
        <v>1</v>
      </c>
      <c r="D39">
        <v>8042</v>
      </c>
      <c r="E39">
        <v>8105</v>
      </c>
      <c r="F39">
        <v>204.8</v>
      </c>
      <c r="G39">
        <v>187.6</v>
      </c>
      <c r="H39">
        <v>1.0916844999999999</v>
      </c>
      <c r="I39">
        <v>-9.1684416000000005E-2</v>
      </c>
      <c r="J39">
        <v>0.47808358000000001</v>
      </c>
    </row>
    <row r="40" spans="1:10" x14ac:dyDescent="0.3">
      <c r="A40">
        <v>38</v>
      </c>
      <c r="B40">
        <v>1054</v>
      </c>
      <c r="C40" t="b">
        <v>1</v>
      </c>
      <c r="D40">
        <v>8048</v>
      </c>
      <c r="E40">
        <v>8081</v>
      </c>
      <c r="F40">
        <v>205.2</v>
      </c>
      <c r="G40">
        <v>187.6</v>
      </c>
      <c r="H40">
        <v>1.0938166</v>
      </c>
      <c r="I40">
        <v>-9.3816579999999997E-2</v>
      </c>
      <c r="J40">
        <v>0.47759676000000001</v>
      </c>
    </row>
    <row r="41" spans="1:10" x14ac:dyDescent="0.3">
      <c r="A41">
        <v>39</v>
      </c>
      <c r="B41">
        <v>1070</v>
      </c>
      <c r="C41" t="b">
        <v>1</v>
      </c>
      <c r="D41">
        <v>8048</v>
      </c>
      <c r="E41">
        <v>8075</v>
      </c>
      <c r="F41">
        <v>205.6</v>
      </c>
      <c r="G41">
        <v>187.6</v>
      </c>
      <c r="H41">
        <v>1.0959487999999999</v>
      </c>
      <c r="I41">
        <v>-9.5948820000000004E-2</v>
      </c>
      <c r="J41">
        <v>0.4771109</v>
      </c>
    </row>
    <row r="42" spans="1:10" x14ac:dyDescent="0.3">
      <c r="A42">
        <v>40</v>
      </c>
      <c r="B42">
        <v>1101</v>
      </c>
      <c r="C42" t="b">
        <v>1</v>
      </c>
      <c r="D42">
        <v>8037</v>
      </c>
      <c r="E42">
        <v>8105</v>
      </c>
      <c r="F42">
        <v>205.6</v>
      </c>
      <c r="G42">
        <v>187.6</v>
      </c>
      <c r="H42">
        <v>1.0959487999999999</v>
      </c>
      <c r="I42">
        <v>-9.5948820000000004E-2</v>
      </c>
      <c r="J42">
        <v>0.4771109</v>
      </c>
    </row>
    <row r="43" spans="1:10" x14ac:dyDescent="0.3">
      <c r="A43">
        <v>41</v>
      </c>
      <c r="B43">
        <v>1133</v>
      </c>
      <c r="C43" t="b">
        <v>1</v>
      </c>
      <c r="D43">
        <v>8054</v>
      </c>
      <c r="E43">
        <v>8099</v>
      </c>
      <c r="F43">
        <v>205.6</v>
      </c>
      <c r="G43">
        <v>187.2</v>
      </c>
      <c r="H43">
        <v>1.0982907</v>
      </c>
      <c r="I43">
        <v>-9.8290649999999993E-2</v>
      </c>
      <c r="J43">
        <v>0.47657840000000001</v>
      </c>
    </row>
    <row r="44" spans="1:10" x14ac:dyDescent="0.3">
      <c r="A44">
        <v>42</v>
      </c>
      <c r="B44">
        <v>1165</v>
      </c>
      <c r="C44" t="b">
        <v>1</v>
      </c>
      <c r="D44">
        <v>8065</v>
      </c>
      <c r="E44">
        <v>8134</v>
      </c>
      <c r="F44">
        <v>206</v>
      </c>
      <c r="G44">
        <v>186.8</v>
      </c>
      <c r="H44">
        <v>1.1027837</v>
      </c>
      <c r="I44">
        <v>-0.10278371</v>
      </c>
      <c r="J44">
        <v>0.47556009999999999</v>
      </c>
    </row>
    <row r="45" spans="1:10" x14ac:dyDescent="0.3">
      <c r="A45">
        <v>43</v>
      </c>
      <c r="B45">
        <v>1197</v>
      </c>
      <c r="C45" t="b">
        <v>1</v>
      </c>
      <c r="D45">
        <v>8042</v>
      </c>
      <c r="E45">
        <v>8099</v>
      </c>
      <c r="F45">
        <v>206.4</v>
      </c>
      <c r="G45">
        <v>186</v>
      </c>
      <c r="H45">
        <v>1.1096774</v>
      </c>
      <c r="I45">
        <v>-0.10967739</v>
      </c>
      <c r="J45">
        <v>0.47400611999999998</v>
      </c>
    </row>
    <row r="46" spans="1:10" x14ac:dyDescent="0.3">
      <c r="A46">
        <v>44</v>
      </c>
      <c r="B46">
        <v>1228</v>
      </c>
      <c r="C46" t="b">
        <v>1</v>
      </c>
      <c r="D46">
        <v>8030</v>
      </c>
      <c r="E46">
        <v>8081</v>
      </c>
      <c r="F46">
        <v>206.4</v>
      </c>
      <c r="G46">
        <v>186</v>
      </c>
      <c r="H46">
        <v>1.1096774</v>
      </c>
      <c r="I46">
        <v>-0.10967739</v>
      </c>
      <c r="J46">
        <v>0.47400611999999998</v>
      </c>
    </row>
    <row r="47" spans="1:10" x14ac:dyDescent="0.3">
      <c r="A47">
        <v>45</v>
      </c>
      <c r="B47">
        <v>1244</v>
      </c>
      <c r="C47" t="b">
        <v>1</v>
      </c>
      <c r="D47">
        <v>8048</v>
      </c>
      <c r="E47">
        <v>8105</v>
      </c>
      <c r="F47">
        <v>206.8</v>
      </c>
      <c r="G47">
        <v>185.6</v>
      </c>
      <c r="H47">
        <v>1.1142240999999999</v>
      </c>
      <c r="I47">
        <v>-0.11422412</v>
      </c>
      <c r="J47">
        <v>0.47298673000000002</v>
      </c>
    </row>
    <row r="48" spans="1:10" x14ac:dyDescent="0.3">
      <c r="A48">
        <v>46</v>
      </c>
      <c r="B48">
        <v>1260</v>
      </c>
      <c r="C48" t="b">
        <v>1</v>
      </c>
      <c r="D48">
        <v>8030</v>
      </c>
      <c r="E48">
        <v>8105</v>
      </c>
      <c r="F48">
        <v>206.8</v>
      </c>
      <c r="G48">
        <v>186</v>
      </c>
      <c r="H48">
        <v>1.111828</v>
      </c>
      <c r="I48">
        <v>-0.11182797999999999</v>
      </c>
      <c r="J48">
        <v>0.47352344000000002</v>
      </c>
    </row>
    <row r="49" spans="1:10" x14ac:dyDescent="0.3">
      <c r="A49">
        <v>47</v>
      </c>
      <c r="B49">
        <v>1276</v>
      </c>
      <c r="C49" t="b">
        <v>1</v>
      </c>
      <c r="D49">
        <v>8042</v>
      </c>
      <c r="E49">
        <v>8087</v>
      </c>
      <c r="F49">
        <v>206.8</v>
      </c>
      <c r="G49">
        <v>185.6</v>
      </c>
      <c r="H49">
        <v>1.1142240999999999</v>
      </c>
      <c r="I49">
        <v>-0.11422412</v>
      </c>
      <c r="J49">
        <v>0.47298673000000002</v>
      </c>
    </row>
    <row r="50" spans="1:10" x14ac:dyDescent="0.3">
      <c r="A50">
        <v>48</v>
      </c>
      <c r="B50">
        <v>1307</v>
      </c>
      <c r="C50" t="b">
        <v>1</v>
      </c>
      <c r="D50">
        <v>8048</v>
      </c>
      <c r="E50">
        <v>8111</v>
      </c>
      <c r="F50">
        <v>206</v>
      </c>
      <c r="G50">
        <v>186</v>
      </c>
      <c r="H50">
        <v>1.1075269000000001</v>
      </c>
      <c r="I50">
        <v>-0.10752688000000001</v>
      </c>
      <c r="J50">
        <v>0.47448980000000002</v>
      </c>
    </row>
    <row r="51" spans="1:10" x14ac:dyDescent="0.3">
      <c r="A51">
        <v>49</v>
      </c>
      <c r="B51">
        <v>1323</v>
      </c>
      <c r="C51" t="b">
        <v>1</v>
      </c>
      <c r="D51">
        <v>8060</v>
      </c>
      <c r="E51">
        <v>8105</v>
      </c>
      <c r="F51">
        <v>206</v>
      </c>
      <c r="G51">
        <v>186.8</v>
      </c>
      <c r="H51">
        <v>1.1027837</v>
      </c>
      <c r="I51">
        <v>-0.10278371</v>
      </c>
      <c r="J51">
        <v>0.47556009999999999</v>
      </c>
    </row>
    <row r="52" spans="1:10" x14ac:dyDescent="0.3">
      <c r="A52">
        <v>50</v>
      </c>
      <c r="B52">
        <v>1339</v>
      </c>
      <c r="C52" t="b">
        <v>1</v>
      </c>
      <c r="D52">
        <v>8042</v>
      </c>
      <c r="E52">
        <v>8105</v>
      </c>
      <c r="F52">
        <v>206</v>
      </c>
      <c r="G52">
        <v>187.6</v>
      </c>
      <c r="H52">
        <v>1.0980810000000001</v>
      </c>
      <c r="I52">
        <v>-9.8080984999999996E-2</v>
      </c>
      <c r="J52">
        <v>0.47662603999999997</v>
      </c>
    </row>
    <row r="53" spans="1:10" x14ac:dyDescent="0.3">
      <c r="A53">
        <v>51</v>
      </c>
      <c r="B53">
        <v>1372</v>
      </c>
      <c r="C53" t="b">
        <v>1</v>
      </c>
      <c r="D53">
        <v>8048</v>
      </c>
      <c r="E53">
        <v>8105</v>
      </c>
      <c r="F53">
        <v>206</v>
      </c>
      <c r="G53">
        <v>187.6</v>
      </c>
      <c r="H53">
        <v>1.0980810000000001</v>
      </c>
      <c r="I53">
        <v>-9.8080984999999996E-2</v>
      </c>
      <c r="J53">
        <v>0.47662603999999997</v>
      </c>
    </row>
    <row r="54" spans="1:10" x14ac:dyDescent="0.3">
      <c r="A54">
        <v>52</v>
      </c>
      <c r="B54">
        <v>1402</v>
      </c>
      <c r="C54" t="b">
        <v>1</v>
      </c>
      <c r="D54">
        <v>8048</v>
      </c>
      <c r="E54">
        <v>8123</v>
      </c>
      <c r="F54">
        <v>206</v>
      </c>
      <c r="G54">
        <v>187.6</v>
      </c>
      <c r="H54">
        <v>1.0980810000000001</v>
      </c>
      <c r="I54">
        <v>-9.8080984999999996E-2</v>
      </c>
      <c r="J54">
        <v>0.47662603999999997</v>
      </c>
    </row>
    <row r="55" spans="1:10" x14ac:dyDescent="0.3">
      <c r="A55">
        <v>53</v>
      </c>
      <c r="B55">
        <v>1433</v>
      </c>
      <c r="C55" t="b">
        <v>1</v>
      </c>
      <c r="D55">
        <v>8037</v>
      </c>
      <c r="E55">
        <v>8099</v>
      </c>
      <c r="F55">
        <v>206</v>
      </c>
      <c r="G55">
        <v>187.6</v>
      </c>
      <c r="H55">
        <v>1.0980810000000001</v>
      </c>
      <c r="I55">
        <v>-9.8080984999999996E-2</v>
      </c>
      <c r="J55">
        <v>0.47662603999999997</v>
      </c>
    </row>
    <row r="56" spans="1:10" x14ac:dyDescent="0.3">
      <c r="A56">
        <v>54</v>
      </c>
      <c r="B56">
        <v>1465</v>
      </c>
      <c r="C56" t="b">
        <v>1</v>
      </c>
      <c r="D56">
        <v>8030</v>
      </c>
      <c r="E56">
        <v>8123</v>
      </c>
      <c r="F56">
        <v>205.6</v>
      </c>
      <c r="G56">
        <v>187.6</v>
      </c>
      <c r="H56">
        <v>1.0959487999999999</v>
      </c>
      <c r="I56">
        <v>-9.5948820000000004E-2</v>
      </c>
      <c r="J56">
        <v>0.4771109</v>
      </c>
    </row>
    <row r="57" spans="1:10" x14ac:dyDescent="0.3">
      <c r="A57">
        <v>55</v>
      </c>
      <c r="B57">
        <v>1497</v>
      </c>
      <c r="C57" t="b">
        <v>1</v>
      </c>
      <c r="D57">
        <v>8060</v>
      </c>
      <c r="E57">
        <v>8093</v>
      </c>
      <c r="F57">
        <v>205.6</v>
      </c>
      <c r="G57">
        <v>187.6</v>
      </c>
      <c r="H57">
        <v>1.0959487999999999</v>
      </c>
      <c r="I57">
        <v>-9.5948820000000004E-2</v>
      </c>
      <c r="J57">
        <v>0.4771109</v>
      </c>
    </row>
    <row r="58" spans="1:10" x14ac:dyDescent="0.3">
      <c r="A58">
        <v>56</v>
      </c>
      <c r="B58">
        <v>1529</v>
      </c>
      <c r="C58" t="b">
        <v>1</v>
      </c>
      <c r="D58">
        <v>8042</v>
      </c>
      <c r="E58">
        <v>8105</v>
      </c>
      <c r="F58">
        <v>205.2</v>
      </c>
      <c r="G58">
        <v>188</v>
      </c>
      <c r="H58">
        <v>1.0914893000000001</v>
      </c>
      <c r="I58">
        <v>-9.1489345E-2</v>
      </c>
      <c r="J58">
        <v>0.47812817000000002</v>
      </c>
    </row>
    <row r="59" spans="1:10" x14ac:dyDescent="0.3">
      <c r="A59">
        <v>57</v>
      </c>
      <c r="B59">
        <v>1560</v>
      </c>
      <c r="C59" t="b">
        <v>1</v>
      </c>
      <c r="D59">
        <v>8048</v>
      </c>
      <c r="E59">
        <v>8099</v>
      </c>
      <c r="F59">
        <v>204.8</v>
      </c>
      <c r="G59">
        <v>188</v>
      </c>
      <c r="H59">
        <v>1.0893617</v>
      </c>
      <c r="I59">
        <v>-8.9361720000000006E-2</v>
      </c>
      <c r="J59">
        <v>0.47861508000000003</v>
      </c>
    </row>
    <row r="60" spans="1:10" x14ac:dyDescent="0.3">
      <c r="A60">
        <v>58</v>
      </c>
      <c r="B60">
        <v>1591</v>
      </c>
      <c r="C60" t="b">
        <v>1</v>
      </c>
      <c r="D60">
        <v>8023</v>
      </c>
      <c r="E60">
        <v>8111</v>
      </c>
      <c r="F60">
        <v>204.4</v>
      </c>
      <c r="G60">
        <v>188.4</v>
      </c>
      <c r="H60">
        <v>1.0849257000000001</v>
      </c>
      <c r="I60">
        <v>-8.4925695999999995E-2</v>
      </c>
      <c r="J60">
        <v>0.47963339999999999</v>
      </c>
    </row>
    <row r="61" spans="1:10" x14ac:dyDescent="0.3">
      <c r="A61">
        <v>59</v>
      </c>
      <c r="B61">
        <v>1623</v>
      </c>
      <c r="C61" t="b">
        <v>1</v>
      </c>
      <c r="D61">
        <v>8042</v>
      </c>
      <c r="E61">
        <v>8123</v>
      </c>
      <c r="F61">
        <v>204.4</v>
      </c>
      <c r="G61">
        <v>188.8</v>
      </c>
      <c r="H61">
        <v>1.082627</v>
      </c>
      <c r="I61">
        <v>-8.2627065E-2</v>
      </c>
      <c r="J61">
        <v>0.48016277000000002</v>
      </c>
    </row>
    <row r="62" spans="1:10" x14ac:dyDescent="0.3">
      <c r="A62">
        <v>60</v>
      </c>
      <c r="B62">
        <v>1639</v>
      </c>
      <c r="C62" t="b">
        <v>1</v>
      </c>
      <c r="D62">
        <v>8060</v>
      </c>
      <c r="E62">
        <v>8134</v>
      </c>
      <c r="F62">
        <v>204</v>
      </c>
      <c r="G62">
        <v>189.6</v>
      </c>
      <c r="H62">
        <v>1.0759493</v>
      </c>
      <c r="I62">
        <v>-7.5949329999999995E-2</v>
      </c>
      <c r="J62">
        <v>0.48170732999999999</v>
      </c>
    </row>
    <row r="63" spans="1:10" x14ac:dyDescent="0.3">
      <c r="A63">
        <v>61</v>
      </c>
      <c r="B63">
        <v>1671</v>
      </c>
      <c r="C63" t="b">
        <v>1</v>
      </c>
      <c r="D63">
        <v>8042</v>
      </c>
      <c r="E63">
        <v>8105</v>
      </c>
      <c r="F63">
        <v>204</v>
      </c>
      <c r="G63">
        <v>190</v>
      </c>
      <c r="H63">
        <v>1.0736842</v>
      </c>
      <c r="I63">
        <v>-7.368421E-2</v>
      </c>
      <c r="J63">
        <v>0.48223349999999998</v>
      </c>
    </row>
    <row r="64" spans="1:10" x14ac:dyDescent="0.3">
      <c r="A64">
        <v>62</v>
      </c>
      <c r="B64">
        <v>1704</v>
      </c>
      <c r="C64" t="b">
        <v>1</v>
      </c>
      <c r="D64">
        <v>8065</v>
      </c>
      <c r="E64">
        <v>8123</v>
      </c>
      <c r="F64">
        <v>204</v>
      </c>
      <c r="G64">
        <v>191.6</v>
      </c>
      <c r="H64">
        <v>1.0647180999999999</v>
      </c>
      <c r="I64">
        <v>-6.4718129999999999E-2</v>
      </c>
      <c r="J64">
        <v>0.48432760000000002</v>
      </c>
    </row>
    <row r="65" spans="1:10" x14ac:dyDescent="0.3">
      <c r="A65">
        <v>63</v>
      </c>
      <c r="B65">
        <v>1735</v>
      </c>
      <c r="C65" t="b">
        <v>1</v>
      </c>
      <c r="D65">
        <v>8060</v>
      </c>
      <c r="E65">
        <v>8105</v>
      </c>
      <c r="F65">
        <v>205.2</v>
      </c>
      <c r="G65">
        <v>192.8</v>
      </c>
      <c r="H65">
        <v>1.0643153000000001</v>
      </c>
      <c r="I65">
        <v>-6.4315319999999995E-2</v>
      </c>
      <c r="J65">
        <v>0.48442212000000001</v>
      </c>
    </row>
    <row r="66" spans="1:10" x14ac:dyDescent="0.3">
      <c r="A66">
        <v>64</v>
      </c>
      <c r="B66">
        <v>1767</v>
      </c>
      <c r="C66" t="b">
        <v>1</v>
      </c>
      <c r="D66">
        <v>8037</v>
      </c>
      <c r="E66">
        <v>8111</v>
      </c>
      <c r="F66">
        <v>206</v>
      </c>
      <c r="G66">
        <v>193.2</v>
      </c>
      <c r="H66">
        <v>1.0662526000000001</v>
      </c>
      <c r="I66">
        <v>-6.6252604000000007E-2</v>
      </c>
      <c r="J66">
        <v>0.48396790000000001</v>
      </c>
    </row>
    <row r="67" spans="1:10" x14ac:dyDescent="0.3">
      <c r="A67">
        <v>65</v>
      </c>
      <c r="B67">
        <v>1798</v>
      </c>
      <c r="C67" t="b">
        <v>1</v>
      </c>
      <c r="D67">
        <v>8030</v>
      </c>
      <c r="E67">
        <v>8111</v>
      </c>
      <c r="F67">
        <v>206</v>
      </c>
      <c r="G67">
        <v>193.6</v>
      </c>
      <c r="H67">
        <v>1.0640495999999999</v>
      </c>
      <c r="I67">
        <v>-6.4049560000000005E-2</v>
      </c>
      <c r="J67">
        <v>0.48448449999999998</v>
      </c>
    </row>
    <row r="68" spans="1:10" x14ac:dyDescent="0.3">
      <c r="A68">
        <v>66</v>
      </c>
      <c r="B68">
        <v>1830</v>
      </c>
      <c r="C68" t="b">
        <v>1</v>
      </c>
      <c r="D68">
        <v>8048</v>
      </c>
      <c r="E68">
        <v>8087</v>
      </c>
      <c r="F68">
        <v>206</v>
      </c>
      <c r="G68">
        <v>194</v>
      </c>
      <c r="H68">
        <v>1.0618557</v>
      </c>
      <c r="I68">
        <v>-6.1855670000000001E-2</v>
      </c>
      <c r="J68">
        <v>0.48499999999999999</v>
      </c>
    </row>
    <row r="69" spans="1:10" x14ac:dyDescent="0.3">
      <c r="A69">
        <v>67</v>
      </c>
      <c r="B69">
        <v>1846</v>
      </c>
      <c r="C69" t="b">
        <v>1</v>
      </c>
      <c r="D69">
        <v>8048</v>
      </c>
      <c r="E69">
        <v>8105</v>
      </c>
      <c r="F69">
        <v>206</v>
      </c>
      <c r="G69">
        <v>194</v>
      </c>
      <c r="H69">
        <v>1.0618557</v>
      </c>
      <c r="I69">
        <v>-6.1855670000000001E-2</v>
      </c>
      <c r="J69">
        <v>0.48499999999999999</v>
      </c>
    </row>
    <row r="70" spans="1:10" x14ac:dyDescent="0.3">
      <c r="A70">
        <v>68</v>
      </c>
      <c r="B70">
        <v>1862</v>
      </c>
      <c r="C70" t="b">
        <v>1</v>
      </c>
      <c r="D70">
        <v>8037</v>
      </c>
      <c r="E70">
        <v>8081</v>
      </c>
      <c r="F70">
        <v>205.26666</v>
      </c>
      <c r="G70">
        <v>194</v>
      </c>
      <c r="H70">
        <v>1.0580754999999999</v>
      </c>
      <c r="I70">
        <v>-5.8075580000000002E-2</v>
      </c>
      <c r="J70">
        <v>0.48589080000000001</v>
      </c>
    </row>
    <row r="71" spans="1:10" x14ac:dyDescent="0.3">
      <c r="A71">
        <v>69</v>
      </c>
      <c r="B71">
        <v>1878</v>
      </c>
      <c r="C71" t="b">
        <v>1</v>
      </c>
      <c r="D71">
        <v>8042</v>
      </c>
      <c r="E71">
        <v>8069</v>
      </c>
      <c r="F71">
        <v>205.26666</v>
      </c>
      <c r="G71">
        <v>192.8</v>
      </c>
      <c r="H71">
        <v>1.0646610999999999</v>
      </c>
      <c r="I71">
        <v>-6.4661090000000004E-2</v>
      </c>
      <c r="J71">
        <v>0.48434100000000002</v>
      </c>
    </row>
    <row r="72" spans="1:10" x14ac:dyDescent="0.3">
      <c r="A72">
        <v>70</v>
      </c>
      <c r="B72">
        <v>1909</v>
      </c>
      <c r="C72" t="b">
        <v>1</v>
      </c>
      <c r="D72">
        <v>8054</v>
      </c>
      <c r="E72">
        <v>8099</v>
      </c>
      <c r="F72">
        <v>205.26666</v>
      </c>
      <c r="G72">
        <v>191.6</v>
      </c>
      <c r="H72">
        <v>1.0713291</v>
      </c>
      <c r="I72">
        <v>-7.1329100000000006E-2</v>
      </c>
      <c r="J72">
        <v>0.48278179999999998</v>
      </c>
    </row>
    <row r="73" spans="1:10" x14ac:dyDescent="0.3">
      <c r="A73">
        <v>71</v>
      </c>
      <c r="B73">
        <v>1941</v>
      </c>
      <c r="C73" t="b">
        <v>1</v>
      </c>
      <c r="D73">
        <v>8048</v>
      </c>
      <c r="E73">
        <v>8129</v>
      </c>
      <c r="F73">
        <v>205.66667000000001</v>
      </c>
      <c r="G73">
        <v>191.2</v>
      </c>
      <c r="H73">
        <v>1.0756625</v>
      </c>
      <c r="I73">
        <v>-7.5662519999999997E-2</v>
      </c>
      <c r="J73">
        <v>0.48177387999999999</v>
      </c>
    </row>
    <row r="74" spans="1:10" x14ac:dyDescent="0.3">
      <c r="A74">
        <v>72</v>
      </c>
      <c r="B74">
        <v>1957</v>
      </c>
      <c r="C74" t="b">
        <v>1</v>
      </c>
      <c r="D74">
        <v>8037</v>
      </c>
      <c r="E74">
        <v>8093</v>
      </c>
      <c r="F74">
        <v>205.66667000000001</v>
      </c>
      <c r="G74">
        <v>190.8</v>
      </c>
      <c r="H74">
        <v>1.0779175999999999</v>
      </c>
      <c r="I74">
        <v>-7.7917546000000004E-2</v>
      </c>
      <c r="J74">
        <v>0.48125106000000001</v>
      </c>
    </row>
    <row r="75" spans="1:10" x14ac:dyDescent="0.3">
      <c r="A75">
        <v>73</v>
      </c>
      <c r="B75">
        <v>1973</v>
      </c>
      <c r="C75" t="b">
        <v>1</v>
      </c>
      <c r="D75">
        <v>8037</v>
      </c>
      <c r="E75">
        <v>8087</v>
      </c>
      <c r="F75">
        <v>205.66667000000001</v>
      </c>
      <c r="G75">
        <v>190</v>
      </c>
      <c r="H75">
        <v>1.0824560999999999</v>
      </c>
      <c r="I75">
        <v>-8.2456163999999998E-2</v>
      </c>
      <c r="J75">
        <v>0.48020216999999998</v>
      </c>
    </row>
    <row r="76" spans="1:10" x14ac:dyDescent="0.3">
      <c r="A76">
        <v>74</v>
      </c>
      <c r="B76">
        <v>2005</v>
      </c>
      <c r="C76" t="b">
        <v>1</v>
      </c>
      <c r="D76">
        <v>8060</v>
      </c>
      <c r="E76">
        <v>8099</v>
      </c>
      <c r="F76">
        <v>206.06666999999999</v>
      </c>
      <c r="G76">
        <v>189.6</v>
      </c>
      <c r="H76">
        <v>1.0868495</v>
      </c>
      <c r="I76">
        <v>-8.6849466E-2</v>
      </c>
      <c r="J76">
        <v>0.47919124000000002</v>
      </c>
    </row>
    <row r="77" spans="1:10" x14ac:dyDescent="0.3">
      <c r="A77">
        <v>75</v>
      </c>
      <c r="B77">
        <v>2037</v>
      </c>
      <c r="C77" t="b">
        <v>1</v>
      </c>
      <c r="D77">
        <v>8060</v>
      </c>
      <c r="E77">
        <v>8111</v>
      </c>
      <c r="F77">
        <v>206.46665999999999</v>
      </c>
      <c r="G77">
        <v>188.8</v>
      </c>
      <c r="H77">
        <v>1.0935733000000001</v>
      </c>
      <c r="I77">
        <v>-9.3573390000000006E-2</v>
      </c>
      <c r="J77">
        <v>0.47765222000000002</v>
      </c>
    </row>
    <row r="78" spans="1:10" x14ac:dyDescent="0.3">
      <c r="A78">
        <v>76</v>
      </c>
      <c r="B78">
        <v>2068</v>
      </c>
      <c r="C78" t="b">
        <v>1</v>
      </c>
      <c r="D78">
        <v>8042</v>
      </c>
      <c r="E78">
        <v>8117</v>
      </c>
      <c r="F78">
        <v>206.46665999999999</v>
      </c>
      <c r="G78">
        <v>188</v>
      </c>
      <c r="H78">
        <v>1.0982269</v>
      </c>
      <c r="I78">
        <v>-9.8226910000000001E-2</v>
      </c>
      <c r="J78">
        <v>0.47659287</v>
      </c>
    </row>
    <row r="79" spans="1:10" x14ac:dyDescent="0.3">
      <c r="A79">
        <v>77</v>
      </c>
      <c r="B79">
        <v>2100</v>
      </c>
      <c r="C79" t="b">
        <v>1</v>
      </c>
      <c r="D79">
        <v>8037</v>
      </c>
      <c r="E79">
        <v>8105</v>
      </c>
      <c r="F79">
        <v>206.46665999999999</v>
      </c>
      <c r="G79">
        <v>186.8</v>
      </c>
      <c r="H79">
        <v>1.1052818</v>
      </c>
      <c r="I79">
        <v>-0.10528187999999999</v>
      </c>
      <c r="J79">
        <v>0.47499575999999999</v>
      </c>
    </row>
    <row r="80" spans="1:10" x14ac:dyDescent="0.3">
      <c r="A80">
        <v>78</v>
      </c>
      <c r="B80">
        <v>2132</v>
      </c>
      <c r="C80" t="b">
        <v>1</v>
      </c>
      <c r="D80">
        <v>8023</v>
      </c>
      <c r="E80">
        <v>8087</v>
      </c>
      <c r="F80">
        <v>205.26666</v>
      </c>
      <c r="G80">
        <v>185.6</v>
      </c>
      <c r="H80">
        <v>1.1059626</v>
      </c>
      <c r="I80">
        <v>-0.10596258</v>
      </c>
      <c r="J80">
        <v>0.47484225000000002</v>
      </c>
    </row>
    <row r="81" spans="1:10" x14ac:dyDescent="0.3">
      <c r="A81">
        <v>79</v>
      </c>
      <c r="B81">
        <v>2163</v>
      </c>
      <c r="C81" t="b">
        <v>1</v>
      </c>
      <c r="D81">
        <v>8060</v>
      </c>
      <c r="E81">
        <v>8093</v>
      </c>
      <c r="F81">
        <v>204.06666999999999</v>
      </c>
      <c r="G81">
        <v>185.2</v>
      </c>
      <c r="H81">
        <v>1.1018718000000001</v>
      </c>
      <c r="I81">
        <v>-0.10187185999999999</v>
      </c>
      <c r="J81">
        <v>0.47576639999999998</v>
      </c>
    </row>
    <row r="82" spans="1:10" x14ac:dyDescent="0.3">
      <c r="A82">
        <v>80</v>
      </c>
      <c r="B82">
        <v>2194</v>
      </c>
      <c r="C82" t="b">
        <v>1</v>
      </c>
      <c r="D82">
        <v>8042</v>
      </c>
      <c r="E82">
        <v>8111</v>
      </c>
      <c r="F82">
        <v>204.06666999999999</v>
      </c>
      <c r="G82">
        <v>184.8</v>
      </c>
      <c r="H82">
        <v>1.1042569</v>
      </c>
      <c r="I82">
        <v>-0.10425682999999999</v>
      </c>
      <c r="J82">
        <v>0.47522714999999999</v>
      </c>
    </row>
    <row r="83" spans="1:10" x14ac:dyDescent="0.3">
      <c r="A83">
        <v>81</v>
      </c>
      <c r="B83">
        <v>2226</v>
      </c>
      <c r="C83" t="b">
        <v>1</v>
      </c>
      <c r="D83">
        <v>8042</v>
      </c>
      <c r="E83">
        <v>8093</v>
      </c>
      <c r="F83">
        <v>203.66667000000001</v>
      </c>
      <c r="G83">
        <v>183.6</v>
      </c>
      <c r="H83">
        <v>1.1092956</v>
      </c>
      <c r="I83">
        <v>-0.10929556</v>
      </c>
      <c r="J83">
        <v>0.47409194999999998</v>
      </c>
    </row>
    <row r="84" spans="1:10" x14ac:dyDescent="0.3">
      <c r="A84">
        <v>82</v>
      </c>
      <c r="B84">
        <v>2242</v>
      </c>
      <c r="C84" t="b">
        <v>1</v>
      </c>
      <c r="D84">
        <v>8017</v>
      </c>
      <c r="E84">
        <v>8105</v>
      </c>
      <c r="F84">
        <v>203.26666</v>
      </c>
      <c r="G84">
        <v>182.8</v>
      </c>
      <c r="H84">
        <v>1.1119621</v>
      </c>
      <c r="I84">
        <v>-0.11196203</v>
      </c>
      <c r="J84">
        <v>0.47349337000000002</v>
      </c>
    </row>
    <row r="85" spans="1:10" x14ac:dyDescent="0.3">
      <c r="A85">
        <v>83</v>
      </c>
      <c r="B85">
        <v>2257</v>
      </c>
      <c r="C85" t="b">
        <v>1</v>
      </c>
      <c r="D85">
        <v>8042</v>
      </c>
      <c r="E85">
        <v>8105</v>
      </c>
      <c r="F85">
        <v>203.6</v>
      </c>
      <c r="G85">
        <v>182.8</v>
      </c>
      <c r="H85">
        <v>1.1137855999999999</v>
      </c>
      <c r="I85">
        <v>-0.11378557</v>
      </c>
      <c r="J85">
        <v>0.47308486999999999</v>
      </c>
    </row>
    <row r="86" spans="1:10" x14ac:dyDescent="0.3">
      <c r="A86">
        <v>84</v>
      </c>
      <c r="B86">
        <v>2273</v>
      </c>
      <c r="C86" t="b">
        <v>1</v>
      </c>
      <c r="D86">
        <v>8023</v>
      </c>
      <c r="E86">
        <v>8093</v>
      </c>
      <c r="F86">
        <v>203.6</v>
      </c>
      <c r="G86">
        <v>184</v>
      </c>
      <c r="H86">
        <v>1.1065217000000001</v>
      </c>
      <c r="I86">
        <v>-0.10652177</v>
      </c>
      <c r="J86">
        <v>0.47471619999999998</v>
      </c>
    </row>
    <row r="87" spans="1:10" x14ac:dyDescent="0.3">
      <c r="A87">
        <v>85</v>
      </c>
      <c r="B87">
        <v>2289</v>
      </c>
      <c r="C87" t="b">
        <v>1</v>
      </c>
      <c r="D87">
        <v>8037</v>
      </c>
      <c r="E87">
        <v>8093</v>
      </c>
      <c r="F87">
        <v>202.86667</v>
      </c>
      <c r="G87">
        <v>184.4</v>
      </c>
      <c r="H87">
        <v>1.1001445999999999</v>
      </c>
      <c r="I87">
        <v>-0.10014466</v>
      </c>
      <c r="J87">
        <v>0.47615766999999998</v>
      </c>
    </row>
    <row r="88" spans="1:10" x14ac:dyDescent="0.3">
      <c r="A88">
        <v>86</v>
      </c>
      <c r="B88">
        <v>2305</v>
      </c>
      <c r="C88" t="b">
        <v>1</v>
      </c>
      <c r="D88">
        <v>8060</v>
      </c>
      <c r="E88">
        <v>8111</v>
      </c>
      <c r="F88">
        <v>202.13333</v>
      </c>
      <c r="G88">
        <v>184.8</v>
      </c>
      <c r="H88">
        <v>1.0937950999999999</v>
      </c>
      <c r="I88">
        <v>-9.379506E-2</v>
      </c>
      <c r="J88">
        <v>0.47760164999999999</v>
      </c>
    </row>
    <row r="89" spans="1:10" x14ac:dyDescent="0.3">
      <c r="A89">
        <v>87</v>
      </c>
      <c r="B89">
        <v>2337</v>
      </c>
      <c r="C89" t="b">
        <v>1</v>
      </c>
      <c r="D89">
        <v>8060</v>
      </c>
      <c r="E89">
        <v>8134</v>
      </c>
      <c r="F89">
        <v>202.13333</v>
      </c>
      <c r="G89">
        <v>185.6</v>
      </c>
      <c r="H89">
        <v>1.0890804999999999</v>
      </c>
      <c r="I89">
        <v>-8.9080415999999996E-2</v>
      </c>
      <c r="J89">
        <v>0.47867949999999998</v>
      </c>
    </row>
    <row r="90" spans="1:10" x14ac:dyDescent="0.3">
      <c r="A90">
        <v>88</v>
      </c>
      <c r="B90">
        <v>2369</v>
      </c>
      <c r="C90" t="b">
        <v>1</v>
      </c>
      <c r="D90">
        <v>8048</v>
      </c>
      <c r="E90">
        <v>8111</v>
      </c>
      <c r="F90">
        <v>202.53334000000001</v>
      </c>
      <c r="G90">
        <v>186.8</v>
      </c>
      <c r="H90">
        <v>1.0842255000000001</v>
      </c>
      <c r="I90">
        <v>-8.422557E-2</v>
      </c>
      <c r="J90">
        <v>0.47979450000000001</v>
      </c>
    </row>
    <row r="91" spans="1:10" x14ac:dyDescent="0.3">
      <c r="A91">
        <v>89</v>
      </c>
      <c r="B91">
        <v>2401</v>
      </c>
      <c r="C91" t="b">
        <v>1</v>
      </c>
      <c r="D91">
        <v>8023</v>
      </c>
      <c r="E91">
        <v>8129</v>
      </c>
      <c r="F91">
        <v>202.53334000000001</v>
      </c>
      <c r="G91">
        <v>187.6</v>
      </c>
      <c r="H91">
        <v>1.079602</v>
      </c>
      <c r="I91">
        <v>-7.9601995999999994E-2</v>
      </c>
      <c r="J91">
        <v>0.48086121999999998</v>
      </c>
    </row>
    <row r="92" spans="1:10" x14ac:dyDescent="0.3">
      <c r="A92">
        <v>90</v>
      </c>
      <c r="B92">
        <v>2433</v>
      </c>
      <c r="C92" t="b">
        <v>1</v>
      </c>
      <c r="D92">
        <v>8048</v>
      </c>
      <c r="E92">
        <v>8105</v>
      </c>
      <c r="F92">
        <v>202.53334000000001</v>
      </c>
      <c r="G92">
        <v>188.4</v>
      </c>
      <c r="H92">
        <v>1.0750177999999999</v>
      </c>
      <c r="I92">
        <v>-7.5017765E-2</v>
      </c>
      <c r="J92">
        <v>0.48192358000000002</v>
      </c>
    </row>
    <row r="93" spans="1:10" x14ac:dyDescent="0.3">
      <c r="A93">
        <v>91</v>
      </c>
      <c r="B93">
        <v>2465</v>
      </c>
      <c r="C93" t="b">
        <v>1</v>
      </c>
      <c r="D93">
        <v>8023</v>
      </c>
      <c r="E93">
        <v>8117</v>
      </c>
      <c r="F93">
        <v>202.93333000000001</v>
      </c>
      <c r="G93">
        <v>189.6</v>
      </c>
      <c r="H93">
        <v>1.0703235</v>
      </c>
      <c r="I93">
        <v>-7.0323460000000004E-2</v>
      </c>
      <c r="J93">
        <v>0.48301633999999999</v>
      </c>
    </row>
    <row r="94" spans="1:10" x14ac:dyDescent="0.3">
      <c r="A94">
        <v>92</v>
      </c>
      <c r="B94">
        <v>2496</v>
      </c>
      <c r="C94" t="b">
        <v>1</v>
      </c>
      <c r="D94">
        <v>8042</v>
      </c>
      <c r="E94">
        <v>8123</v>
      </c>
      <c r="F94">
        <v>202.93333000000001</v>
      </c>
      <c r="G94">
        <v>190.4</v>
      </c>
      <c r="H94">
        <v>1.0658264</v>
      </c>
      <c r="I94">
        <v>-6.5826369999999995E-2</v>
      </c>
      <c r="J94">
        <v>0.48406779999999999</v>
      </c>
    </row>
    <row r="95" spans="1:10" x14ac:dyDescent="0.3">
      <c r="A95">
        <v>93</v>
      </c>
      <c r="B95">
        <v>2528</v>
      </c>
      <c r="C95" t="b">
        <v>1</v>
      </c>
      <c r="D95">
        <v>8037</v>
      </c>
      <c r="E95">
        <v>8117</v>
      </c>
      <c r="F95">
        <v>202.6</v>
      </c>
      <c r="G95">
        <v>191.2</v>
      </c>
      <c r="H95">
        <v>1.0596235000000001</v>
      </c>
      <c r="I95">
        <v>-5.962348E-2</v>
      </c>
      <c r="J95">
        <v>0.48552567000000002</v>
      </c>
    </row>
    <row r="96" spans="1:10" x14ac:dyDescent="0.3">
      <c r="A96">
        <v>94</v>
      </c>
      <c r="B96">
        <v>2560</v>
      </c>
      <c r="C96" t="b">
        <v>1</v>
      </c>
      <c r="D96">
        <v>8030</v>
      </c>
      <c r="E96">
        <v>8099</v>
      </c>
      <c r="F96">
        <v>202.26666</v>
      </c>
      <c r="G96">
        <v>192</v>
      </c>
      <c r="H96">
        <v>1.0534722000000001</v>
      </c>
      <c r="I96">
        <v>-5.3472202000000003E-2</v>
      </c>
      <c r="J96">
        <v>0.48698005</v>
      </c>
    </row>
    <row r="97" spans="1:10" x14ac:dyDescent="0.3">
      <c r="A97">
        <v>95</v>
      </c>
      <c r="B97">
        <v>2592</v>
      </c>
      <c r="C97" t="b">
        <v>1</v>
      </c>
      <c r="D97">
        <v>8037</v>
      </c>
      <c r="E97">
        <v>8099</v>
      </c>
      <c r="F97">
        <v>201.93333000000001</v>
      </c>
      <c r="G97">
        <v>192.8</v>
      </c>
      <c r="H97">
        <v>1.0473721</v>
      </c>
      <c r="I97">
        <v>-4.7372049999999999E-2</v>
      </c>
      <c r="J97">
        <v>0.488431</v>
      </c>
    </row>
    <row r="98" spans="1:10" x14ac:dyDescent="0.3">
      <c r="A98">
        <v>96</v>
      </c>
      <c r="B98">
        <v>2623</v>
      </c>
      <c r="C98" t="b">
        <v>1</v>
      </c>
      <c r="D98">
        <v>8060</v>
      </c>
      <c r="E98">
        <v>8099</v>
      </c>
      <c r="F98">
        <v>201.6</v>
      </c>
      <c r="G98">
        <v>193.2</v>
      </c>
      <c r="H98">
        <v>1.0434783000000001</v>
      </c>
      <c r="I98">
        <v>-4.3478309999999999E-2</v>
      </c>
      <c r="J98">
        <v>0.48936170000000001</v>
      </c>
    </row>
    <row r="99" spans="1:10" x14ac:dyDescent="0.3">
      <c r="A99">
        <v>97</v>
      </c>
      <c r="B99">
        <v>2655</v>
      </c>
      <c r="C99" t="b">
        <v>1</v>
      </c>
      <c r="D99">
        <v>8054</v>
      </c>
      <c r="E99">
        <v>8099</v>
      </c>
      <c r="F99">
        <v>201.26666</v>
      </c>
      <c r="G99">
        <v>193.6</v>
      </c>
      <c r="H99">
        <v>1.0396004999999999</v>
      </c>
      <c r="I99">
        <v>-3.9600499999999997E-2</v>
      </c>
      <c r="J99">
        <v>0.49029210000000001</v>
      </c>
    </row>
    <row r="100" spans="1:10" x14ac:dyDescent="0.3">
      <c r="A100">
        <v>98</v>
      </c>
      <c r="B100">
        <v>2686</v>
      </c>
      <c r="C100" t="b">
        <v>1</v>
      </c>
      <c r="D100">
        <v>8037</v>
      </c>
      <c r="E100">
        <v>8117</v>
      </c>
      <c r="F100">
        <v>200.93333000000001</v>
      </c>
      <c r="G100">
        <v>193.2</v>
      </c>
      <c r="H100">
        <v>1.0400275999999999</v>
      </c>
      <c r="I100">
        <v>-4.0027625999999997E-2</v>
      </c>
      <c r="J100">
        <v>0.49018942999999998</v>
      </c>
    </row>
    <row r="101" spans="1:10" x14ac:dyDescent="0.3">
      <c r="A101">
        <v>99</v>
      </c>
      <c r="B101">
        <v>2716</v>
      </c>
      <c r="C101" t="b">
        <v>1</v>
      </c>
      <c r="D101">
        <v>8048</v>
      </c>
      <c r="E101">
        <v>8111</v>
      </c>
      <c r="F101">
        <v>201.33332999999999</v>
      </c>
      <c r="G101">
        <v>192.8</v>
      </c>
      <c r="H101">
        <v>1.04426</v>
      </c>
      <c r="I101">
        <v>-4.4259984000000002E-2</v>
      </c>
      <c r="J101">
        <v>0.48917456999999998</v>
      </c>
    </row>
    <row r="102" spans="1:10" x14ac:dyDescent="0.3">
      <c r="A102">
        <v>100</v>
      </c>
      <c r="B102">
        <v>2748</v>
      </c>
      <c r="C102" t="b">
        <v>1</v>
      </c>
      <c r="D102">
        <v>8042</v>
      </c>
      <c r="E102">
        <v>8087</v>
      </c>
      <c r="F102">
        <v>202.06666999999999</v>
      </c>
      <c r="G102">
        <v>193.2</v>
      </c>
      <c r="H102">
        <v>1.0458938</v>
      </c>
      <c r="I102">
        <v>-4.5893732E-2</v>
      </c>
      <c r="J102">
        <v>0.48878392999999998</v>
      </c>
    </row>
    <row r="103" spans="1:10" x14ac:dyDescent="0.3">
      <c r="A103">
        <v>101</v>
      </c>
      <c r="B103">
        <v>2779</v>
      </c>
      <c r="C103" t="b">
        <v>1</v>
      </c>
      <c r="D103">
        <v>8042</v>
      </c>
      <c r="E103">
        <v>8099</v>
      </c>
      <c r="F103">
        <v>202.4</v>
      </c>
      <c r="G103">
        <v>192.8</v>
      </c>
      <c r="H103">
        <v>1.0497924999999999</v>
      </c>
      <c r="I103">
        <v>-4.9792482999999998E-2</v>
      </c>
      <c r="J103">
        <v>0.48785423999999999</v>
      </c>
    </row>
    <row r="104" spans="1:10" x14ac:dyDescent="0.3">
      <c r="A104">
        <v>102</v>
      </c>
      <c r="B104">
        <v>2795</v>
      </c>
      <c r="C104" t="b">
        <v>1</v>
      </c>
      <c r="D104">
        <v>8054</v>
      </c>
      <c r="E104">
        <v>8140</v>
      </c>
      <c r="F104">
        <v>202.4</v>
      </c>
      <c r="G104">
        <v>193.2</v>
      </c>
      <c r="H104">
        <v>1.0476190000000001</v>
      </c>
      <c r="I104">
        <v>-4.7619033999999998E-2</v>
      </c>
      <c r="J104">
        <v>0.48837212000000002</v>
      </c>
    </row>
    <row r="105" spans="1:10" x14ac:dyDescent="0.3">
      <c r="A105">
        <v>103</v>
      </c>
      <c r="B105">
        <v>2811</v>
      </c>
      <c r="C105" t="b">
        <v>1</v>
      </c>
      <c r="D105">
        <v>8060</v>
      </c>
      <c r="E105">
        <v>8093</v>
      </c>
      <c r="F105">
        <v>202.4</v>
      </c>
      <c r="G105">
        <v>192.4</v>
      </c>
      <c r="H105">
        <v>1.0519750000000001</v>
      </c>
      <c r="I105">
        <v>-5.1975053E-2</v>
      </c>
      <c r="J105">
        <v>0.48733535</v>
      </c>
    </row>
    <row r="106" spans="1:10" x14ac:dyDescent="0.3">
      <c r="A106">
        <v>104</v>
      </c>
      <c r="B106">
        <v>2843</v>
      </c>
      <c r="C106" t="b">
        <v>1</v>
      </c>
      <c r="D106">
        <v>8042</v>
      </c>
      <c r="E106">
        <v>8117</v>
      </c>
      <c r="F106">
        <v>202</v>
      </c>
      <c r="G106">
        <v>191.6</v>
      </c>
      <c r="H106">
        <v>1.0542796999999999</v>
      </c>
      <c r="I106">
        <v>-5.4279714999999999E-2</v>
      </c>
      <c r="J106">
        <v>0.48678863</v>
      </c>
    </row>
    <row r="107" spans="1:10" x14ac:dyDescent="0.3">
      <c r="A107">
        <v>105</v>
      </c>
      <c r="B107">
        <v>2874</v>
      </c>
      <c r="C107" t="b">
        <v>1</v>
      </c>
      <c r="D107">
        <v>8048</v>
      </c>
      <c r="E107">
        <v>8129</v>
      </c>
      <c r="F107">
        <v>202</v>
      </c>
      <c r="G107">
        <v>192</v>
      </c>
      <c r="H107">
        <v>1.0520833999999999</v>
      </c>
      <c r="I107">
        <v>-5.2083332000000003E-2</v>
      </c>
      <c r="J107">
        <v>0.48730962999999999</v>
      </c>
    </row>
    <row r="108" spans="1:10" x14ac:dyDescent="0.3">
      <c r="A108">
        <v>106</v>
      </c>
      <c r="B108">
        <v>2906</v>
      </c>
      <c r="C108" t="b">
        <v>1</v>
      </c>
      <c r="D108">
        <v>8060</v>
      </c>
      <c r="E108">
        <v>8111</v>
      </c>
      <c r="F108">
        <v>202.4</v>
      </c>
      <c r="G108">
        <v>192</v>
      </c>
      <c r="H108">
        <v>1.0541666999999999</v>
      </c>
      <c r="I108">
        <v>-5.4166633999999998E-2</v>
      </c>
      <c r="J108">
        <v>0.48681542</v>
      </c>
    </row>
    <row r="109" spans="1:10" x14ac:dyDescent="0.3">
      <c r="A109">
        <v>107</v>
      </c>
      <c r="B109">
        <v>2922</v>
      </c>
      <c r="C109" t="b">
        <v>1</v>
      </c>
      <c r="D109">
        <v>8042</v>
      </c>
      <c r="E109">
        <v>8123</v>
      </c>
      <c r="F109">
        <v>202.8</v>
      </c>
      <c r="G109">
        <v>192</v>
      </c>
      <c r="H109">
        <v>1.0562499999999999</v>
      </c>
      <c r="I109">
        <v>-5.6250016999999999E-2</v>
      </c>
      <c r="J109">
        <v>0.48632219999999998</v>
      </c>
    </row>
    <row r="110" spans="1:10" x14ac:dyDescent="0.3">
      <c r="A110">
        <v>108</v>
      </c>
      <c r="B110">
        <v>2937</v>
      </c>
      <c r="C110" t="b">
        <v>1</v>
      </c>
      <c r="D110">
        <v>8030</v>
      </c>
      <c r="E110">
        <v>8099</v>
      </c>
      <c r="F110">
        <v>203.13333</v>
      </c>
      <c r="G110">
        <v>192</v>
      </c>
      <c r="H110">
        <v>1.0579860999999999</v>
      </c>
      <c r="I110">
        <v>-5.7986099999999999E-2</v>
      </c>
      <c r="J110">
        <v>0.48591193999999999</v>
      </c>
    </row>
    <row r="111" spans="1:10" x14ac:dyDescent="0.3">
      <c r="A111">
        <v>109</v>
      </c>
      <c r="B111">
        <v>2953</v>
      </c>
      <c r="C111" t="b">
        <v>1</v>
      </c>
      <c r="D111">
        <v>8054</v>
      </c>
      <c r="E111">
        <v>8093</v>
      </c>
      <c r="F111">
        <v>203.86667</v>
      </c>
      <c r="G111">
        <v>191.6</v>
      </c>
      <c r="H111">
        <v>1.0640223</v>
      </c>
      <c r="I111">
        <v>-6.4022239999999994E-2</v>
      </c>
      <c r="J111">
        <v>0.4844909</v>
      </c>
    </row>
    <row r="112" spans="1:10" x14ac:dyDescent="0.3">
      <c r="A112">
        <v>110</v>
      </c>
      <c r="B112">
        <v>2969</v>
      </c>
      <c r="C112" t="b">
        <v>1</v>
      </c>
      <c r="D112">
        <v>8060</v>
      </c>
      <c r="E112">
        <v>8140</v>
      </c>
      <c r="F112">
        <v>205</v>
      </c>
      <c r="G112">
        <v>191.2</v>
      </c>
      <c r="H112">
        <v>1.0721757000000001</v>
      </c>
      <c r="I112">
        <v>-7.2175749999999997E-2</v>
      </c>
      <c r="J112">
        <v>0.48258454000000001</v>
      </c>
    </row>
    <row r="113" spans="1:10" x14ac:dyDescent="0.3">
      <c r="A113">
        <v>111</v>
      </c>
      <c r="B113">
        <v>3002</v>
      </c>
      <c r="C113" t="b">
        <v>1</v>
      </c>
      <c r="D113">
        <v>8048</v>
      </c>
      <c r="E113">
        <v>8087</v>
      </c>
      <c r="F113">
        <v>205.73334</v>
      </c>
      <c r="G113">
        <v>191.2</v>
      </c>
      <c r="H113">
        <v>1.0760111999999999</v>
      </c>
      <c r="I113">
        <v>-7.6011196000000003E-2</v>
      </c>
      <c r="J113">
        <v>0.48169294000000001</v>
      </c>
    </row>
    <row r="114" spans="1:10" x14ac:dyDescent="0.3">
      <c r="A114">
        <v>112</v>
      </c>
      <c r="B114">
        <v>3034</v>
      </c>
      <c r="C114" t="b">
        <v>1</v>
      </c>
      <c r="D114">
        <v>8030</v>
      </c>
      <c r="E114">
        <v>8093</v>
      </c>
      <c r="F114">
        <v>206.46665999999999</v>
      </c>
      <c r="G114">
        <v>190.8</v>
      </c>
      <c r="H114">
        <v>1.0821103999999999</v>
      </c>
      <c r="I114">
        <v>-8.2110359999999993E-2</v>
      </c>
      <c r="J114">
        <v>0.48028195000000001</v>
      </c>
    </row>
    <row r="115" spans="1:10" x14ac:dyDescent="0.3">
      <c r="A115">
        <v>113</v>
      </c>
      <c r="B115">
        <v>3066</v>
      </c>
      <c r="C115" t="b">
        <v>1</v>
      </c>
      <c r="D115">
        <v>8037</v>
      </c>
      <c r="E115">
        <v>8105</v>
      </c>
      <c r="F115">
        <v>207.2</v>
      </c>
      <c r="G115">
        <v>190.4</v>
      </c>
      <c r="H115">
        <v>1.0882353</v>
      </c>
      <c r="I115">
        <v>-8.8235309999999997E-2</v>
      </c>
      <c r="J115">
        <v>0.47887324999999997</v>
      </c>
    </row>
    <row r="116" spans="1:10" x14ac:dyDescent="0.3">
      <c r="A116">
        <v>114</v>
      </c>
      <c r="B116">
        <v>3097</v>
      </c>
      <c r="C116" t="b">
        <v>1</v>
      </c>
      <c r="D116">
        <v>8006</v>
      </c>
      <c r="E116">
        <v>8117</v>
      </c>
      <c r="F116">
        <v>206.46665999999999</v>
      </c>
      <c r="G116">
        <v>190.8</v>
      </c>
      <c r="H116">
        <v>1.0821103999999999</v>
      </c>
      <c r="I116">
        <v>-8.2110359999999993E-2</v>
      </c>
      <c r="J116">
        <v>0.48028195000000001</v>
      </c>
    </row>
    <row r="117" spans="1:10" x14ac:dyDescent="0.3">
      <c r="A117">
        <v>115</v>
      </c>
      <c r="B117">
        <v>3129</v>
      </c>
      <c r="C117" t="b">
        <v>1</v>
      </c>
      <c r="D117">
        <v>8042</v>
      </c>
      <c r="E117">
        <v>8123</v>
      </c>
      <c r="F117">
        <v>205.73334</v>
      </c>
      <c r="G117">
        <v>191.2</v>
      </c>
      <c r="H117">
        <v>1.0760111999999999</v>
      </c>
      <c r="I117">
        <v>-7.6011196000000003E-2</v>
      </c>
      <c r="J117">
        <v>0.48169294000000001</v>
      </c>
    </row>
    <row r="118" spans="1:10" x14ac:dyDescent="0.3">
      <c r="A118">
        <v>116</v>
      </c>
      <c r="B118">
        <v>3145</v>
      </c>
      <c r="C118" t="b">
        <v>1</v>
      </c>
      <c r="D118">
        <v>8042</v>
      </c>
      <c r="E118">
        <v>8111</v>
      </c>
      <c r="F118">
        <v>205.4</v>
      </c>
      <c r="G118">
        <v>192</v>
      </c>
      <c r="H118">
        <v>1.0697916999999999</v>
      </c>
      <c r="I118">
        <v>-6.9791640000000002E-2</v>
      </c>
      <c r="J118">
        <v>0.48314040000000003</v>
      </c>
    </row>
    <row r="119" spans="1:10" x14ac:dyDescent="0.3">
      <c r="A119">
        <v>117</v>
      </c>
      <c r="B119">
        <v>3177</v>
      </c>
      <c r="C119" t="b">
        <v>1</v>
      </c>
      <c r="D119">
        <v>8054</v>
      </c>
      <c r="E119">
        <v>8117</v>
      </c>
      <c r="F119">
        <v>205.4</v>
      </c>
      <c r="G119">
        <v>192.4</v>
      </c>
      <c r="H119">
        <v>1.0675676000000001</v>
      </c>
      <c r="I119">
        <v>-6.7567569999999993E-2</v>
      </c>
      <c r="J119">
        <v>0.48366013000000002</v>
      </c>
    </row>
    <row r="120" spans="1:10" x14ac:dyDescent="0.3">
      <c r="A120">
        <v>118</v>
      </c>
      <c r="B120">
        <v>3193</v>
      </c>
      <c r="C120" t="b">
        <v>1</v>
      </c>
      <c r="D120">
        <v>8037</v>
      </c>
      <c r="E120">
        <v>8093</v>
      </c>
      <c r="F120">
        <v>205</v>
      </c>
      <c r="G120">
        <v>193.6</v>
      </c>
      <c r="H120">
        <v>1.0588842999999999</v>
      </c>
      <c r="I120">
        <v>-5.8884262999999999E-2</v>
      </c>
      <c r="J120">
        <v>0.48569994999999999</v>
      </c>
    </row>
    <row r="121" spans="1:10" x14ac:dyDescent="0.3">
      <c r="A121">
        <v>119</v>
      </c>
      <c r="B121">
        <v>3225</v>
      </c>
      <c r="C121" t="b">
        <v>1</v>
      </c>
      <c r="D121">
        <v>8054</v>
      </c>
      <c r="E121">
        <v>8117</v>
      </c>
      <c r="F121">
        <v>205</v>
      </c>
      <c r="G121">
        <v>194.8</v>
      </c>
      <c r="H121">
        <v>1.0523613999999999</v>
      </c>
      <c r="I121">
        <v>-5.2361379999999999E-2</v>
      </c>
      <c r="J121">
        <v>0.48724364999999997</v>
      </c>
    </row>
    <row r="122" spans="1:10" x14ac:dyDescent="0.3">
      <c r="A122">
        <v>120</v>
      </c>
      <c r="B122">
        <v>3256</v>
      </c>
      <c r="C122" t="b">
        <v>1</v>
      </c>
      <c r="D122">
        <v>8042</v>
      </c>
      <c r="E122">
        <v>8093</v>
      </c>
      <c r="F122">
        <v>204.6</v>
      </c>
      <c r="G122">
        <v>194.4</v>
      </c>
      <c r="H122">
        <v>1.0524693000000001</v>
      </c>
      <c r="I122">
        <v>-5.2469200000000001E-2</v>
      </c>
      <c r="J122">
        <v>0.48721801999999997</v>
      </c>
    </row>
    <row r="123" spans="1:10" x14ac:dyDescent="0.3">
      <c r="A123">
        <v>121</v>
      </c>
      <c r="B123">
        <v>3272</v>
      </c>
      <c r="C123" t="b">
        <v>1</v>
      </c>
      <c r="D123">
        <v>8042</v>
      </c>
      <c r="E123">
        <v>8123</v>
      </c>
      <c r="F123">
        <v>203.8</v>
      </c>
      <c r="G123">
        <v>194.4</v>
      </c>
      <c r="H123">
        <v>1.0483538999999999</v>
      </c>
      <c r="I123">
        <v>-4.8353960000000001E-2</v>
      </c>
      <c r="J123">
        <v>0.48819685000000002</v>
      </c>
    </row>
    <row r="124" spans="1:10" x14ac:dyDescent="0.3">
      <c r="A124">
        <v>122</v>
      </c>
      <c r="B124">
        <v>3288</v>
      </c>
      <c r="C124" t="b">
        <v>1</v>
      </c>
      <c r="D124">
        <v>8037</v>
      </c>
      <c r="E124">
        <v>8111</v>
      </c>
      <c r="F124">
        <v>203.4</v>
      </c>
      <c r="G124">
        <v>194</v>
      </c>
      <c r="H124">
        <v>1.0484536</v>
      </c>
      <c r="I124">
        <v>-4.8453576999999998E-2</v>
      </c>
      <c r="J124">
        <v>0.48817313000000001</v>
      </c>
    </row>
    <row r="125" spans="1:10" x14ac:dyDescent="0.3">
      <c r="A125">
        <v>123</v>
      </c>
      <c r="B125">
        <v>3320</v>
      </c>
      <c r="C125" t="b">
        <v>1</v>
      </c>
      <c r="D125">
        <v>8071</v>
      </c>
      <c r="E125">
        <v>8099</v>
      </c>
      <c r="F125">
        <v>203.4</v>
      </c>
      <c r="G125">
        <v>193.6</v>
      </c>
      <c r="H125">
        <v>1.0506196999999999</v>
      </c>
      <c r="I125">
        <v>-5.0619770000000001E-2</v>
      </c>
      <c r="J125">
        <v>0.48765745999999999</v>
      </c>
    </row>
    <row r="126" spans="1:10" x14ac:dyDescent="0.3">
      <c r="A126">
        <v>124</v>
      </c>
      <c r="B126">
        <v>3351</v>
      </c>
      <c r="C126" t="b">
        <v>1</v>
      </c>
      <c r="D126">
        <v>8042</v>
      </c>
      <c r="E126">
        <v>8105</v>
      </c>
      <c r="F126">
        <v>203</v>
      </c>
      <c r="G126">
        <v>193.2</v>
      </c>
      <c r="H126">
        <v>1.0507245999999999</v>
      </c>
      <c r="I126">
        <v>-5.0724655E-2</v>
      </c>
      <c r="J126">
        <v>0.48763247999999998</v>
      </c>
    </row>
    <row r="127" spans="1:10" x14ac:dyDescent="0.3">
      <c r="A127">
        <v>125</v>
      </c>
      <c r="B127">
        <v>3383</v>
      </c>
      <c r="C127" t="b">
        <v>1</v>
      </c>
      <c r="D127">
        <v>8048</v>
      </c>
      <c r="E127">
        <v>8117</v>
      </c>
      <c r="F127">
        <v>202.2</v>
      </c>
      <c r="G127">
        <v>193.2</v>
      </c>
      <c r="H127">
        <v>1.0465838999999999</v>
      </c>
      <c r="I127">
        <v>-4.6583850000000003E-2</v>
      </c>
      <c r="J127">
        <v>0.48861912000000002</v>
      </c>
    </row>
    <row r="128" spans="1:10" x14ac:dyDescent="0.3">
      <c r="A128">
        <v>126</v>
      </c>
      <c r="B128">
        <v>3415</v>
      </c>
      <c r="C128" t="b">
        <v>1</v>
      </c>
      <c r="D128">
        <v>8048</v>
      </c>
      <c r="E128">
        <v>8081</v>
      </c>
      <c r="F128">
        <v>202.2</v>
      </c>
      <c r="G128">
        <v>193.6</v>
      </c>
      <c r="H128">
        <v>1.0444214000000001</v>
      </c>
      <c r="I128">
        <v>-4.4421438000000001E-2</v>
      </c>
      <c r="J128">
        <v>0.48913594999999999</v>
      </c>
    </row>
    <row r="129" spans="1:10" x14ac:dyDescent="0.3">
      <c r="A129">
        <v>127</v>
      </c>
      <c r="B129">
        <v>3447</v>
      </c>
      <c r="C129" t="b">
        <v>1</v>
      </c>
      <c r="D129">
        <v>8042</v>
      </c>
      <c r="E129">
        <v>8123</v>
      </c>
      <c r="F129">
        <v>202.2</v>
      </c>
      <c r="G129">
        <v>194.4</v>
      </c>
      <c r="H129">
        <v>1.0401235</v>
      </c>
      <c r="I129">
        <v>-4.0123473999999999E-2</v>
      </c>
      <c r="J129">
        <v>0.49016642999999999</v>
      </c>
    </row>
    <row r="130" spans="1:10" x14ac:dyDescent="0.3">
      <c r="A130">
        <v>128</v>
      </c>
      <c r="B130">
        <v>3463</v>
      </c>
      <c r="C130" t="b">
        <v>1</v>
      </c>
      <c r="D130">
        <v>8037</v>
      </c>
      <c r="E130">
        <v>8093</v>
      </c>
      <c r="F130">
        <v>201.8</v>
      </c>
      <c r="G130">
        <v>195.2</v>
      </c>
      <c r="H130">
        <v>1.0338115000000001</v>
      </c>
      <c r="I130">
        <v>-3.3811505999999998E-2</v>
      </c>
      <c r="J130">
        <v>0.49168766000000003</v>
      </c>
    </row>
    <row r="131" spans="1:10" x14ac:dyDescent="0.3">
      <c r="A131">
        <v>129</v>
      </c>
      <c r="B131">
        <v>3478</v>
      </c>
      <c r="C131" t="b">
        <v>1</v>
      </c>
      <c r="D131">
        <v>8037</v>
      </c>
      <c r="E131">
        <v>8099</v>
      </c>
      <c r="F131">
        <v>202.13333</v>
      </c>
      <c r="G131">
        <v>194.8</v>
      </c>
      <c r="H131">
        <v>1.0376455</v>
      </c>
      <c r="I131">
        <v>-3.7645421999999998E-2</v>
      </c>
      <c r="J131">
        <v>0.49076249999999999</v>
      </c>
    </row>
    <row r="132" spans="1:10" x14ac:dyDescent="0.3">
      <c r="A132">
        <v>130</v>
      </c>
      <c r="B132">
        <v>3510</v>
      </c>
      <c r="C132" t="b">
        <v>1</v>
      </c>
      <c r="D132">
        <v>8030</v>
      </c>
      <c r="E132">
        <v>8117</v>
      </c>
      <c r="F132">
        <v>202.13333</v>
      </c>
      <c r="G132">
        <v>194.4</v>
      </c>
      <c r="H132">
        <v>1.0397805</v>
      </c>
      <c r="I132">
        <v>-3.9780542000000002E-2</v>
      </c>
      <c r="J132">
        <v>0.49024883000000002</v>
      </c>
    </row>
    <row r="133" spans="1:10" x14ac:dyDescent="0.3">
      <c r="A133">
        <v>131</v>
      </c>
      <c r="B133">
        <v>3542</v>
      </c>
      <c r="C133" t="b">
        <v>1</v>
      </c>
      <c r="D133">
        <v>8030</v>
      </c>
      <c r="E133">
        <v>8099</v>
      </c>
      <c r="F133">
        <v>202.13333</v>
      </c>
      <c r="G133">
        <v>193.6</v>
      </c>
      <c r="H133">
        <v>1.0440769999999999</v>
      </c>
      <c r="I133">
        <v>-4.4077089999999999E-2</v>
      </c>
      <c r="J133">
        <v>0.48921831999999998</v>
      </c>
    </row>
    <row r="134" spans="1:10" x14ac:dyDescent="0.3">
      <c r="A134">
        <v>132</v>
      </c>
      <c r="B134">
        <v>3573</v>
      </c>
      <c r="C134" t="b">
        <v>1</v>
      </c>
      <c r="D134">
        <v>8030</v>
      </c>
      <c r="E134">
        <v>8111</v>
      </c>
      <c r="F134">
        <v>201.33332999999999</v>
      </c>
      <c r="G134">
        <v>192.4</v>
      </c>
      <c r="H134">
        <v>1.0464310999999999</v>
      </c>
      <c r="I134">
        <v>-4.6431053E-2</v>
      </c>
      <c r="J134">
        <v>0.48865560000000002</v>
      </c>
    </row>
    <row r="135" spans="1:10" x14ac:dyDescent="0.3">
      <c r="A135">
        <v>133</v>
      </c>
      <c r="B135">
        <v>3589</v>
      </c>
      <c r="C135" t="b">
        <v>1</v>
      </c>
      <c r="D135">
        <v>8030</v>
      </c>
      <c r="E135">
        <v>8111</v>
      </c>
      <c r="F135">
        <v>200.53334000000001</v>
      </c>
      <c r="G135">
        <v>192</v>
      </c>
      <c r="H135">
        <v>1.0444443999999999</v>
      </c>
      <c r="I135">
        <v>-4.4444483E-2</v>
      </c>
      <c r="J135">
        <v>0.48913044</v>
      </c>
    </row>
    <row r="136" spans="1:10" x14ac:dyDescent="0.3">
      <c r="A136">
        <v>134</v>
      </c>
      <c r="B136">
        <v>3605</v>
      </c>
      <c r="C136" t="b">
        <v>1</v>
      </c>
      <c r="D136">
        <v>8042</v>
      </c>
      <c r="E136">
        <v>8146</v>
      </c>
      <c r="F136">
        <v>199.73334</v>
      </c>
      <c r="G136">
        <v>191.6</v>
      </c>
      <c r="H136">
        <v>1.0424496000000001</v>
      </c>
      <c r="I136">
        <v>-4.2449533999999997E-2</v>
      </c>
      <c r="J136">
        <v>0.48960817000000001</v>
      </c>
    </row>
    <row r="137" spans="1:10" x14ac:dyDescent="0.3">
      <c r="A137">
        <v>135</v>
      </c>
      <c r="B137">
        <v>3638</v>
      </c>
      <c r="C137" t="b">
        <v>1</v>
      </c>
      <c r="D137">
        <v>8054</v>
      </c>
      <c r="E137">
        <v>8129</v>
      </c>
      <c r="F137">
        <v>198.93333000000001</v>
      </c>
      <c r="G137">
        <v>191.6</v>
      </c>
      <c r="H137">
        <v>1.0382742</v>
      </c>
      <c r="I137">
        <v>-3.8274153999999998E-2</v>
      </c>
      <c r="J137">
        <v>0.49061116999999999</v>
      </c>
    </row>
    <row r="138" spans="1:10" x14ac:dyDescent="0.3">
      <c r="A138">
        <v>136</v>
      </c>
      <c r="B138">
        <v>3669</v>
      </c>
      <c r="C138" t="b">
        <v>1</v>
      </c>
      <c r="D138">
        <v>8048</v>
      </c>
      <c r="E138">
        <v>8140</v>
      </c>
      <c r="F138">
        <v>198.93333000000001</v>
      </c>
      <c r="G138">
        <v>192.4</v>
      </c>
      <c r="H138">
        <v>1.0339571000000001</v>
      </c>
      <c r="I138">
        <v>-3.3957069999999999E-2</v>
      </c>
      <c r="J138">
        <v>0.49165249999999999</v>
      </c>
    </row>
    <row r="139" spans="1:10" x14ac:dyDescent="0.3">
      <c r="A139">
        <v>137</v>
      </c>
      <c r="B139">
        <v>3701</v>
      </c>
      <c r="C139" t="b">
        <v>1</v>
      </c>
      <c r="D139">
        <v>8060</v>
      </c>
      <c r="E139">
        <v>8093</v>
      </c>
      <c r="F139">
        <v>199.33332999999999</v>
      </c>
      <c r="G139">
        <v>193.6</v>
      </c>
      <c r="H139">
        <v>1.0296141999999999</v>
      </c>
      <c r="I139">
        <v>-2.9614266E-2</v>
      </c>
      <c r="J139">
        <v>0.49270445000000002</v>
      </c>
    </row>
    <row r="140" spans="1:10" x14ac:dyDescent="0.3">
      <c r="A140">
        <v>138</v>
      </c>
      <c r="B140">
        <v>3733</v>
      </c>
      <c r="C140" t="b">
        <v>1</v>
      </c>
      <c r="D140">
        <v>8054</v>
      </c>
      <c r="E140">
        <v>8105</v>
      </c>
      <c r="F140">
        <v>200.13333</v>
      </c>
      <c r="G140">
        <v>194.8</v>
      </c>
      <c r="H140">
        <v>1.0273783999999999</v>
      </c>
      <c r="I140">
        <v>-2.737848E-2</v>
      </c>
      <c r="J140">
        <v>0.49324780000000001</v>
      </c>
    </row>
    <row r="141" spans="1:10" x14ac:dyDescent="0.3">
      <c r="A141">
        <v>139</v>
      </c>
      <c r="B141">
        <v>3764</v>
      </c>
      <c r="C141" t="b">
        <v>1</v>
      </c>
      <c r="D141">
        <v>8042</v>
      </c>
      <c r="E141">
        <v>8117</v>
      </c>
      <c r="F141">
        <v>200.93333000000001</v>
      </c>
      <c r="G141">
        <v>195.6</v>
      </c>
      <c r="H141">
        <v>1.0272665000000001</v>
      </c>
      <c r="I141">
        <v>-2.7266504E-2</v>
      </c>
      <c r="J141">
        <v>0.49327507999999998</v>
      </c>
    </row>
    <row r="142" spans="1:10" x14ac:dyDescent="0.3">
      <c r="A142">
        <v>140</v>
      </c>
      <c r="B142">
        <v>3796</v>
      </c>
      <c r="C142" t="b">
        <v>1</v>
      </c>
      <c r="D142">
        <v>8060</v>
      </c>
      <c r="E142">
        <v>8081</v>
      </c>
      <c r="F142">
        <v>201.73334</v>
      </c>
      <c r="G142">
        <v>195.2</v>
      </c>
      <c r="H142">
        <v>1.0334700000000001</v>
      </c>
      <c r="I142">
        <v>-3.3469982000000002E-2</v>
      </c>
      <c r="J142">
        <v>0.49177019999999999</v>
      </c>
    </row>
    <row r="143" spans="1:10" x14ac:dyDescent="0.3">
      <c r="A143">
        <v>141</v>
      </c>
      <c r="B143">
        <v>3812</v>
      </c>
      <c r="C143" t="b">
        <v>1</v>
      </c>
      <c r="D143">
        <v>8054</v>
      </c>
      <c r="E143">
        <v>8105</v>
      </c>
      <c r="F143">
        <v>202.13333</v>
      </c>
      <c r="G143">
        <v>195.2</v>
      </c>
      <c r="H143">
        <v>1.0355190999999999</v>
      </c>
      <c r="I143">
        <v>-3.5519130000000003E-2</v>
      </c>
      <c r="J143">
        <v>0.49127520000000002</v>
      </c>
    </row>
    <row r="144" spans="1:10" x14ac:dyDescent="0.3">
      <c r="A144">
        <v>142</v>
      </c>
      <c r="B144">
        <v>3828</v>
      </c>
      <c r="C144" t="b">
        <v>1</v>
      </c>
      <c r="D144">
        <v>8054</v>
      </c>
      <c r="E144">
        <v>8099</v>
      </c>
      <c r="F144">
        <v>202.53334000000001</v>
      </c>
      <c r="G144">
        <v>195.2</v>
      </c>
      <c r="H144">
        <v>1.0375683</v>
      </c>
      <c r="I144">
        <v>-3.7568360000000002E-2</v>
      </c>
      <c r="J144">
        <v>0.49078106999999999</v>
      </c>
    </row>
    <row r="145" spans="1:10" x14ac:dyDescent="0.3">
      <c r="A145">
        <v>143</v>
      </c>
      <c r="B145">
        <v>3844</v>
      </c>
      <c r="C145" t="b">
        <v>1</v>
      </c>
      <c r="D145">
        <v>8037</v>
      </c>
      <c r="E145">
        <v>8099</v>
      </c>
      <c r="F145">
        <v>203.33332999999999</v>
      </c>
      <c r="G145">
        <v>194.8</v>
      </c>
      <c r="H145">
        <v>1.0438056</v>
      </c>
      <c r="I145">
        <v>-4.3805570000000002E-2</v>
      </c>
      <c r="J145">
        <v>0.48928332000000002</v>
      </c>
    </row>
    <row r="146" spans="1:10" x14ac:dyDescent="0.3">
      <c r="A146">
        <v>144</v>
      </c>
      <c r="B146">
        <v>3860</v>
      </c>
      <c r="C146" t="b">
        <v>1</v>
      </c>
      <c r="D146">
        <v>8048</v>
      </c>
      <c r="E146">
        <v>8105</v>
      </c>
      <c r="F146">
        <v>204.13333</v>
      </c>
      <c r="G146">
        <v>194.8</v>
      </c>
      <c r="H146">
        <v>1.0479124</v>
      </c>
      <c r="I146">
        <v>-4.7912362999999999E-2</v>
      </c>
      <c r="J146">
        <v>0.48830214</v>
      </c>
    </row>
    <row r="147" spans="1:10" x14ac:dyDescent="0.3">
      <c r="A147">
        <v>145</v>
      </c>
      <c r="B147">
        <v>3876</v>
      </c>
      <c r="C147" t="b">
        <v>1</v>
      </c>
      <c r="D147">
        <v>8048</v>
      </c>
      <c r="E147">
        <v>8099</v>
      </c>
      <c r="F147">
        <v>204.86667</v>
      </c>
      <c r="G147">
        <v>194.8</v>
      </c>
      <c r="H147">
        <v>1.0516768999999999</v>
      </c>
      <c r="I147">
        <v>-5.1676930000000003E-2</v>
      </c>
      <c r="J147">
        <v>0.48740615999999998</v>
      </c>
    </row>
    <row r="148" spans="1:10" x14ac:dyDescent="0.3">
      <c r="A148">
        <v>146</v>
      </c>
      <c r="B148">
        <v>3892</v>
      </c>
      <c r="C148" t="b">
        <v>1</v>
      </c>
      <c r="D148">
        <v>8042</v>
      </c>
      <c r="E148">
        <v>8099</v>
      </c>
      <c r="F148">
        <v>205.6</v>
      </c>
      <c r="G148">
        <v>194.8</v>
      </c>
      <c r="H148">
        <v>1.0554414999999999</v>
      </c>
      <c r="I148">
        <v>-5.5441495E-2</v>
      </c>
      <c r="J148">
        <v>0.48651347</v>
      </c>
    </row>
    <row r="149" spans="1:10" x14ac:dyDescent="0.3">
      <c r="A149">
        <v>147</v>
      </c>
      <c r="B149">
        <v>3908</v>
      </c>
      <c r="C149" t="b">
        <v>1</v>
      </c>
      <c r="D149">
        <v>8023</v>
      </c>
      <c r="E149">
        <v>8105</v>
      </c>
      <c r="F149">
        <v>206.4</v>
      </c>
      <c r="G149">
        <v>194.8</v>
      </c>
      <c r="H149">
        <v>1.0595483000000001</v>
      </c>
      <c r="I149">
        <v>-5.9548206999999999E-2</v>
      </c>
      <c r="J149">
        <v>0.48554336999999997</v>
      </c>
    </row>
    <row r="150" spans="1:10" x14ac:dyDescent="0.3">
      <c r="A150">
        <v>148</v>
      </c>
      <c r="B150">
        <v>3924</v>
      </c>
      <c r="C150" t="b">
        <v>1</v>
      </c>
      <c r="D150">
        <v>8030</v>
      </c>
      <c r="E150">
        <v>8093</v>
      </c>
      <c r="F150">
        <v>207.2</v>
      </c>
      <c r="G150">
        <v>194</v>
      </c>
      <c r="H150">
        <v>1.0680411999999999</v>
      </c>
      <c r="I150">
        <v>-6.8041219999999999E-2</v>
      </c>
      <c r="J150">
        <v>0.48354933</v>
      </c>
    </row>
    <row r="151" spans="1:10" x14ac:dyDescent="0.3">
      <c r="A151">
        <v>149</v>
      </c>
      <c r="B151">
        <v>3940</v>
      </c>
      <c r="C151" t="b">
        <v>1</v>
      </c>
      <c r="D151">
        <v>8037</v>
      </c>
      <c r="E151">
        <v>8093</v>
      </c>
      <c r="F151">
        <v>207.66667000000001</v>
      </c>
      <c r="G151">
        <v>193.2</v>
      </c>
      <c r="H151">
        <v>1.0748793000000001</v>
      </c>
      <c r="I151">
        <v>-7.4879273999999996E-2</v>
      </c>
      <c r="J151">
        <v>0.48195577000000001</v>
      </c>
    </row>
    <row r="152" spans="1:10" x14ac:dyDescent="0.3">
      <c r="A152">
        <v>150</v>
      </c>
      <c r="B152">
        <v>3955</v>
      </c>
      <c r="C152" t="b">
        <v>1</v>
      </c>
      <c r="D152">
        <v>8048</v>
      </c>
      <c r="E152">
        <v>8105</v>
      </c>
      <c r="F152">
        <v>208.13333</v>
      </c>
      <c r="G152">
        <v>192.4</v>
      </c>
      <c r="H152">
        <v>1.0817741000000001</v>
      </c>
      <c r="I152">
        <v>-8.1774109999999997E-2</v>
      </c>
      <c r="J152">
        <v>0.48035951999999998</v>
      </c>
    </row>
    <row r="153" spans="1:10" x14ac:dyDescent="0.3">
      <c r="A153">
        <v>151</v>
      </c>
      <c r="B153">
        <v>3971</v>
      </c>
      <c r="C153" t="b">
        <v>1</v>
      </c>
      <c r="D153">
        <v>8054</v>
      </c>
      <c r="E153">
        <v>8099</v>
      </c>
      <c r="F153">
        <v>207.8</v>
      </c>
      <c r="G153">
        <v>190.4</v>
      </c>
      <c r="H153">
        <v>1.0913866000000001</v>
      </c>
      <c r="I153">
        <v>-9.1386609999999993E-2</v>
      </c>
      <c r="J153">
        <v>0.47815164999999998</v>
      </c>
    </row>
    <row r="154" spans="1:10" x14ac:dyDescent="0.3">
      <c r="A154">
        <v>152</v>
      </c>
      <c r="B154">
        <v>4004</v>
      </c>
      <c r="C154" t="b">
        <v>1</v>
      </c>
      <c r="D154">
        <v>8054</v>
      </c>
      <c r="E154">
        <v>8111</v>
      </c>
      <c r="F154">
        <v>207.8</v>
      </c>
      <c r="G154">
        <v>188.4</v>
      </c>
      <c r="H154">
        <v>1.1029724999999999</v>
      </c>
      <c r="I154">
        <v>-0.10297244999999999</v>
      </c>
      <c r="J154">
        <v>0.47551739999999998</v>
      </c>
    </row>
    <row r="155" spans="1:10" x14ac:dyDescent="0.3">
      <c r="A155">
        <v>153</v>
      </c>
      <c r="B155">
        <v>4034</v>
      </c>
      <c r="C155" t="b">
        <v>1</v>
      </c>
      <c r="D155">
        <v>8060</v>
      </c>
      <c r="E155">
        <v>8099</v>
      </c>
      <c r="F155">
        <v>207.8</v>
      </c>
      <c r="G155">
        <v>186.4</v>
      </c>
      <c r="H155">
        <v>1.1148069</v>
      </c>
      <c r="I155">
        <v>-0.11480692000000001</v>
      </c>
      <c r="J155">
        <v>0.47285640000000001</v>
      </c>
    </row>
    <row r="156" spans="1:10" x14ac:dyDescent="0.3">
      <c r="A156">
        <v>154</v>
      </c>
      <c r="B156">
        <v>4050</v>
      </c>
      <c r="C156" t="b">
        <v>1</v>
      </c>
      <c r="D156">
        <v>8042</v>
      </c>
      <c r="E156">
        <v>8105</v>
      </c>
      <c r="F156">
        <v>207.8</v>
      </c>
      <c r="G156">
        <v>185.6</v>
      </c>
      <c r="H156">
        <v>1.1196121000000001</v>
      </c>
      <c r="I156">
        <v>-0.119612046</v>
      </c>
      <c r="J156">
        <v>0.47178444000000003</v>
      </c>
    </row>
    <row r="157" spans="1:10" x14ac:dyDescent="0.3">
      <c r="A157">
        <v>155</v>
      </c>
      <c r="B157">
        <v>4082</v>
      </c>
      <c r="C157" t="b">
        <v>1</v>
      </c>
      <c r="D157">
        <v>8037</v>
      </c>
      <c r="E157">
        <v>8117</v>
      </c>
      <c r="F157">
        <v>207.8</v>
      </c>
      <c r="G157">
        <v>185.6</v>
      </c>
      <c r="H157">
        <v>1.1196121000000001</v>
      </c>
      <c r="I157">
        <v>-0.119612046</v>
      </c>
      <c r="J157">
        <v>0.47178444000000003</v>
      </c>
    </row>
    <row r="158" spans="1:10" x14ac:dyDescent="0.3">
      <c r="A158">
        <v>156</v>
      </c>
      <c r="B158">
        <v>4114</v>
      </c>
      <c r="C158" t="b">
        <v>1</v>
      </c>
      <c r="D158">
        <v>8037</v>
      </c>
      <c r="E158">
        <v>8099</v>
      </c>
      <c r="F158">
        <v>207</v>
      </c>
      <c r="G158">
        <v>185.6</v>
      </c>
      <c r="H158">
        <v>1.1153017000000001</v>
      </c>
      <c r="I158">
        <v>-0.11530169</v>
      </c>
      <c r="J158">
        <v>0.47274579999999999</v>
      </c>
    </row>
    <row r="159" spans="1:10" x14ac:dyDescent="0.3">
      <c r="A159">
        <v>157</v>
      </c>
      <c r="B159">
        <v>4146</v>
      </c>
      <c r="C159" t="b">
        <v>1</v>
      </c>
      <c r="D159">
        <v>8030</v>
      </c>
      <c r="E159">
        <v>8111</v>
      </c>
      <c r="F159">
        <v>205.86667</v>
      </c>
      <c r="G159">
        <v>185.6</v>
      </c>
      <c r="H159">
        <v>1.1091953999999999</v>
      </c>
      <c r="I159">
        <v>-0.109195374</v>
      </c>
      <c r="J159">
        <v>0.47411445000000002</v>
      </c>
    </row>
    <row r="160" spans="1:10" x14ac:dyDescent="0.3">
      <c r="A160">
        <v>158</v>
      </c>
      <c r="B160">
        <v>4162</v>
      </c>
      <c r="C160" t="b">
        <v>1</v>
      </c>
      <c r="D160">
        <v>8054</v>
      </c>
      <c r="E160">
        <v>8087</v>
      </c>
      <c r="F160">
        <v>204.73334</v>
      </c>
      <c r="G160">
        <v>186</v>
      </c>
      <c r="H160">
        <v>1.1007168000000001</v>
      </c>
      <c r="I160">
        <v>-0.10071687</v>
      </c>
      <c r="J160">
        <v>0.47602797000000002</v>
      </c>
    </row>
    <row r="161" spans="1:10" x14ac:dyDescent="0.3">
      <c r="A161">
        <v>159</v>
      </c>
      <c r="B161">
        <v>4194</v>
      </c>
      <c r="C161" t="b">
        <v>1</v>
      </c>
      <c r="D161">
        <v>8048</v>
      </c>
      <c r="E161">
        <v>8117</v>
      </c>
      <c r="F161">
        <v>203.6</v>
      </c>
      <c r="G161">
        <v>186.8</v>
      </c>
      <c r="H161">
        <v>1.0899357999999999</v>
      </c>
      <c r="I161">
        <v>-8.9935769999999998E-2</v>
      </c>
      <c r="J161">
        <v>0.47848360000000001</v>
      </c>
    </row>
    <row r="162" spans="1:10" x14ac:dyDescent="0.3">
      <c r="A162">
        <v>160</v>
      </c>
      <c r="B162">
        <v>4226</v>
      </c>
      <c r="C162" t="b">
        <v>1</v>
      </c>
      <c r="D162">
        <v>8037</v>
      </c>
      <c r="E162">
        <v>8105</v>
      </c>
      <c r="F162">
        <v>202.86667</v>
      </c>
      <c r="G162">
        <v>187.2</v>
      </c>
      <c r="H162">
        <v>1.0836895</v>
      </c>
      <c r="I162">
        <v>-8.3689490000000005E-2</v>
      </c>
      <c r="J162">
        <v>0.47991797000000003</v>
      </c>
    </row>
    <row r="163" spans="1:10" x14ac:dyDescent="0.3">
      <c r="A163">
        <v>161</v>
      </c>
      <c r="B163">
        <v>4258</v>
      </c>
      <c r="C163" t="b">
        <v>1</v>
      </c>
      <c r="D163">
        <v>8054</v>
      </c>
      <c r="E163">
        <v>8099</v>
      </c>
      <c r="F163">
        <v>202.86667</v>
      </c>
      <c r="G163">
        <v>187.6</v>
      </c>
      <c r="H163">
        <v>1.0813788</v>
      </c>
      <c r="I163">
        <v>-8.1378795000000004E-2</v>
      </c>
      <c r="J163">
        <v>0.48045074999999998</v>
      </c>
    </row>
    <row r="164" spans="1:10" x14ac:dyDescent="0.3">
      <c r="A164">
        <v>162</v>
      </c>
      <c r="B164">
        <v>4289</v>
      </c>
      <c r="C164" t="b">
        <v>1</v>
      </c>
      <c r="D164">
        <v>8048</v>
      </c>
      <c r="E164">
        <v>8105</v>
      </c>
      <c r="F164">
        <v>203.26666</v>
      </c>
      <c r="G164">
        <v>188</v>
      </c>
      <c r="H164">
        <v>1.0812056000000001</v>
      </c>
      <c r="I164">
        <v>-8.1205650000000004E-2</v>
      </c>
      <c r="J164">
        <v>0.48049069999999999</v>
      </c>
    </row>
    <row r="165" spans="1:10" x14ac:dyDescent="0.3">
      <c r="A165">
        <v>163</v>
      </c>
      <c r="B165">
        <v>4321</v>
      </c>
      <c r="C165" t="b">
        <v>1</v>
      </c>
      <c r="D165">
        <v>8054</v>
      </c>
      <c r="E165">
        <v>8134</v>
      </c>
      <c r="F165">
        <v>203.66667000000001</v>
      </c>
      <c r="G165">
        <v>188.4</v>
      </c>
      <c r="H165">
        <v>1.0810333000000001</v>
      </c>
      <c r="I165">
        <v>-8.1033330000000001E-2</v>
      </c>
      <c r="J165">
        <v>0.48053053000000001</v>
      </c>
    </row>
    <row r="166" spans="1:10" x14ac:dyDescent="0.3">
      <c r="A166">
        <v>164</v>
      </c>
      <c r="B166">
        <v>4337</v>
      </c>
      <c r="C166" t="b">
        <v>1</v>
      </c>
      <c r="D166">
        <v>8054</v>
      </c>
      <c r="E166">
        <v>8105</v>
      </c>
      <c r="F166">
        <v>204.8</v>
      </c>
      <c r="G166">
        <v>188.8</v>
      </c>
      <c r="H166">
        <v>1.0847458000000001</v>
      </c>
      <c r="I166">
        <v>-8.4745765000000001E-2</v>
      </c>
      <c r="J166">
        <v>0.47967480000000001</v>
      </c>
    </row>
    <row r="167" spans="1:10" x14ac:dyDescent="0.3">
      <c r="A167">
        <v>165</v>
      </c>
      <c r="B167">
        <v>4369</v>
      </c>
      <c r="C167" t="b">
        <v>1</v>
      </c>
      <c r="D167">
        <v>8042</v>
      </c>
      <c r="E167">
        <v>8123</v>
      </c>
      <c r="F167">
        <v>205.93333000000001</v>
      </c>
      <c r="G167">
        <v>189.2</v>
      </c>
      <c r="H167">
        <v>1.0884426</v>
      </c>
      <c r="I167">
        <v>-8.8442590000000001E-2</v>
      </c>
      <c r="J167">
        <v>0.47882572000000001</v>
      </c>
    </row>
    <row r="168" spans="1:10" x14ac:dyDescent="0.3">
      <c r="A168">
        <v>166</v>
      </c>
      <c r="B168">
        <v>4402</v>
      </c>
      <c r="C168" t="b">
        <v>1</v>
      </c>
      <c r="D168">
        <v>8060</v>
      </c>
      <c r="E168">
        <v>8134</v>
      </c>
      <c r="F168">
        <v>207.06666999999999</v>
      </c>
      <c r="G168">
        <v>190.8</v>
      </c>
      <c r="H168">
        <v>1.0852550000000001</v>
      </c>
      <c r="I168">
        <v>-8.5255040000000004E-2</v>
      </c>
      <c r="J168">
        <v>0.47955763000000001</v>
      </c>
    </row>
    <row r="169" spans="1:10" x14ac:dyDescent="0.3">
      <c r="A169">
        <v>167</v>
      </c>
      <c r="B169">
        <v>4433</v>
      </c>
      <c r="C169" t="b">
        <v>1</v>
      </c>
      <c r="D169">
        <v>8048</v>
      </c>
      <c r="E169">
        <v>8117</v>
      </c>
      <c r="F169">
        <v>207.46665999999999</v>
      </c>
      <c r="G169">
        <v>192.4</v>
      </c>
      <c r="H169">
        <v>1.078309</v>
      </c>
      <c r="I169">
        <v>-7.8309074000000006E-2</v>
      </c>
      <c r="J169">
        <v>0.48116039999999999</v>
      </c>
    </row>
    <row r="170" spans="1:10" x14ac:dyDescent="0.3">
      <c r="A170">
        <v>168</v>
      </c>
      <c r="B170">
        <v>4465</v>
      </c>
      <c r="C170" t="b">
        <v>1</v>
      </c>
      <c r="D170">
        <v>8042</v>
      </c>
      <c r="E170">
        <v>8087</v>
      </c>
      <c r="F170">
        <v>207.06666999999999</v>
      </c>
      <c r="G170">
        <v>193.6</v>
      </c>
      <c r="H170">
        <v>1.0695592</v>
      </c>
      <c r="I170">
        <v>-6.9559190000000007E-2</v>
      </c>
      <c r="J170">
        <v>0.48319467999999999</v>
      </c>
    </row>
    <row r="171" spans="1:10" x14ac:dyDescent="0.3">
      <c r="A171">
        <v>169</v>
      </c>
      <c r="B171">
        <v>4497</v>
      </c>
      <c r="C171" t="b">
        <v>1</v>
      </c>
      <c r="D171">
        <v>8048</v>
      </c>
      <c r="E171">
        <v>8099</v>
      </c>
      <c r="F171">
        <v>206.66667000000001</v>
      </c>
      <c r="G171">
        <v>194.4</v>
      </c>
      <c r="H171">
        <v>1.0631002000000001</v>
      </c>
      <c r="I171">
        <v>-6.3100199999999995E-2</v>
      </c>
      <c r="J171">
        <v>0.48470743999999999</v>
      </c>
    </row>
    <row r="172" spans="1:10" x14ac:dyDescent="0.3">
      <c r="A172">
        <v>170</v>
      </c>
      <c r="B172">
        <v>4528</v>
      </c>
      <c r="C172" t="b">
        <v>1</v>
      </c>
      <c r="D172">
        <v>8042</v>
      </c>
      <c r="E172">
        <v>8129</v>
      </c>
      <c r="F172">
        <v>206.26666</v>
      </c>
      <c r="G172">
        <v>195.2</v>
      </c>
      <c r="H172">
        <v>1.056694</v>
      </c>
      <c r="I172">
        <v>-5.6693986000000002E-2</v>
      </c>
      <c r="J172">
        <v>0.48621720000000002</v>
      </c>
    </row>
    <row r="173" spans="1:10" x14ac:dyDescent="0.3">
      <c r="A173">
        <v>171</v>
      </c>
      <c r="B173">
        <v>4560</v>
      </c>
      <c r="C173" t="b">
        <v>1</v>
      </c>
      <c r="D173">
        <v>8042</v>
      </c>
      <c r="E173">
        <v>8105</v>
      </c>
      <c r="F173">
        <v>206.26666</v>
      </c>
      <c r="G173">
        <v>195.2</v>
      </c>
      <c r="H173">
        <v>1.056694</v>
      </c>
      <c r="I173">
        <v>-5.6693986000000002E-2</v>
      </c>
      <c r="J173">
        <v>0.48621720000000002</v>
      </c>
    </row>
    <row r="174" spans="1:10" x14ac:dyDescent="0.3">
      <c r="A174">
        <v>172</v>
      </c>
      <c r="B174">
        <v>4576</v>
      </c>
      <c r="C174" t="b">
        <v>1</v>
      </c>
      <c r="D174">
        <v>8042</v>
      </c>
      <c r="E174">
        <v>8134</v>
      </c>
      <c r="F174">
        <v>206.6</v>
      </c>
      <c r="G174">
        <v>195.2</v>
      </c>
      <c r="H174">
        <v>1.0584016999999999</v>
      </c>
      <c r="I174">
        <v>-5.8401689999999999E-2</v>
      </c>
      <c r="J174">
        <v>0.48581385999999999</v>
      </c>
    </row>
    <row r="175" spans="1:10" x14ac:dyDescent="0.3">
      <c r="A175">
        <v>173</v>
      </c>
      <c r="B175">
        <v>4592</v>
      </c>
      <c r="C175" t="b">
        <v>1</v>
      </c>
      <c r="D175">
        <v>8042</v>
      </c>
      <c r="E175">
        <v>8099</v>
      </c>
      <c r="F175">
        <v>206.93333000000001</v>
      </c>
      <c r="G175">
        <v>195.2</v>
      </c>
      <c r="H175">
        <v>1.0601092999999999</v>
      </c>
      <c r="I175">
        <v>-6.0109309999999999E-2</v>
      </c>
      <c r="J175">
        <v>0.48541114000000002</v>
      </c>
    </row>
    <row r="176" spans="1:10" x14ac:dyDescent="0.3">
      <c r="A176">
        <v>174</v>
      </c>
      <c r="B176">
        <v>4608</v>
      </c>
      <c r="C176" t="b">
        <v>1</v>
      </c>
      <c r="D176">
        <v>8048</v>
      </c>
      <c r="E176">
        <v>8134</v>
      </c>
      <c r="F176">
        <v>207.26666</v>
      </c>
      <c r="G176">
        <v>196.4</v>
      </c>
      <c r="H176">
        <v>1.0553292999999999</v>
      </c>
      <c r="I176">
        <v>-5.532927E-2</v>
      </c>
      <c r="J176">
        <v>0.48654005</v>
      </c>
    </row>
    <row r="177" spans="1:10" x14ac:dyDescent="0.3">
      <c r="A177">
        <v>175</v>
      </c>
      <c r="B177">
        <v>4624</v>
      </c>
      <c r="C177" t="b">
        <v>1</v>
      </c>
      <c r="D177">
        <v>8042</v>
      </c>
      <c r="E177">
        <v>8099</v>
      </c>
      <c r="F177">
        <v>207.6</v>
      </c>
      <c r="G177">
        <v>196.4</v>
      </c>
      <c r="H177">
        <v>1.0570265000000001</v>
      </c>
      <c r="I177">
        <v>-5.7026540000000001E-2</v>
      </c>
      <c r="J177">
        <v>0.48613859999999998</v>
      </c>
    </row>
    <row r="178" spans="1:10" x14ac:dyDescent="0.3">
      <c r="A178">
        <v>176</v>
      </c>
      <c r="B178">
        <v>4640</v>
      </c>
      <c r="C178" t="b">
        <v>1</v>
      </c>
      <c r="D178">
        <v>8054</v>
      </c>
      <c r="E178">
        <v>8105</v>
      </c>
      <c r="F178">
        <v>207.2</v>
      </c>
      <c r="G178">
        <v>196.4</v>
      </c>
      <c r="H178">
        <v>1.0549898</v>
      </c>
      <c r="I178">
        <v>-5.4989833000000002E-2</v>
      </c>
      <c r="J178">
        <v>0.48662042999999999</v>
      </c>
    </row>
    <row r="179" spans="1:10" x14ac:dyDescent="0.3">
      <c r="A179">
        <v>177</v>
      </c>
      <c r="B179">
        <v>4656</v>
      </c>
      <c r="C179" t="b">
        <v>1</v>
      </c>
      <c r="D179">
        <v>8023</v>
      </c>
      <c r="E179">
        <v>8099</v>
      </c>
      <c r="F179">
        <v>206.8</v>
      </c>
      <c r="G179">
        <v>196</v>
      </c>
      <c r="H179">
        <v>1.0551021</v>
      </c>
      <c r="I179">
        <v>-5.5102058000000002E-2</v>
      </c>
      <c r="J179">
        <v>0.48659386999999998</v>
      </c>
    </row>
    <row r="180" spans="1:10" x14ac:dyDescent="0.3">
      <c r="A180">
        <v>178</v>
      </c>
      <c r="B180">
        <v>4671</v>
      </c>
      <c r="C180" t="b">
        <v>1</v>
      </c>
      <c r="D180">
        <v>8037</v>
      </c>
      <c r="E180">
        <v>8105</v>
      </c>
      <c r="F180">
        <v>206.4</v>
      </c>
      <c r="G180">
        <v>196</v>
      </c>
      <c r="H180">
        <v>1.0530611999999999</v>
      </c>
      <c r="I180">
        <v>-5.3061194999999999E-2</v>
      </c>
      <c r="J180">
        <v>0.48707752999999998</v>
      </c>
    </row>
    <row r="181" spans="1:10" x14ac:dyDescent="0.3">
      <c r="A181">
        <v>179</v>
      </c>
      <c r="B181">
        <v>4687</v>
      </c>
      <c r="C181" t="b">
        <v>1</v>
      </c>
      <c r="D181">
        <v>8048</v>
      </c>
      <c r="E181">
        <v>8105</v>
      </c>
      <c r="F181">
        <v>205.6</v>
      </c>
      <c r="G181">
        <v>196</v>
      </c>
      <c r="H181">
        <v>1.0489796</v>
      </c>
      <c r="I181">
        <v>-4.8979620000000001E-2</v>
      </c>
      <c r="J181">
        <v>0.48804779999999998</v>
      </c>
    </row>
    <row r="182" spans="1:10" x14ac:dyDescent="0.3">
      <c r="A182">
        <v>180</v>
      </c>
      <c r="B182">
        <v>4703</v>
      </c>
      <c r="C182" t="b">
        <v>1</v>
      </c>
      <c r="D182">
        <v>8065</v>
      </c>
      <c r="E182">
        <v>8111</v>
      </c>
      <c r="F182">
        <v>205.2</v>
      </c>
      <c r="G182">
        <v>196</v>
      </c>
      <c r="H182">
        <v>1.0469387999999999</v>
      </c>
      <c r="I182">
        <v>-4.6938760000000003E-2</v>
      </c>
      <c r="J182">
        <v>0.48853439999999998</v>
      </c>
    </row>
    <row r="183" spans="1:10" x14ac:dyDescent="0.3">
      <c r="A183">
        <v>181</v>
      </c>
      <c r="B183">
        <v>4719</v>
      </c>
      <c r="C183" t="b">
        <v>1</v>
      </c>
      <c r="D183">
        <v>8042</v>
      </c>
      <c r="E183">
        <v>8087</v>
      </c>
      <c r="F183">
        <v>204.4</v>
      </c>
      <c r="G183">
        <v>194.8</v>
      </c>
      <c r="H183">
        <v>1.0492812</v>
      </c>
      <c r="I183">
        <v>-4.9281265999999997E-2</v>
      </c>
      <c r="J183">
        <v>0.48797595999999999</v>
      </c>
    </row>
    <row r="184" spans="1:10" x14ac:dyDescent="0.3">
      <c r="A184">
        <v>182</v>
      </c>
      <c r="B184">
        <v>4735</v>
      </c>
      <c r="C184" t="b">
        <v>1</v>
      </c>
      <c r="D184">
        <v>8060</v>
      </c>
      <c r="E184">
        <v>8105</v>
      </c>
      <c r="F184">
        <v>204</v>
      </c>
      <c r="G184">
        <v>193.6</v>
      </c>
      <c r="H184">
        <v>1.0537189</v>
      </c>
      <c r="I184">
        <v>-5.3718977000000001E-2</v>
      </c>
      <c r="J184">
        <v>0.48692154999999998</v>
      </c>
    </row>
    <row r="185" spans="1:10" x14ac:dyDescent="0.3">
      <c r="A185">
        <v>183</v>
      </c>
      <c r="B185">
        <v>4767</v>
      </c>
      <c r="C185" t="b">
        <v>1</v>
      </c>
      <c r="D185">
        <v>8054</v>
      </c>
      <c r="E185">
        <v>8111</v>
      </c>
      <c r="F185">
        <v>204.4</v>
      </c>
      <c r="G185">
        <v>192.8</v>
      </c>
      <c r="H185">
        <v>1.0601659000000001</v>
      </c>
      <c r="I185">
        <v>-6.0165927000000001E-2</v>
      </c>
      <c r="J185">
        <v>0.48539779999999999</v>
      </c>
    </row>
    <row r="186" spans="1:10" x14ac:dyDescent="0.3">
      <c r="A186">
        <v>184</v>
      </c>
      <c r="B186">
        <v>4783</v>
      </c>
      <c r="C186" t="b">
        <v>1</v>
      </c>
      <c r="D186">
        <v>8037</v>
      </c>
      <c r="E186">
        <v>8087</v>
      </c>
      <c r="F186">
        <v>204.8</v>
      </c>
      <c r="G186">
        <v>192</v>
      </c>
      <c r="H186">
        <v>1.0666667000000001</v>
      </c>
      <c r="I186">
        <v>-6.6666685000000003E-2</v>
      </c>
      <c r="J186">
        <v>0.48387098000000001</v>
      </c>
    </row>
    <row r="187" spans="1:10" x14ac:dyDescent="0.3">
      <c r="A187">
        <v>185</v>
      </c>
      <c r="B187">
        <v>4815</v>
      </c>
      <c r="C187" t="b">
        <v>1</v>
      </c>
      <c r="D187">
        <v>8042</v>
      </c>
      <c r="E187">
        <v>8093</v>
      </c>
      <c r="F187">
        <v>204.4</v>
      </c>
      <c r="G187">
        <v>190.4</v>
      </c>
      <c r="H187">
        <v>1.0735294</v>
      </c>
      <c r="I187">
        <v>-7.3529415000000001E-2</v>
      </c>
      <c r="J187">
        <v>0.48226950000000002</v>
      </c>
    </row>
    <row r="188" spans="1:10" x14ac:dyDescent="0.3">
      <c r="A188">
        <v>186</v>
      </c>
      <c r="B188">
        <v>4846</v>
      </c>
      <c r="C188" t="b">
        <v>1</v>
      </c>
      <c r="D188">
        <v>8023</v>
      </c>
      <c r="E188">
        <v>8105</v>
      </c>
      <c r="F188">
        <v>204.4</v>
      </c>
      <c r="G188">
        <v>190.4</v>
      </c>
      <c r="H188">
        <v>1.0735294</v>
      </c>
      <c r="I188">
        <v>-7.3529415000000001E-2</v>
      </c>
      <c r="J188">
        <v>0.48226950000000002</v>
      </c>
    </row>
    <row r="189" spans="1:10" x14ac:dyDescent="0.3">
      <c r="A189">
        <v>187</v>
      </c>
      <c r="B189">
        <v>4862</v>
      </c>
      <c r="C189" t="b">
        <v>1</v>
      </c>
      <c r="D189">
        <v>8037</v>
      </c>
      <c r="E189">
        <v>8123</v>
      </c>
      <c r="F189">
        <v>204.06666999999999</v>
      </c>
      <c r="G189">
        <v>190.4</v>
      </c>
      <c r="H189">
        <v>1.0717787999999999</v>
      </c>
      <c r="I189">
        <v>-7.1778739999999994E-2</v>
      </c>
      <c r="J189">
        <v>0.48267700000000002</v>
      </c>
    </row>
    <row r="190" spans="1:10" x14ac:dyDescent="0.3">
      <c r="A190">
        <v>188</v>
      </c>
      <c r="B190">
        <v>4878</v>
      </c>
      <c r="C190" t="b">
        <v>1</v>
      </c>
      <c r="D190">
        <v>8048</v>
      </c>
      <c r="E190">
        <v>8081</v>
      </c>
      <c r="F190">
        <v>203.73334</v>
      </c>
      <c r="G190">
        <v>189.6</v>
      </c>
      <c r="H190">
        <v>1.0745429</v>
      </c>
      <c r="I190">
        <v>-7.4542890000000001E-2</v>
      </c>
      <c r="J190">
        <v>0.48203390000000002</v>
      </c>
    </row>
    <row r="191" spans="1:10" x14ac:dyDescent="0.3">
      <c r="A191">
        <v>189</v>
      </c>
      <c r="B191">
        <v>4910</v>
      </c>
      <c r="C191" t="b">
        <v>1</v>
      </c>
      <c r="D191">
        <v>8037</v>
      </c>
      <c r="E191">
        <v>8123</v>
      </c>
      <c r="F191">
        <v>203.4</v>
      </c>
      <c r="G191">
        <v>188</v>
      </c>
      <c r="H191">
        <v>1.0819148999999999</v>
      </c>
      <c r="I191">
        <v>-8.1914864000000004E-2</v>
      </c>
      <c r="J191">
        <v>0.48032703999999998</v>
      </c>
    </row>
    <row r="192" spans="1:10" x14ac:dyDescent="0.3">
      <c r="A192">
        <v>190</v>
      </c>
      <c r="B192">
        <v>4925</v>
      </c>
      <c r="C192" t="b">
        <v>1</v>
      </c>
      <c r="D192">
        <v>8030</v>
      </c>
      <c r="E192">
        <v>8123</v>
      </c>
      <c r="F192">
        <v>203.06666999999999</v>
      </c>
      <c r="G192">
        <v>189.2</v>
      </c>
      <c r="H192">
        <v>1.0732911000000001</v>
      </c>
      <c r="I192">
        <v>-7.3291060000000005E-2</v>
      </c>
      <c r="J192">
        <v>0.48232496000000002</v>
      </c>
    </row>
    <row r="193" spans="1:10" x14ac:dyDescent="0.3">
      <c r="A193">
        <v>191</v>
      </c>
      <c r="B193">
        <v>4957</v>
      </c>
      <c r="C193" t="b">
        <v>1</v>
      </c>
      <c r="D193">
        <v>8060</v>
      </c>
      <c r="E193">
        <v>8117</v>
      </c>
      <c r="F193">
        <v>202.73334</v>
      </c>
      <c r="G193">
        <v>190.4</v>
      </c>
      <c r="H193">
        <v>1.0647759999999999</v>
      </c>
      <c r="I193">
        <v>-6.4775966000000004E-2</v>
      </c>
      <c r="J193">
        <v>0.48431405</v>
      </c>
    </row>
    <row r="194" spans="1:10" x14ac:dyDescent="0.3">
      <c r="A194">
        <v>192</v>
      </c>
      <c r="B194">
        <v>4973</v>
      </c>
      <c r="C194" t="b">
        <v>1</v>
      </c>
      <c r="D194">
        <v>8042</v>
      </c>
      <c r="E194">
        <v>8117</v>
      </c>
      <c r="F194">
        <v>202.73334</v>
      </c>
      <c r="G194">
        <v>191.6</v>
      </c>
      <c r="H194">
        <v>1.0581071</v>
      </c>
      <c r="I194">
        <v>-5.8107156E-2</v>
      </c>
      <c r="J194">
        <v>0.48588335999999999</v>
      </c>
    </row>
    <row r="195" spans="1:10" x14ac:dyDescent="0.3">
      <c r="A195">
        <v>193</v>
      </c>
      <c r="B195">
        <v>4989</v>
      </c>
      <c r="C195" t="b">
        <v>1</v>
      </c>
      <c r="D195">
        <v>8054</v>
      </c>
      <c r="E195">
        <v>8117</v>
      </c>
      <c r="F195">
        <v>202.73334</v>
      </c>
      <c r="G195">
        <v>192.4</v>
      </c>
      <c r="H195">
        <v>1.0537076000000001</v>
      </c>
      <c r="I195">
        <v>-5.3707606999999997E-2</v>
      </c>
      <c r="J195">
        <v>0.48692423000000001</v>
      </c>
    </row>
    <row r="196" spans="1:10" x14ac:dyDescent="0.3">
      <c r="A196">
        <v>194</v>
      </c>
      <c r="B196">
        <v>5005</v>
      </c>
      <c r="C196" t="b">
        <v>1</v>
      </c>
      <c r="D196">
        <v>8030</v>
      </c>
      <c r="E196">
        <v>8117</v>
      </c>
      <c r="F196">
        <v>202.73334</v>
      </c>
      <c r="G196">
        <v>193.2</v>
      </c>
      <c r="H196">
        <v>1.0493444000000001</v>
      </c>
      <c r="I196">
        <v>-4.9344412999999997E-2</v>
      </c>
      <c r="J196">
        <v>0.48796089999999998</v>
      </c>
    </row>
    <row r="197" spans="1:10" x14ac:dyDescent="0.3">
      <c r="A197">
        <v>195</v>
      </c>
      <c r="B197">
        <v>5021</v>
      </c>
      <c r="C197" t="b">
        <v>1</v>
      </c>
      <c r="D197">
        <v>8054</v>
      </c>
      <c r="E197">
        <v>8111</v>
      </c>
      <c r="F197">
        <v>203.13333</v>
      </c>
      <c r="G197">
        <v>194</v>
      </c>
      <c r="H197">
        <v>1.0470790999999999</v>
      </c>
      <c r="I197">
        <v>-4.7079027000000002E-2</v>
      </c>
      <c r="J197">
        <v>0.48850092000000001</v>
      </c>
    </row>
    <row r="198" spans="1:10" x14ac:dyDescent="0.3">
      <c r="A198">
        <v>196</v>
      </c>
      <c r="B198">
        <v>5053</v>
      </c>
      <c r="C198" t="b">
        <v>1</v>
      </c>
      <c r="D198">
        <v>8060</v>
      </c>
      <c r="E198">
        <v>8140</v>
      </c>
      <c r="F198">
        <v>203.93333000000001</v>
      </c>
      <c r="G198">
        <v>194.8</v>
      </c>
      <c r="H198">
        <v>1.0468857</v>
      </c>
      <c r="I198">
        <v>-4.6885683999999997E-2</v>
      </c>
      <c r="J198">
        <v>0.48854705999999998</v>
      </c>
    </row>
    <row r="199" spans="1:10" x14ac:dyDescent="0.3">
      <c r="A199">
        <v>197</v>
      </c>
      <c r="B199">
        <v>5069</v>
      </c>
      <c r="C199" t="b">
        <v>1</v>
      </c>
      <c r="D199">
        <v>8042</v>
      </c>
      <c r="E199">
        <v>8105</v>
      </c>
      <c r="F199">
        <v>204.33332999999999</v>
      </c>
      <c r="G199">
        <v>195.6</v>
      </c>
      <c r="H199">
        <v>1.0446489000000001</v>
      </c>
      <c r="I199">
        <v>-4.4648885999999999E-2</v>
      </c>
      <c r="J199">
        <v>0.4890815</v>
      </c>
    </row>
    <row r="200" spans="1:10" x14ac:dyDescent="0.3">
      <c r="A200">
        <v>198</v>
      </c>
      <c r="B200">
        <v>5085</v>
      </c>
      <c r="C200" t="b">
        <v>1</v>
      </c>
      <c r="D200">
        <v>8065</v>
      </c>
      <c r="E200">
        <v>8099</v>
      </c>
      <c r="F200">
        <v>204.33332999999999</v>
      </c>
      <c r="G200">
        <v>196</v>
      </c>
      <c r="H200">
        <v>1.0425169999999999</v>
      </c>
      <c r="I200">
        <v>-4.2516980000000003E-2</v>
      </c>
      <c r="J200">
        <v>0.48959205</v>
      </c>
    </row>
    <row r="201" spans="1:10" x14ac:dyDescent="0.3">
      <c r="A201">
        <v>199</v>
      </c>
      <c r="B201">
        <v>5117</v>
      </c>
      <c r="C201" t="b">
        <v>1</v>
      </c>
      <c r="D201">
        <v>8030</v>
      </c>
      <c r="E201">
        <v>8099</v>
      </c>
      <c r="F201">
        <v>204.33332999999999</v>
      </c>
      <c r="G201">
        <v>196</v>
      </c>
      <c r="H201">
        <v>1.0425169999999999</v>
      </c>
      <c r="I201">
        <v>-4.2516980000000003E-2</v>
      </c>
      <c r="J201">
        <v>0.48959205</v>
      </c>
    </row>
    <row r="202" spans="1:10" x14ac:dyDescent="0.3">
      <c r="A202">
        <v>200</v>
      </c>
      <c r="B202">
        <v>5133</v>
      </c>
      <c r="C202" t="b">
        <v>1</v>
      </c>
      <c r="D202">
        <v>8030</v>
      </c>
      <c r="E202">
        <v>8111</v>
      </c>
      <c r="F202">
        <v>204.33332999999999</v>
      </c>
      <c r="G202">
        <v>196.8</v>
      </c>
      <c r="H202">
        <v>1.038279</v>
      </c>
      <c r="I202">
        <v>-3.8279090000000002E-2</v>
      </c>
      <c r="J202">
        <v>0.49060994000000002</v>
      </c>
    </row>
    <row r="203" spans="1:10" x14ac:dyDescent="0.3">
      <c r="A203">
        <v>201</v>
      </c>
      <c r="B203">
        <v>5149</v>
      </c>
      <c r="C203" t="b">
        <v>1</v>
      </c>
      <c r="D203">
        <v>8042</v>
      </c>
      <c r="E203">
        <v>8099</v>
      </c>
      <c r="F203">
        <v>204.33332999999999</v>
      </c>
      <c r="G203">
        <v>196.4</v>
      </c>
      <c r="H203">
        <v>1.0403937000000001</v>
      </c>
      <c r="I203">
        <v>-4.0393762E-2</v>
      </c>
      <c r="J203">
        <v>0.49010145999999999</v>
      </c>
    </row>
    <row r="204" spans="1:10" x14ac:dyDescent="0.3">
      <c r="A204">
        <v>202</v>
      </c>
      <c r="B204">
        <v>5165</v>
      </c>
      <c r="C204" t="b">
        <v>1</v>
      </c>
      <c r="D204">
        <v>8042</v>
      </c>
      <c r="E204">
        <v>8117</v>
      </c>
      <c r="F204">
        <v>204.66667000000001</v>
      </c>
      <c r="G204">
        <v>196</v>
      </c>
      <c r="H204">
        <v>1.0442176999999999</v>
      </c>
      <c r="I204">
        <v>-4.4217712999999999E-2</v>
      </c>
      <c r="J204">
        <v>0.48918467999999998</v>
      </c>
    </row>
    <row r="205" spans="1:10" x14ac:dyDescent="0.3">
      <c r="A205">
        <v>203</v>
      </c>
      <c r="B205">
        <v>5197</v>
      </c>
      <c r="C205" t="b">
        <v>1</v>
      </c>
      <c r="D205">
        <v>8042</v>
      </c>
      <c r="E205">
        <v>8099</v>
      </c>
      <c r="F205">
        <v>205</v>
      </c>
      <c r="G205">
        <v>196.4</v>
      </c>
      <c r="H205">
        <v>1.0437882000000001</v>
      </c>
      <c r="I205">
        <v>-4.3788220000000003E-2</v>
      </c>
      <c r="J205">
        <v>0.48928749999999999</v>
      </c>
    </row>
    <row r="206" spans="1:10" x14ac:dyDescent="0.3">
      <c r="A206">
        <v>204</v>
      </c>
      <c r="B206">
        <v>5228</v>
      </c>
      <c r="C206" t="b">
        <v>1</v>
      </c>
      <c r="D206">
        <v>8037</v>
      </c>
      <c r="E206">
        <v>8111</v>
      </c>
      <c r="F206">
        <v>205.33332999999999</v>
      </c>
      <c r="G206">
        <v>196.8</v>
      </c>
      <c r="H206">
        <v>1.0433604000000001</v>
      </c>
      <c r="I206">
        <v>-4.3360389999999999E-2</v>
      </c>
      <c r="J206">
        <v>0.48938992999999997</v>
      </c>
    </row>
    <row r="207" spans="1:10" x14ac:dyDescent="0.3">
      <c r="A207">
        <v>205</v>
      </c>
      <c r="B207">
        <v>5259</v>
      </c>
      <c r="C207" t="b">
        <v>1</v>
      </c>
      <c r="D207">
        <v>8042</v>
      </c>
      <c r="E207">
        <v>8093</v>
      </c>
      <c r="F207">
        <v>205.66667000000001</v>
      </c>
      <c r="G207">
        <v>195.2</v>
      </c>
      <c r="H207">
        <v>1.0536201999999999</v>
      </c>
      <c r="I207">
        <v>-5.3620260000000003E-2</v>
      </c>
      <c r="J207">
        <v>0.48694493999999999</v>
      </c>
    </row>
    <row r="208" spans="1:10" x14ac:dyDescent="0.3">
      <c r="A208">
        <v>206</v>
      </c>
      <c r="B208">
        <v>5275</v>
      </c>
      <c r="C208" t="b">
        <v>1</v>
      </c>
      <c r="D208">
        <v>8042</v>
      </c>
      <c r="E208">
        <v>8117</v>
      </c>
      <c r="F208">
        <v>206</v>
      </c>
      <c r="G208">
        <v>194.4</v>
      </c>
      <c r="H208">
        <v>1.0596707999999999</v>
      </c>
      <c r="I208">
        <v>-5.9670813000000003E-2</v>
      </c>
      <c r="J208">
        <v>0.48551450000000002</v>
      </c>
    </row>
    <row r="209" spans="1:10" x14ac:dyDescent="0.3">
      <c r="A209">
        <v>207</v>
      </c>
      <c r="B209">
        <v>5291</v>
      </c>
      <c r="C209" t="b">
        <v>1</v>
      </c>
      <c r="D209">
        <v>8023</v>
      </c>
      <c r="E209">
        <v>8105</v>
      </c>
      <c r="F209">
        <v>206</v>
      </c>
      <c r="G209">
        <v>193.6</v>
      </c>
      <c r="H209">
        <v>1.0640495999999999</v>
      </c>
      <c r="I209">
        <v>-6.4049560000000005E-2</v>
      </c>
      <c r="J209">
        <v>0.48448449999999998</v>
      </c>
    </row>
    <row r="210" spans="1:10" x14ac:dyDescent="0.3">
      <c r="A210">
        <v>208</v>
      </c>
      <c r="B210">
        <v>5307</v>
      </c>
      <c r="C210" t="b">
        <v>1</v>
      </c>
      <c r="D210">
        <v>8023</v>
      </c>
      <c r="E210">
        <v>8105</v>
      </c>
      <c r="F210">
        <v>205.66667000000001</v>
      </c>
      <c r="G210">
        <v>192.8</v>
      </c>
      <c r="H210">
        <v>1.0667359000000001</v>
      </c>
      <c r="I210">
        <v>-6.6735833999999994E-2</v>
      </c>
      <c r="J210">
        <v>0.48385476999999999</v>
      </c>
    </row>
    <row r="211" spans="1:10" x14ac:dyDescent="0.3">
      <c r="A211">
        <v>209</v>
      </c>
      <c r="B211">
        <v>5323</v>
      </c>
      <c r="C211" t="b">
        <v>1</v>
      </c>
      <c r="D211">
        <v>8054</v>
      </c>
      <c r="E211">
        <v>8105</v>
      </c>
      <c r="F211">
        <v>205.66667000000001</v>
      </c>
      <c r="G211">
        <v>192</v>
      </c>
      <c r="H211">
        <v>1.0711805999999999</v>
      </c>
      <c r="I211">
        <v>-7.1180579999999993E-2</v>
      </c>
      <c r="J211">
        <v>0.48281639999999998</v>
      </c>
    </row>
    <row r="212" spans="1:10" x14ac:dyDescent="0.3">
      <c r="A212">
        <v>210</v>
      </c>
      <c r="B212">
        <v>5354</v>
      </c>
      <c r="C212" t="b">
        <v>1</v>
      </c>
      <c r="D212">
        <v>8042</v>
      </c>
      <c r="E212">
        <v>8105</v>
      </c>
      <c r="F212">
        <v>204.86667</v>
      </c>
      <c r="G212">
        <v>191.2</v>
      </c>
      <c r="H212">
        <v>1.0714783999999999</v>
      </c>
      <c r="I212">
        <v>-7.1478410000000006E-2</v>
      </c>
      <c r="J212">
        <v>0.48274702000000003</v>
      </c>
    </row>
    <row r="213" spans="1:10" x14ac:dyDescent="0.3">
      <c r="A213">
        <v>211</v>
      </c>
      <c r="B213">
        <v>5370</v>
      </c>
      <c r="C213" t="b">
        <v>1</v>
      </c>
      <c r="D213">
        <v>8037</v>
      </c>
      <c r="E213">
        <v>8105</v>
      </c>
      <c r="F213">
        <v>203.73334</v>
      </c>
      <c r="G213">
        <v>190.4</v>
      </c>
      <c r="H213">
        <v>1.0700281</v>
      </c>
      <c r="I213">
        <v>-7.0028069999999998E-2</v>
      </c>
      <c r="J213">
        <v>0.48308524000000003</v>
      </c>
    </row>
    <row r="214" spans="1:10" x14ac:dyDescent="0.3">
      <c r="A214">
        <v>212</v>
      </c>
      <c r="B214">
        <v>5403</v>
      </c>
      <c r="C214" t="b">
        <v>1</v>
      </c>
      <c r="D214">
        <v>8054</v>
      </c>
      <c r="E214">
        <v>8105</v>
      </c>
      <c r="F214">
        <v>202.93333000000001</v>
      </c>
      <c r="G214">
        <v>189.6</v>
      </c>
      <c r="H214">
        <v>1.0703235</v>
      </c>
      <c r="I214">
        <v>-7.0323460000000004E-2</v>
      </c>
      <c r="J214">
        <v>0.48301633999999999</v>
      </c>
    </row>
    <row r="215" spans="1:10" x14ac:dyDescent="0.3">
      <c r="A215">
        <v>213</v>
      </c>
      <c r="B215">
        <v>5435</v>
      </c>
      <c r="C215" t="b">
        <v>1</v>
      </c>
      <c r="D215">
        <v>8060</v>
      </c>
      <c r="E215">
        <v>8105</v>
      </c>
      <c r="F215">
        <v>202.93333000000001</v>
      </c>
      <c r="G215">
        <v>189.2</v>
      </c>
      <c r="H215">
        <v>1.0725863</v>
      </c>
      <c r="I215">
        <v>-7.2586349999999994E-2</v>
      </c>
      <c r="J215">
        <v>0.48248892999999998</v>
      </c>
    </row>
    <row r="216" spans="1:10" x14ac:dyDescent="0.3">
      <c r="A216">
        <v>214</v>
      </c>
      <c r="B216">
        <v>5467</v>
      </c>
      <c r="C216" t="b">
        <v>1</v>
      </c>
      <c r="D216">
        <v>8060</v>
      </c>
      <c r="E216">
        <v>8087</v>
      </c>
      <c r="F216">
        <v>202.93333000000001</v>
      </c>
      <c r="G216">
        <v>189.2</v>
      </c>
      <c r="H216">
        <v>1.0725863</v>
      </c>
      <c r="I216">
        <v>-7.2586349999999994E-2</v>
      </c>
      <c r="J216">
        <v>0.48248892999999998</v>
      </c>
    </row>
    <row r="217" spans="1:10" x14ac:dyDescent="0.3">
      <c r="A217">
        <v>215</v>
      </c>
      <c r="B217">
        <v>5498</v>
      </c>
      <c r="C217" t="b">
        <v>1</v>
      </c>
      <c r="D217">
        <v>8048</v>
      </c>
      <c r="E217">
        <v>8111</v>
      </c>
      <c r="F217">
        <v>203.73334</v>
      </c>
      <c r="G217">
        <v>189.2</v>
      </c>
      <c r="H217">
        <v>1.0768146999999999</v>
      </c>
      <c r="I217">
        <v>-7.6814696000000002E-2</v>
      </c>
      <c r="J217">
        <v>0.48150660000000001</v>
      </c>
    </row>
    <row r="218" spans="1:10" x14ac:dyDescent="0.3">
      <c r="A218">
        <v>216</v>
      </c>
      <c r="B218">
        <v>5530</v>
      </c>
      <c r="C218" t="b">
        <v>1</v>
      </c>
      <c r="D218">
        <v>8054</v>
      </c>
      <c r="E218">
        <v>8129</v>
      </c>
      <c r="F218">
        <v>204.53334000000001</v>
      </c>
      <c r="G218">
        <v>189.6</v>
      </c>
      <c r="H218">
        <v>1.0787623</v>
      </c>
      <c r="I218">
        <v>-7.8762310000000002E-2</v>
      </c>
      <c r="J218">
        <v>0.48105546999999999</v>
      </c>
    </row>
    <row r="219" spans="1:10" x14ac:dyDescent="0.3">
      <c r="A219">
        <v>217</v>
      </c>
      <c r="B219">
        <v>5562</v>
      </c>
      <c r="C219" t="b">
        <v>1</v>
      </c>
      <c r="D219">
        <v>8054</v>
      </c>
      <c r="E219">
        <v>8081</v>
      </c>
      <c r="F219">
        <v>205.33332999999999</v>
      </c>
      <c r="G219">
        <v>190</v>
      </c>
      <c r="H219">
        <v>1.0807017000000001</v>
      </c>
      <c r="I219">
        <v>-8.0701729999999999E-2</v>
      </c>
      <c r="J219">
        <v>0.48060712</v>
      </c>
    </row>
    <row r="220" spans="1:10" x14ac:dyDescent="0.3">
      <c r="A220">
        <v>218</v>
      </c>
      <c r="B220">
        <v>5593</v>
      </c>
      <c r="C220" t="b">
        <v>1</v>
      </c>
      <c r="D220">
        <v>8037</v>
      </c>
      <c r="E220">
        <v>8087</v>
      </c>
      <c r="F220">
        <v>206.13333</v>
      </c>
      <c r="G220">
        <v>189.2</v>
      </c>
      <c r="H220">
        <v>1.0894997</v>
      </c>
      <c r="I220">
        <v>-8.949965E-2</v>
      </c>
      <c r="J220">
        <v>0.47858348000000001</v>
      </c>
    </row>
    <row r="221" spans="1:10" x14ac:dyDescent="0.3">
      <c r="A221">
        <v>219</v>
      </c>
      <c r="B221">
        <v>5625</v>
      </c>
      <c r="C221" t="b">
        <v>1</v>
      </c>
      <c r="D221">
        <v>8030</v>
      </c>
      <c r="E221">
        <v>8099</v>
      </c>
      <c r="F221">
        <v>206.53334000000001</v>
      </c>
      <c r="G221">
        <v>188.4</v>
      </c>
      <c r="H221">
        <v>1.0962491999999999</v>
      </c>
      <c r="I221">
        <v>-9.6249186E-2</v>
      </c>
      <c r="J221">
        <v>0.47704249999999998</v>
      </c>
    </row>
    <row r="222" spans="1:10" x14ac:dyDescent="0.3">
      <c r="A222">
        <v>220</v>
      </c>
      <c r="B222">
        <v>5640</v>
      </c>
      <c r="C222" t="b">
        <v>1</v>
      </c>
      <c r="D222">
        <v>8023</v>
      </c>
      <c r="E222">
        <v>8105</v>
      </c>
      <c r="F222">
        <v>206.2</v>
      </c>
      <c r="G222">
        <v>188.4</v>
      </c>
      <c r="H222">
        <v>1.0944798</v>
      </c>
      <c r="I222">
        <v>-9.4479850000000004E-2</v>
      </c>
      <c r="J222">
        <v>0.47744554</v>
      </c>
    </row>
    <row r="223" spans="1:10" x14ac:dyDescent="0.3">
      <c r="A223">
        <v>221</v>
      </c>
      <c r="B223">
        <v>5656</v>
      </c>
      <c r="C223" t="b">
        <v>1</v>
      </c>
      <c r="D223">
        <v>8048</v>
      </c>
      <c r="E223">
        <v>8099</v>
      </c>
      <c r="F223">
        <v>205.86667</v>
      </c>
      <c r="G223">
        <v>187.6</v>
      </c>
      <c r="H223">
        <v>1.0973702999999999</v>
      </c>
      <c r="I223">
        <v>-9.7370269999999995E-2</v>
      </c>
      <c r="J223">
        <v>0.47678754000000001</v>
      </c>
    </row>
    <row r="224" spans="1:10" x14ac:dyDescent="0.3">
      <c r="A224">
        <v>222</v>
      </c>
      <c r="B224">
        <v>5672</v>
      </c>
      <c r="C224" t="b">
        <v>1</v>
      </c>
      <c r="D224">
        <v>8054</v>
      </c>
      <c r="E224">
        <v>8117</v>
      </c>
      <c r="F224">
        <v>205.53334000000001</v>
      </c>
      <c r="G224">
        <v>187.2</v>
      </c>
      <c r="H224">
        <v>1.0979345</v>
      </c>
      <c r="I224">
        <v>-9.7934530000000006E-2</v>
      </c>
      <c r="J224">
        <v>0.47665930000000001</v>
      </c>
    </row>
    <row r="225" spans="1:10" x14ac:dyDescent="0.3">
      <c r="A225">
        <v>223</v>
      </c>
      <c r="B225">
        <v>5687</v>
      </c>
      <c r="C225" t="b">
        <v>1</v>
      </c>
      <c r="D225">
        <v>8037</v>
      </c>
      <c r="E225">
        <v>8105</v>
      </c>
      <c r="F225">
        <v>205.53334000000001</v>
      </c>
      <c r="G225">
        <v>187.2</v>
      </c>
      <c r="H225">
        <v>1.0979345</v>
      </c>
      <c r="I225">
        <v>-9.7934530000000006E-2</v>
      </c>
      <c r="J225">
        <v>0.47665930000000001</v>
      </c>
    </row>
    <row r="226" spans="1:10" x14ac:dyDescent="0.3">
      <c r="A226">
        <v>224</v>
      </c>
      <c r="B226">
        <v>5703</v>
      </c>
      <c r="C226" t="b">
        <v>1</v>
      </c>
      <c r="D226">
        <v>8048</v>
      </c>
      <c r="E226">
        <v>8105</v>
      </c>
      <c r="F226">
        <v>205.93333000000001</v>
      </c>
      <c r="G226">
        <v>187.2</v>
      </c>
      <c r="H226">
        <v>1.1000711999999999</v>
      </c>
      <c r="I226">
        <v>-0.10007125</v>
      </c>
      <c r="J226">
        <v>0.47617431999999998</v>
      </c>
    </row>
    <row r="227" spans="1:10" x14ac:dyDescent="0.3">
      <c r="A227">
        <v>225</v>
      </c>
      <c r="B227">
        <v>5719</v>
      </c>
      <c r="C227" t="b">
        <v>1</v>
      </c>
      <c r="D227">
        <v>8042</v>
      </c>
      <c r="E227">
        <v>8105</v>
      </c>
      <c r="F227">
        <v>206.33332999999999</v>
      </c>
      <c r="G227">
        <v>187.2</v>
      </c>
      <c r="H227">
        <v>1.1022080000000001</v>
      </c>
      <c r="I227">
        <v>-0.102207966</v>
      </c>
      <c r="J227">
        <v>0.47569033999999999</v>
      </c>
    </row>
    <row r="228" spans="1:10" x14ac:dyDescent="0.3">
      <c r="A228">
        <v>226</v>
      </c>
      <c r="B228">
        <v>5735</v>
      </c>
      <c r="C228" t="b">
        <v>1</v>
      </c>
      <c r="D228">
        <v>8023</v>
      </c>
      <c r="E228">
        <v>8105</v>
      </c>
      <c r="F228">
        <v>206.66667000000001</v>
      </c>
      <c r="G228">
        <v>187.2</v>
      </c>
      <c r="H228">
        <v>1.1039886000000001</v>
      </c>
      <c r="I228">
        <v>-0.10398865</v>
      </c>
      <c r="J228">
        <v>0.47528774000000001</v>
      </c>
    </row>
    <row r="229" spans="1:10" x14ac:dyDescent="0.3">
      <c r="A229">
        <v>227</v>
      </c>
      <c r="B229">
        <v>5751</v>
      </c>
      <c r="C229" t="b">
        <v>1</v>
      </c>
      <c r="D229">
        <v>8060</v>
      </c>
      <c r="E229">
        <v>8099</v>
      </c>
      <c r="F229">
        <v>206.66667000000001</v>
      </c>
      <c r="G229">
        <v>187.2</v>
      </c>
      <c r="H229">
        <v>1.1039886000000001</v>
      </c>
      <c r="I229">
        <v>-0.10398865</v>
      </c>
      <c r="J229">
        <v>0.47528774000000001</v>
      </c>
    </row>
    <row r="230" spans="1:10" x14ac:dyDescent="0.3">
      <c r="A230">
        <v>228</v>
      </c>
      <c r="B230">
        <v>5782</v>
      </c>
      <c r="C230" t="b">
        <v>1</v>
      </c>
      <c r="D230">
        <v>8030</v>
      </c>
      <c r="E230">
        <v>8117</v>
      </c>
      <c r="F230">
        <v>205.86667</v>
      </c>
      <c r="G230">
        <v>187.2</v>
      </c>
      <c r="H230">
        <v>1.0997151000000001</v>
      </c>
      <c r="I230">
        <v>-9.9715129999999999E-2</v>
      </c>
      <c r="J230">
        <v>0.47625509999999999</v>
      </c>
    </row>
    <row r="231" spans="1:10" x14ac:dyDescent="0.3">
      <c r="A231">
        <v>229</v>
      </c>
      <c r="B231">
        <v>5815</v>
      </c>
      <c r="C231" t="b">
        <v>1</v>
      </c>
      <c r="D231">
        <v>8030</v>
      </c>
      <c r="E231">
        <v>8105</v>
      </c>
      <c r="F231">
        <v>204.26666</v>
      </c>
      <c r="G231">
        <v>187.2</v>
      </c>
      <c r="H231">
        <v>1.0911679999999999</v>
      </c>
      <c r="I231">
        <v>-9.1168089999999993E-2</v>
      </c>
      <c r="J231">
        <v>0.47820162999999999</v>
      </c>
    </row>
    <row r="232" spans="1:10" x14ac:dyDescent="0.3">
      <c r="A232">
        <v>230</v>
      </c>
      <c r="B232">
        <v>5830</v>
      </c>
      <c r="C232" t="b">
        <v>1</v>
      </c>
      <c r="D232">
        <v>8060</v>
      </c>
      <c r="E232">
        <v>8099</v>
      </c>
      <c r="F232">
        <v>202.66667000000001</v>
      </c>
      <c r="G232">
        <v>187.2</v>
      </c>
      <c r="H232">
        <v>1.0826210999999999</v>
      </c>
      <c r="I232">
        <v>-8.2621130000000001E-2</v>
      </c>
      <c r="J232">
        <v>0.48016414000000002</v>
      </c>
    </row>
    <row r="233" spans="1:10" x14ac:dyDescent="0.3">
      <c r="A233">
        <v>231</v>
      </c>
      <c r="B233">
        <v>5846</v>
      </c>
      <c r="C233" t="b">
        <v>1</v>
      </c>
      <c r="D233">
        <v>8054</v>
      </c>
      <c r="E233">
        <v>8111</v>
      </c>
      <c r="F233">
        <v>202.66667000000001</v>
      </c>
      <c r="G233">
        <v>187.2</v>
      </c>
      <c r="H233">
        <v>1.0826210999999999</v>
      </c>
      <c r="I233">
        <v>-8.2621130000000001E-2</v>
      </c>
      <c r="J233">
        <v>0.48016414000000002</v>
      </c>
    </row>
    <row r="234" spans="1:10" x14ac:dyDescent="0.3">
      <c r="A234">
        <v>232</v>
      </c>
      <c r="B234">
        <v>5862</v>
      </c>
      <c r="C234" t="b">
        <v>1</v>
      </c>
      <c r="D234">
        <v>8060</v>
      </c>
      <c r="E234">
        <v>8111</v>
      </c>
      <c r="F234">
        <v>202.66667000000001</v>
      </c>
      <c r="G234">
        <v>187.6</v>
      </c>
      <c r="H234">
        <v>1.0803126999999999</v>
      </c>
      <c r="I234">
        <v>-8.0312713999999993E-2</v>
      </c>
      <c r="J234">
        <v>0.48069698</v>
      </c>
    </row>
    <row r="235" spans="1:10" x14ac:dyDescent="0.3">
      <c r="A235">
        <v>233</v>
      </c>
      <c r="B235">
        <v>5878</v>
      </c>
      <c r="C235" t="b">
        <v>1</v>
      </c>
      <c r="D235">
        <v>8048</v>
      </c>
      <c r="E235">
        <v>8117</v>
      </c>
      <c r="F235">
        <v>202.66667000000001</v>
      </c>
      <c r="G235">
        <v>189.2</v>
      </c>
      <c r="H235">
        <v>1.0711769</v>
      </c>
      <c r="I235">
        <v>-7.1176929999999999E-2</v>
      </c>
      <c r="J235">
        <v>0.48281726000000003</v>
      </c>
    </row>
    <row r="236" spans="1:10" x14ac:dyDescent="0.3">
      <c r="A236">
        <v>234</v>
      </c>
      <c r="B236">
        <v>5894</v>
      </c>
      <c r="C236" t="b">
        <v>1</v>
      </c>
      <c r="D236">
        <v>8037</v>
      </c>
      <c r="E236">
        <v>8117</v>
      </c>
      <c r="F236">
        <v>203.06666999999999</v>
      </c>
      <c r="G236">
        <v>190</v>
      </c>
      <c r="H236">
        <v>1.0687720000000001</v>
      </c>
      <c r="I236">
        <v>-6.877192E-2</v>
      </c>
      <c r="J236">
        <v>0.48337859999999999</v>
      </c>
    </row>
    <row r="237" spans="1:10" x14ac:dyDescent="0.3">
      <c r="A237">
        <v>235</v>
      </c>
      <c r="B237">
        <v>5910</v>
      </c>
      <c r="C237" t="b">
        <v>1</v>
      </c>
      <c r="D237">
        <v>8071</v>
      </c>
      <c r="E237">
        <v>8105</v>
      </c>
      <c r="F237">
        <v>204.2</v>
      </c>
      <c r="G237">
        <v>190.8</v>
      </c>
      <c r="H237">
        <v>1.0702305999999999</v>
      </c>
      <c r="I237">
        <v>-7.0230570000000006E-2</v>
      </c>
      <c r="J237">
        <v>0.48303797999999998</v>
      </c>
    </row>
    <row r="238" spans="1:10" x14ac:dyDescent="0.3">
      <c r="A238">
        <v>236</v>
      </c>
      <c r="B238">
        <v>5926</v>
      </c>
      <c r="C238" t="b">
        <v>1</v>
      </c>
      <c r="D238">
        <v>8065</v>
      </c>
      <c r="E238">
        <v>8117</v>
      </c>
      <c r="F238">
        <v>205.73334</v>
      </c>
      <c r="G238">
        <v>192</v>
      </c>
      <c r="H238">
        <v>1.0715277999999999</v>
      </c>
      <c r="I238">
        <v>-7.1527800000000002E-2</v>
      </c>
      <c r="J238">
        <v>0.48273547999999999</v>
      </c>
    </row>
    <row r="239" spans="1:10" x14ac:dyDescent="0.3">
      <c r="A239">
        <v>237</v>
      </c>
      <c r="B239">
        <v>5942</v>
      </c>
      <c r="C239" t="b">
        <v>1</v>
      </c>
      <c r="D239">
        <v>8060</v>
      </c>
      <c r="E239">
        <v>8117</v>
      </c>
      <c r="F239">
        <v>207.26666</v>
      </c>
      <c r="G239">
        <v>193.2</v>
      </c>
      <c r="H239">
        <v>1.0728089000000001</v>
      </c>
      <c r="I239">
        <v>-7.2808830000000005E-2</v>
      </c>
      <c r="J239">
        <v>0.48243712999999999</v>
      </c>
    </row>
    <row r="240" spans="1:10" x14ac:dyDescent="0.3">
      <c r="A240">
        <v>238</v>
      </c>
      <c r="B240">
        <v>5958</v>
      </c>
      <c r="C240" t="b">
        <v>1</v>
      </c>
      <c r="D240">
        <v>8042</v>
      </c>
      <c r="E240">
        <v>8099</v>
      </c>
      <c r="F240">
        <v>208.8</v>
      </c>
      <c r="G240">
        <v>194</v>
      </c>
      <c r="H240">
        <v>1.0762887000000001</v>
      </c>
      <c r="I240">
        <v>-7.6288679999999998E-2</v>
      </c>
      <c r="J240">
        <v>0.48162863</v>
      </c>
    </row>
    <row r="241" spans="1:10" x14ac:dyDescent="0.3">
      <c r="A241">
        <v>239</v>
      </c>
      <c r="B241">
        <v>5974</v>
      </c>
      <c r="C241" t="b">
        <v>1</v>
      </c>
      <c r="D241">
        <v>8023</v>
      </c>
      <c r="E241">
        <v>8105</v>
      </c>
      <c r="F241">
        <v>209.6</v>
      </c>
      <c r="G241">
        <v>194</v>
      </c>
      <c r="H241">
        <v>1.0804123999999999</v>
      </c>
      <c r="I241">
        <v>-8.0412399999999995E-2</v>
      </c>
      <c r="J241">
        <v>0.48067394000000002</v>
      </c>
    </row>
    <row r="242" spans="1:10" x14ac:dyDescent="0.3">
      <c r="A242">
        <v>240</v>
      </c>
      <c r="B242">
        <v>5989</v>
      </c>
      <c r="C242" t="b">
        <v>1</v>
      </c>
      <c r="D242">
        <v>8048</v>
      </c>
      <c r="E242">
        <v>8105</v>
      </c>
      <c r="F242">
        <v>209.6</v>
      </c>
      <c r="G242">
        <v>194</v>
      </c>
      <c r="H242">
        <v>1.0804123999999999</v>
      </c>
      <c r="I242">
        <v>-8.0412399999999995E-2</v>
      </c>
      <c r="J242">
        <v>0.48067394000000002</v>
      </c>
    </row>
    <row r="243" spans="1:10" x14ac:dyDescent="0.3">
      <c r="A243">
        <v>241</v>
      </c>
      <c r="B243">
        <v>6005</v>
      </c>
      <c r="C243" t="b">
        <v>1</v>
      </c>
      <c r="D243">
        <v>8054</v>
      </c>
      <c r="E243">
        <v>8099</v>
      </c>
      <c r="F243">
        <v>210</v>
      </c>
      <c r="G243">
        <v>194</v>
      </c>
      <c r="H243">
        <v>1.0824742000000001</v>
      </c>
      <c r="I243">
        <v>-8.2474223999999999E-2</v>
      </c>
      <c r="J243">
        <v>0.48019803</v>
      </c>
    </row>
    <row r="244" spans="1:10" x14ac:dyDescent="0.3">
      <c r="A244">
        <v>242</v>
      </c>
      <c r="B244">
        <v>6021</v>
      </c>
      <c r="C244" t="b">
        <v>1</v>
      </c>
      <c r="D244">
        <v>8042</v>
      </c>
      <c r="E244">
        <v>8093</v>
      </c>
      <c r="F244">
        <v>210</v>
      </c>
      <c r="G244">
        <v>193.6</v>
      </c>
      <c r="H244">
        <v>1.0847107</v>
      </c>
      <c r="I244">
        <v>-8.4710709999999995E-2</v>
      </c>
      <c r="J244">
        <v>0.47968285999999999</v>
      </c>
    </row>
    <row r="245" spans="1:10" x14ac:dyDescent="0.3">
      <c r="A245">
        <v>243</v>
      </c>
      <c r="B245">
        <v>6037</v>
      </c>
      <c r="C245" t="b">
        <v>1</v>
      </c>
      <c r="D245">
        <v>8048</v>
      </c>
      <c r="E245">
        <v>8134</v>
      </c>
      <c r="F245">
        <v>210.4</v>
      </c>
      <c r="G245">
        <v>193.6</v>
      </c>
      <c r="H245">
        <v>1.0867769</v>
      </c>
      <c r="I245">
        <v>-8.6776790000000006E-2</v>
      </c>
      <c r="J245">
        <v>0.47920793</v>
      </c>
    </row>
    <row r="246" spans="1:10" x14ac:dyDescent="0.3">
      <c r="A246">
        <v>244</v>
      </c>
      <c r="B246">
        <v>6053</v>
      </c>
      <c r="C246" t="b">
        <v>1</v>
      </c>
      <c r="D246">
        <v>8023</v>
      </c>
      <c r="E246">
        <v>8111</v>
      </c>
      <c r="F246">
        <v>211.6</v>
      </c>
      <c r="G246">
        <v>193.6</v>
      </c>
      <c r="H246">
        <v>1.0929753</v>
      </c>
      <c r="I246">
        <v>-9.2975210000000003E-2</v>
      </c>
      <c r="J246">
        <v>0.47778874999999998</v>
      </c>
    </row>
    <row r="247" spans="1:10" x14ac:dyDescent="0.3">
      <c r="A247">
        <v>245</v>
      </c>
      <c r="B247">
        <v>6069</v>
      </c>
      <c r="C247" t="b">
        <v>1</v>
      </c>
      <c r="D247">
        <v>8042</v>
      </c>
      <c r="E247">
        <v>8105</v>
      </c>
      <c r="F247">
        <v>212.4</v>
      </c>
      <c r="G247">
        <v>193.6</v>
      </c>
      <c r="H247">
        <v>1.0971074000000001</v>
      </c>
      <c r="I247">
        <v>-9.7107369999999998E-2</v>
      </c>
      <c r="J247">
        <v>0.47684729999999997</v>
      </c>
    </row>
    <row r="248" spans="1:10" x14ac:dyDescent="0.3">
      <c r="A248">
        <v>246</v>
      </c>
      <c r="B248">
        <v>6100</v>
      </c>
      <c r="C248" t="b">
        <v>1</v>
      </c>
      <c r="D248">
        <v>8030</v>
      </c>
      <c r="E248">
        <v>8093</v>
      </c>
      <c r="F248">
        <v>211.6</v>
      </c>
      <c r="G248">
        <v>193.6</v>
      </c>
      <c r="H248">
        <v>1.0929753</v>
      </c>
      <c r="I248">
        <v>-9.2975210000000003E-2</v>
      </c>
      <c r="J248">
        <v>0.47778874999999998</v>
      </c>
    </row>
    <row r="249" spans="1:10" x14ac:dyDescent="0.3">
      <c r="A249">
        <v>247</v>
      </c>
      <c r="B249">
        <v>6132</v>
      </c>
      <c r="C249" t="b">
        <v>1</v>
      </c>
      <c r="D249">
        <v>8023</v>
      </c>
      <c r="E249">
        <v>8099</v>
      </c>
      <c r="F249">
        <v>210</v>
      </c>
      <c r="G249">
        <v>193.2</v>
      </c>
      <c r="H249">
        <v>1.0869565000000001</v>
      </c>
      <c r="I249">
        <v>-8.6956539999999999E-2</v>
      </c>
      <c r="J249">
        <v>0.47916666000000002</v>
      </c>
    </row>
    <row r="250" spans="1:10" x14ac:dyDescent="0.3">
      <c r="A250">
        <v>248</v>
      </c>
      <c r="B250">
        <v>6148</v>
      </c>
      <c r="C250" t="b">
        <v>1</v>
      </c>
      <c r="D250">
        <v>8030</v>
      </c>
      <c r="E250">
        <v>8105</v>
      </c>
      <c r="F250">
        <v>208.4</v>
      </c>
      <c r="G250">
        <v>192.8</v>
      </c>
      <c r="H250">
        <v>1.0809127999999999</v>
      </c>
      <c r="I250">
        <v>-8.0912810000000002E-2</v>
      </c>
      <c r="J250">
        <v>0.48055829999999999</v>
      </c>
    </row>
    <row r="251" spans="1:10" x14ac:dyDescent="0.3">
      <c r="A251">
        <v>249</v>
      </c>
      <c r="B251">
        <v>6164</v>
      </c>
      <c r="C251" t="b">
        <v>1</v>
      </c>
      <c r="D251">
        <v>8060</v>
      </c>
      <c r="E251">
        <v>8099</v>
      </c>
      <c r="F251">
        <v>206.8</v>
      </c>
      <c r="G251">
        <v>192</v>
      </c>
      <c r="H251">
        <v>1.0770833</v>
      </c>
      <c r="I251">
        <v>-7.7083349999999995E-2</v>
      </c>
      <c r="J251">
        <v>0.48144436000000002</v>
      </c>
    </row>
    <row r="252" spans="1:10" x14ac:dyDescent="0.3">
      <c r="A252">
        <v>250</v>
      </c>
      <c r="B252">
        <v>6196</v>
      </c>
      <c r="C252" t="b">
        <v>1</v>
      </c>
      <c r="D252">
        <v>8042</v>
      </c>
      <c r="E252">
        <v>8117</v>
      </c>
      <c r="F252">
        <v>205.2</v>
      </c>
      <c r="G252">
        <v>191.2</v>
      </c>
      <c r="H252">
        <v>1.0732218</v>
      </c>
      <c r="I252">
        <v>-7.3221759999999997E-2</v>
      </c>
      <c r="J252">
        <v>0.48234107999999998</v>
      </c>
    </row>
    <row r="253" spans="1:10" x14ac:dyDescent="0.3">
      <c r="A253">
        <v>251</v>
      </c>
      <c r="B253">
        <v>6228</v>
      </c>
      <c r="C253" t="b">
        <v>1</v>
      </c>
      <c r="D253">
        <v>8054</v>
      </c>
      <c r="E253">
        <v>8129</v>
      </c>
      <c r="F253">
        <v>204</v>
      </c>
      <c r="G253">
        <v>190.4</v>
      </c>
      <c r="H253">
        <v>1.0714287</v>
      </c>
      <c r="I253">
        <v>-7.1428604000000007E-2</v>
      </c>
      <c r="J253">
        <v>0.48275859999999998</v>
      </c>
    </row>
    <row r="254" spans="1:10" x14ac:dyDescent="0.3">
      <c r="A254">
        <v>252</v>
      </c>
      <c r="B254">
        <v>6260</v>
      </c>
      <c r="C254" t="b">
        <v>1</v>
      </c>
      <c r="D254">
        <v>8030</v>
      </c>
      <c r="E254">
        <v>8099</v>
      </c>
      <c r="F254">
        <v>202.8</v>
      </c>
      <c r="G254">
        <v>189.6</v>
      </c>
      <c r="H254">
        <v>1.0696203</v>
      </c>
      <c r="I254">
        <v>-6.962024E-2</v>
      </c>
      <c r="J254">
        <v>0.48318040000000001</v>
      </c>
    </row>
    <row r="255" spans="1:10" x14ac:dyDescent="0.3">
      <c r="A255">
        <v>253</v>
      </c>
      <c r="B255">
        <v>6291</v>
      </c>
      <c r="C255" t="b">
        <v>1</v>
      </c>
      <c r="D255">
        <v>8054</v>
      </c>
      <c r="E255">
        <v>8111</v>
      </c>
      <c r="F255">
        <v>202.4</v>
      </c>
      <c r="G255">
        <v>189.2</v>
      </c>
      <c r="H255">
        <v>1.0697675</v>
      </c>
      <c r="I255">
        <v>-6.9767430000000005E-2</v>
      </c>
      <c r="J255">
        <v>0.48314610000000002</v>
      </c>
    </row>
    <row r="256" spans="1:10" x14ac:dyDescent="0.3">
      <c r="A256">
        <v>254</v>
      </c>
      <c r="B256">
        <v>6323</v>
      </c>
      <c r="C256" t="b">
        <v>1</v>
      </c>
      <c r="D256">
        <v>8030</v>
      </c>
      <c r="E256">
        <v>8099</v>
      </c>
      <c r="F256">
        <v>201.2</v>
      </c>
      <c r="G256">
        <v>189.6</v>
      </c>
      <c r="H256">
        <v>1.0611813999999999</v>
      </c>
      <c r="I256">
        <v>-6.1181384999999998E-2</v>
      </c>
      <c r="J256">
        <v>0.48515868000000001</v>
      </c>
    </row>
    <row r="257" spans="1:10" x14ac:dyDescent="0.3">
      <c r="A257">
        <v>255</v>
      </c>
      <c r="B257">
        <v>6339</v>
      </c>
      <c r="C257" t="b">
        <v>1</v>
      </c>
      <c r="D257">
        <v>8048</v>
      </c>
      <c r="E257">
        <v>8140</v>
      </c>
      <c r="F257">
        <v>201.2</v>
      </c>
      <c r="G257">
        <v>190</v>
      </c>
      <c r="H257">
        <v>1.0589473</v>
      </c>
      <c r="I257">
        <v>-5.8947350000000003E-2</v>
      </c>
      <c r="J257">
        <v>0.48568505000000001</v>
      </c>
    </row>
    <row r="258" spans="1:10" x14ac:dyDescent="0.3">
      <c r="A258">
        <v>256</v>
      </c>
      <c r="B258">
        <v>6355</v>
      </c>
      <c r="C258" t="b">
        <v>1</v>
      </c>
      <c r="D258">
        <v>8037</v>
      </c>
      <c r="E258">
        <v>8105</v>
      </c>
      <c r="F258">
        <v>200.46665999999999</v>
      </c>
      <c r="G258">
        <v>190</v>
      </c>
      <c r="H258">
        <v>1.0550877000000001</v>
      </c>
      <c r="I258">
        <v>-5.508768E-2</v>
      </c>
      <c r="J258">
        <v>0.48659720000000001</v>
      </c>
    </row>
    <row r="259" spans="1:10" x14ac:dyDescent="0.3">
      <c r="A259">
        <v>257</v>
      </c>
      <c r="B259">
        <v>6372</v>
      </c>
      <c r="C259" t="b">
        <v>1</v>
      </c>
      <c r="D259">
        <v>8048</v>
      </c>
      <c r="E259">
        <v>8087</v>
      </c>
      <c r="F259">
        <v>200.86667</v>
      </c>
      <c r="G259">
        <v>190.4</v>
      </c>
      <c r="H259">
        <v>1.054972</v>
      </c>
      <c r="I259">
        <v>-5.4972034000000003E-2</v>
      </c>
      <c r="J259">
        <v>0.48662463</v>
      </c>
    </row>
    <row r="260" spans="1:10" x14ac:dyDescent="0.3">
      <c r="A260">
        <v>258</v>
      </c>
      <c r="B260">
        <v>6404</v>
      </c>
      <c r="C260" t="b">
        <v>1</v>
      </c>
      <c r="D260">
        <v>8054</v>
      </c>
      <c r="E260">
        <v>8111</v>
      </c>
      <c r="F260">
        <v>200.86667</v>
      </c>
      <c r="G260">
        <v>190.4</v>
      </c>
      <c r="H260">
        <v>1.054972</v>
      </c>
      <c r="I260">
        <v>-5.4972034000000003E-2</v>
      </c>
      <c r="J260">
        <v>0.48662463</v>
      </c>
    </row>
    <row r="261" spans="1:10" x14ac:dyDescent="0.3">
      <c r="A261">
        <v>259</v>
      </c>
      <c r="B261">
        <v>6420</v>
      </c>
      <c r="C261" t="b">
        <v>1</v>
      </c>
      <c r="D261">
        <v>8037</v>
      </c>
      <c r="E261">
        <v>8111</v>
      </c>
      <c r="F261">
        <v>200.86667</v>
      </c>
      <c r="G261">
        <v>190.8</v>
      </c>
      <c r="H261">
        <v>1.0527602</v>
      </c>
      <c r="I261">
        <v>-5.2760303000000001E-2</v>
      </c>
      <c r="J261">
        <v>0.4871489</v>
      </c>
    </row>
    <row r="262" spans="1:10" x14ac:dyDescent="0.3">
      <c r="A262">
        <v>260</v>
      </c>
      <c r="B262">
        <v>6436</v>
      </c>
      <c r="C262" t="b">
        <v>1</v>
      </c>
      <c r="D262">
        <v>8042</v>
      </c>
      <c r="E262">
        <v>8099</v>
      </c>
      <c r="F262">
        <v>200.86667</v>
      </c>
      <c r="G262">
        <v>190.8</v>
      </c>
      <c r="H262">
        <v>1.0527602</v>
      </c>
      <c r="I262">
        <v>-5.2760303000000001E-2</v>
      </c>
      <c r="J262">
        <v>0.4871489</v>
      </c>
    </row>
    <row r="263" spans="1:10" x14ac:dyDescent="0.3">
      <c r="A263">
        <v>261</v>
      </c>
      <c r="B263">
        <v>6467</v>
      </c>
      <c r="C263" t="b">
        <v>1</v>
      </c>
      <c r="D263">
        <v>8054</v>
      </c>
      <c r="E263">
        <v>8087</v>
      </c>
      <c r="F263">
        <v>201.26666</v>
      </c>
      <c r="G263">
        <v>190.4</v>
      </c>
      <c r="H263">
        <v>1.0570729000000001</v>
      </c>
      <c r="I263">
        <v>-5.707284E-2</v>
      </c>
      <c r="J263">
        <v>0.48612764000000003</v>
      </c>
    </row>
    <row r="264" spans="1:10" x14ac:dyDescent="0.3">
      <c r="A264">
        <v>262</v>
      </c>
      <c r="B264">
        <v>6499</v>
      </c>
      <c r="C264" t="b">
        <v>1</v>
      </c>
      <c r="D264">
        <v>8037</v>
      </c>
      <c r="E264">
        <v>8117</v>
      </c>
      <c r="F264">
        <v>202.06666999999999</v>
      </c>
      <c r="G264">
        <v>190.8</v>
      </c>
      <c r="H264">
        <v>1.0590496</v>
      </c>
      <c r="I264">
        <v>-5.9049595000000003E-2</v>
      </c>
      <c r="J264">
        <v>0.48566097000000003</v>
      </c>
    </row>
    <row r="265" spans="1:10" x14ac:dyDescent="0.3">
      <c r="A265">
        <v>263</v>
      </c>
      <c r="B265">
        <v>6531</v>
      </c>
      <c r="C265" t="b">
        <v>1</v>
      </c>
      <c r="D265">
        <v>8060</v>
      </c>
      <c r="E265">
        <v>8093</v>
      </c>
      <c r="F265">
        <v>202.86667</v>
      </c>
      <c r="G265">
        <v>190.4</v>
      </c>
      <c r="H265">
        <v>1.0654762</v>
      </c>
      <c r="I265">
        <v>-6.5476240000000005E-2</v>
      </c>
      <c r="J265">
        <v>0.48414984</v>
      </c>
    </row>
    <row r="266" spans="1:10" x14ac:dyDescent="0.3">
      <c r="A266">
        <v>264</v>
      </c>
      <c r="B266">
        <v>6563</v>
      </c>
      <c r="C266" t="b">
        <v>1</v>
      </c>
      <c r="D266">
        <v>8048</v>
      </c>
      <c r="E266">
        <v>8123</v>
      </c>
      <c r="F266">
        <v>204.06666999999999</v>
      </c>
      <c r="G266">
        <v>190.4</v>
      </c>
      <c r="H266">
        <v>1.0717787999999999</v>
      </c>
      <c r="I266">
        <v>-7.1778739999999994E-2</v>
      </c>
      <c r="J266">
        <v>0.48267700000000002</v>
      </c>
    </row>
    <row r="267" spans="1:10" x14ac:dyDescent="0.3">
      <c r="A267">
        <v>265</v>
      </c>
      <c r="B267">
        <v>6594</v>
      </c>
      <c r="C267" t="b">
        <v>1</v>
      </c>
      <c r="D267">
        <v>8030</v>
      </c>
      <c r="E267">
        <v>8105</v>
      </c>
      <c r="F267">
        <v>205.26666</v>
      </c>
      <c r="G267">
        <v>190.8</v>
      </c>
      <c r="H267">
        <v>1.0758209999999999</v>
      </c>
      <c r="I267">
        <v>-7.5821063999999994E-2</v>
      </c>
      <c r="J267">
        <v>0.48173709999999997</v>
      </c>
    </row>
    <row r="268" spans="1:10" x14ac:dyDescent="0.3">
      <c r="A268">
        <v>266</v>
      </c>
      <c r="B268">
        <v>6610</v>
      </c>
      <c r="C268" t="b">
        <v>1</v>
      </c>
      <c r="D268">
        <v>8048</v>
      </c>
      <c r="E268">
        <v>8099</v>
      </c>
      <c r="F268">
        <v>205.66667000000001</v>
      </c>
      <c r="G268">
        <v>190.8</v>
      </c>
      <c r="H268">
        <v>1.0779175999999999</v>
      </c>
      <c r="I268">
        <v>-7.7917546000000004E-2</v>
      </c>
      <c r="J268">
        <v>0.48125106000000001</v>
      </c>
    </row>
    <row r="269" spans="1:10" x14ac:dyDescent="0.3">
      <c r="A269">
        <v>267</v>
      </c>
      <c r="B269">
        <v>6626</v>
      </c>
      <c r="C269" t="b">
        <v>1</v>
      </c>
      <c r="D269">
        <v>8054</v>
      </c>
      <c r="E269">
        <v>8093</v>
      </c>
      <c r="F269">
        <v>206.06666999999999</v>
      </c>
      <c r="G269">
        <v>190.4</v>
      </c>
      <c r="H269">
        <v>1.0822829</v>
      </c>
      <c r="I269">
        <v>-8.2282945999999996E-2</v>
      </c>
      <c r="J269">
        <v>0.48024210000000001</v>
      </c>
    </row>
    <row r="270" spans="1:10" x14ac:dyDescent="0.3">
      <c r="A270">
        <v>268</v>
      </c>
      <c r="B270">
        <v>6658</v>
      </c>
      <c r="C270" t="b">
        <v>1</v>
      </c>
      <c r="D270">
        <v>8042</v>
      </c>
      <c r="E270">
        <v>8093</v>
      </c>
      <c r="F270">
        <v>205.66667000000001</v>
      </c>
      <c r="G270">
        <v>189.6</v>
      </c>
      <c r="H270">
        <v>1.0847397999999999</v>
      </c>
      <c r="I270">
        <v>-8.4739800000000004E-2</v>
      </c>
      <c r="J270">
        <v>0.4796762</v>
      </c>
    </row>
    <row r="271" spans="1:10" x14ac:dyDescent="0.3">
      <c r="A271">
        <v>269</v>
      </c>
      <c r="B271">
        <v>6689</v>
      </c>
      <c r="C271" t="b">
        <v>1</v>
      </c>
      <c r="D271">
        <v>8048</v>
      </c>
      <c r="E271">
        <v>8099</v>
      </c>
      <c r="F271">
        <v>206.06666999999999</v>
      </c>
      <c r="G271">
        <v>188.8</v>
      </c>
      <c r="H271">
        <v>1.0914547000000001</v>
      </c>
      <c r="I271">
        <v>-9.1454779999999999E-2</v>
      </c>
      <c r="J271">
        <v>0.47813610000000001</v>
      </c>
    </row>
    <row r="272" spans="1:10" x14ac:dyDescent="0.3">
      <c r="A272">
        <v>270</v>
      </c>
      <c r="B272">
        <v>6705</v>
      </c>
      <c r="C272" t="b">
        <v>1</v>
      </c>
      <c r="D272">
        <v>8054</v>
      </c>
      <c r="E272">
        <v>8087</v>
      </c>
      <c r="F272">
        <v>206.06666999999999</v>
      </c>
      <c r="G272">
        <v>187.6</v>
      </c>
      <c r="H272">
        <v>1.0984364</v>
      </c>
      <c r="I272">
        <v>-9.8436350000000006E-2</v>
      </c>
      <c r="J272">
        <v>0.47654530000000001</v>
      </c>
    </row>
    <row r="273" spans="1:10" x14ac:dyDescent="0.3">
      <c r="A273">
        <v>271</v>
      </c>
      <c r="B273">
        <v>6721</v>
      </c>
      <c r="C273" t="b">
        <v>1</v>
      </c>
      <c r="D273">
        <v>8042</v>
      </c>
      <c r="E273">
        <v>8099</v>
      </c>
      <c r="F273">
        <v>206.8</v>
      </c>
      <c r="G273">
        <v>186.8</v>
      </c>
      <c r="H273">
        <v>1.1070663999999999</v>
      </c>
      <c r="I273">
        <v>-0.10706638</v>
      </c>
      <c r="J273">
        <v>0.4745935</v>
      </c>
    </row>
    <row r="274" spans="1:10" x14ac:dyDescent="0.3">
      <c r="A274">
        <v>272</v>
      </c>
      <c r="B274">
        <v>6753</v>
      </c>
      <c r="C274" t="b">
        <v>1</v>
      </c>
      <c r="D274">
        <v>8060</v>
      </c>
      <c r="E274">
        <v>8111</v>
      </c>
      <c r="F274">
        <v>206.8</v>
      </c>
      <c r="G274">
        <v>186.4</v>
      </c>
      <c r="H274">
        <v>1.1094421000000001</v>
      </c>
      <c r="I274">
        <v>-0.10944211500000001</v>
      </c>
      <c r="J274">
        <v>0.47405900000000001</v>
      </c>
    </row>
    <row r="275" spans="1:10" x14ac:dyDescent="0.3">
      <c r="A275">
        <v>273</v>
      </c>
      <c r="B275">
        <v>6784</v>
      </c>
      <c r="C275" t="b">
        <v>1</v>
      </c>
      <c r="D275">
        <v>8048</v>
      </c>
      <c r="E275">
        <v>8129</v>
      </c>
      <c r="F275">
        <v>206.8</v>
      </c>
      <c r="G275">
        <v>186</v>
      </c>
      <c r="H275">
        <v>1.111828</v>
      </c>
      <c r="I275">
        <v>-0.11182797999999999</v>
      </c>
      <c r="J275">
        <v>0.47352344000000002</v>
      </c>
    </row>
    <row r="276" spans="1:10" x14ac:dyDescent="0.3">
      <c r="A276">
        <v>274</v>
      </c>
      <c r="B276">
        <v>6815</v>
      </c>
      <c r="C276" t="b">
        <v>1</v>
      </c>
      <c r="D276">
        <v>8037</v>
      </c>
      <c r="E276">
        <v>8123</v>
      </c>
      <c r="F276">
        <v>206.8</v>
      </c>
      <c r="G276">
        <v>186</v>
      </c>
      <c r="H276">
        <v>1.111828</v>
      </c>
      <c r="I276">
        <v>-0.11182797999999999</v>
      </c>
      <c r="J276">
        <v>0.47352344000000002</v>
      </c>
    </row>
    <row r="277" spans="1:10" x14ac:dyDescent="0.3">
      <c r="A277">
        <v>275</v>
      </c>
      <c r="B277">
        <v>6847</v>
      </c>
      <c r="C277" t="b">
        <v>1</v>
      </c>
      <c r="D277">
        <v>8037</v>
      </c>
      <c r="E277">
        <v>8105</v>
      </c>
      <c r="F277">
        <v>206.8</v>
      </c>
      <c r="G277">
        <v>186.4</v>
      </c>
      <c r="H277">
        <v>1.1094421000000001</v>
      </c>
      <c r="I277">
        <v>-0.10944211500000001</v>
      </c>
      <c r="J277">
        <v>0.47405900000000001</v>
      </c>
    </row>
    <row r="278" spans="1:10" x14ac:dyDescent="0.3">
      <c r="A278">
        <v>276</v>
      </c>
      <c r="B278">
        <v>6879</v>
      </c>
      <c r="C278" t="b">
        <v>1</v>
      </c>
      <c r="D278">
        <v>8065</v>
      </c>
      <c r="E278">
        <v>8093</v>
      </c>
      <c r="F278">
        <v>206.8</v>
      </c>
      <c r="G278">
        <v>187.2</v>
      </c>
      <c r="H278">
        <v>1.1047009000000001</v>
      </c>
      <c r="I278">
        <v>-0.10470088600000001</v>
      </c>
      <c r="J278">
        <v>0.47512690000000002</v>
      </c>
    </row>
    <row r="279" spans="1:10" x14ac:dyDescent="0.3">
      <c r="A279">
        <v>277</v>
      </c>
      <c r="B279">
        <v>6911</v>
      </c>
      <c r="C279" t="b">
        <v>1</v>
      </c>
      <c r="D279">
        <v>8054</v>
      </c>
      <c r="E279">
        <v>8134</v>
      </c>
      <c r="F279">
        <v>207.2</v>
      </c>
      <c r="G279">
        <v>188</v>
      </c>
      <c r="H279">
        <v>1.1021277</v>
      </c>
      <c r="I279">
        <v>-0.10212764000000001</v>
      </c>
      <c r="J279">
        <v>0.47570847999999999</v>
      </c>
    </row>
    <row r="280" spans="1:10" x14ac:dyDescent="0.3">
      <c r="A280">
        <v>278</v>
      </c>
      <c r="B280">
        <v>6942</v>
      </c>
      <c r="C280" t="b">
        <v>1</v>
      </c>
      <c r="D280">
        <v>8037</v>
      </c>
      <c r="E280">
        <v>8105</v>
      </c>
      <c r="F280">
        <v>206.86667</v>
      </c>
      <c r="G280">
        <v>188.4</v>
      </c>
      <c r="H280">
        <v>1.0980184</v>
      </c>
      <c r="I280">
        <v>-9.8018444999999996E-2</v>
      </c>
      <c r="J280">
        <v>0.47664022</v>
      </c>
    </row>
    <row r="281" spans="1:10" x14ac:dyDescent="0.3">
      <c r="A281">
        <v>279</v>
      </c>
      <c r="B281">
        <v>6974</v>
      </c>
      <c r="C281" t="b">
        <v>1</v>
      </c>
      <c r="D281">
        <v>8030</v>
      </c>
      <c r="E281">
        <v>8105</v>
      </c>
      <c r="F281">
        <v>206.13333</v>
      </c>
      <c r="G281">
        <v>188.8</v>
      </c>
      <c r="H281">
        <v>1.0918078</v>
      </c>
      <c r="I281">
        <v>-9.1807879999999994E-2</v>
      </c>
      <c r="J281">
        <v>0.47805535999999998</v>
      </c>
    </row>
    <row r="282" spans="1:10" x14ac:dyDescent="0.3">
      <c r="A282">
        <v>280</v>
      </c>
      <c r="B282">
        <v>7006</v>
      </c>
      <c r="C282" t="b">
        <v>1</v>
      </c>
      <c r="D282">
        <v>8065</v>
      </c>
      <c r="E282">
        <v>8105</v>
      </c>
      <c r="F282">
        <v>206.53334000000001</v>
      </c>
      <c r="G282">
        <v>188.8</v>
      </c>
      <c r="H282">
        <v>1.0939265</v>
      </c>
      <c r="I282">
        <v>-9.3926570000000001E-2</v>
      </c>
      <c r="J282">
        <v>0.47757167</v>
      </c>
    </row>
    <row r="283" spans="1:10" x14ac:dyDescent="0.3">
      <c r="A283">
        <v>281</v>
      </c>
      <c r="B283">
        <v>7038</v>
      </c>
      <c r="C283" t="b">
        <v>1</v>
      </c>
      <c r="D283">
        <v>8054</v>
      </c>
      <c r="E283">
        <v>8111</v>
      </c>
      <c r="F283">
        <v>206.93333000000001</v>
      </c>
      <c r="G283">
        <v>188.8</v>
      </c>
      <c r="H283">
        <v>1.0960451</v>
      </c>
      <c r="I283">
        <v>-9.6045190000000003E-2</v>
      </c>
      <c r="J283">
        <v>0.47708896000000001</v>
      </c>
    </row>
    <row r="284" spans="1:10" x14ac:dyDescent="0.3">
      <c r="A284">
        <v>282</v>
      </c>
      <c r="B284">
        <v>7054</v>
      </c>
      <c r="C284" t="b">
        <v>1</v>
      </c>
      <c r="D284">
        <v>8042</v>
      </c>
      <c r="E284">
        <v>8111</v>
      </c>
      <c r="F284">
        <v>206.53334000000001</v>
      </c>
      <c r="G284">
        <v>189.2</v>
      </c>
      <c r="H284">
        <v>1.0916139</v>
      </c>
      <c r="I284">
        <v>-9.161387E-2</v>
      </c>
      <c r="J284">
        <v>0.47809970000000002</v>
      </c>
    </row>
    <row r="285" spans="1:10" x14ac:dyDescent="0.3">
      <c r="A285">
        <v>283</v>
      </c>
      <c r="B285">
        <v>7069</v>
      </c>
      <c r="C285" t="b">
        <v>1</v>
      </c>
      <c r="D285">
        <v>8054</v>
      </c>
      <c r="E285">
        <v>8111</v>
      </c>
      <c r="F285">
        <v>206.93333000000001</v>
      </c>
      <c r="G285">
        <v>190</v>
      </c>
      <c r="H285">
        <v>1.0891227999999999</v>
      </c>
      <c r="I285">
        <v>-8.9122809999999997E-2</v>
      </c>
      <c r="J285">
        <v>0.47866979999999998</v>
      </c>
    </row>
    <row r="286" spans="1:10" x14ac:dyDescent="0.3">
      <c r="A286">
        <v>284</v>
      </c>
      <c r="B286">
        <v>7101</v>
      </c>
      <c r="C286" t="b">
        <v>1</v>
      </c>
      <c r="D286">
        <v>8023</v>
      </c>
      <c r="E286">
        <v>8129</v>
      </c>
      <c r="F286">
        <v>207.33332999999999</v>
      </c>
      <c r="G286">
        <v>190.8</v>
      </c>
      <c r="H286">
        <v>1.0866526000000001</v>
      </c>
      <c r="I286">
        <v>-8.6652644000000001E-2</v>
      </c>
      <c r="J286">
        <v>0.47923644999999998</v>
      </c>
    </row>
    <row r="287" spans="1:10" x14ac:dyDescent="0.3">
      <c r="A287">
        <v>285</v>
      </c>
      <c r="B287">
        <v>7117</v>
      </c>
      <c r="C287" t="b">
        <v>1</v>
      </c>
      <c r="D287">
        <v>8042</v>
      </c>
      <c r="E287">
        <v>8099</v>
      </c>
      <c r="F287">
        <v>206.93333000000001</v>
      </c>
      <c r="G287">
        <v>192</v>
      </c>
      <c r="H287">
        <v>1.0777776999999999</v>
      </c>
      <c r="I287">
        <v>-7.7777780000000005E-2</v>
      </c>
      <c r="J287">
        <v>0.48128339999999997</v>
      </c>
    </row>
    <row r="288" spans="1:10" x14ac:dyDescent="0.3">
      <c r="A288">
        <v>286</v>
      </c>
      <c r="B288">
        <v>7149</v>
      </c>
      <c r="C288" t="b">
        <v>1</v>
      </c>
      <c r="D288">
        <v>8060</v>
      </c>
      <c r="E288">
        <v>8093</v>
      </c>
      <c r="F288">
        <v>206.53334000000001</v>
      </c>
      <c r="G288">
        <v>193.2</v>
      </c>
      <c r="H288">
        <v>1.0690131</v>
      </c>
      <c r="I288">
        <v>-6.9013160000000004E-2</v>
      </c>
      <c r="J288">
        <v>0.48332219999999998</v>
      </c>
    </row>
    <row r="289" spans="1:10" x14ac:dyDescent="0.3">
      <c r="A289">
        <v>287</v>
      </c>
      <c r="B289">
        <v>7180</v>
      </c>
      <c r="C289" t="b">
        <v>1</v>
      </c>
      <c r="D289">
        <v>8037</v>
      </c>
      <c r="E289">
        <v>8099</v>
      </c>
      <c r="F289">
        <v>206.13333</v>
      </c>
      <c r="G289">
        <v>193.2</v>
      </c>
      <c r="H289">
        <v>1.0669427</v>
      </c>
      <c r="I289">
        <v>-6.6942730000000006E-2</v>
      </c>
      <c r="J289">
        <v>0.48380636999999999</v>
      </c>
    </row>
    <row r="290" spans="1:10" x14ac:dyDescent="0.3">
      <c r="A290">
        <v>288</v>
      </c>
      <c r="B290">
        <v>7213</v>
      </c>
      <c r="C290" t="b">
        <v>1</v>
      </c>
      <c r="D290">
        <v>8060</v>
      </c>
      <c r="E290">
        <v>8093</v>
      </c>
      <c r="F290">
        <v>205.73334</v>
      </c>
      <c r="G290">
        <v>193.2</v>
      </c>
      <c r="H290">
        <v>1.0648724000000001</v>
      </c>
      <c r="I290">
        <v>-6.4872360000000004E-2</v>
      </c>
      <c r="J290">
        <v>0.48429139999999998</v>
      </c>
    </row>
    <row r="291" spans="1:10" x14ac:dyDescent="0.3">
      <c r="A291">
        <v>289</v>
      </c>
      <c r="B291">
        <v>7244</v>
      </c>
      <c r="C291" t="b">
        <v>1</v>
      </c>
      <c r="D291">
        <v>8042</v>
      </c>
      <c r="E291">
        <v>8093</v>
      </c>
      <c r="F291">
        <v>205.33332999999999</v>
      </c>
      <c r="G291">
        <v>192</v>
      </c>
      <c r="H291">
        <v>1.0694444000000001</v>
      </c>
      <c r="I291">
        <v>-6.9444420000000007E-2</v>
      </c>
      <c r="J291">
        <v>0.48322150000000003</v>
      </c>
    </row>
    <row r="292" spans="1:10" x14ac:dyDescent="0.3">
      <c r="A292">
        <v>290</v>
      </c>
      <c r="B292">
        <v>7276</v>
      </c>
      <c r="C292" t="b">
        <v>1</v>
      </c>
      <c r="D292">
        <v>8042</v>
      </c>
      <c r="E292">
        <v>8117</v>
      </c>
      <c r="F292">
        <v>205.33332999999999</v>
      </c>
      <c r="G292">
        <v>190.8</v>
      </c>
      <c r="H292">
        <v>1.0761704000000001</v>
      </c>
      <c r="I292">
        <v>-7.6170470000000004E-2</v>
      </c>
      <c r="J292">
        <v>0.48165601000000002</v>
      </c>
    </row>
    <row r="293" spans="1:10" x14ac:dyDescent="0.3">
      <c r="A293">
        <v>291</v>
      </c>
      <c r="B293">
        <v>7308</v>
      </c>
      <c r="C293" t="b">
        <v>1</v>
      </c>
      <c r="D293">
        <v>8037</v>
      </c>
      <c r="E293">
        <v>8111</v>
      </c>
      <c r="F293">
        <v>204.93333000000001</v>
      </c>
      <c r="G293">
        <v>190</v>
      </c>
      <c r="H293">
        <v>1.0785965</v>
      </c>
      <c r="I293">
        <v>-7.8596495000000002E-2</v>
      </c>
      <c r="J293">
        <v>0.48109382000000001</v>
      </c>
    </row>
    <row r="294" spans="1:10" x14ac:dyDescent="0.3">
      <c r="A294">
        <v>292</v>
      </c>
      <c r="B294">
        <v>7324</v>
      </c>
      <c r="C294" t="b">
        <v>1</v>
      </c>
      <c r="D294">
        <v>8042</v>
      </c>
      <c r="E294">
        <v>8129</v>
      </c>
      <c r="F294">
        <v>204.53334000000001</v>
      </c>
      <c r="G294">
        <v>189.2</v>
      </c>
      <c r="H294">
        <v>1.081043</v>
      </c>
      <c r="I294">
        <v>-8.1043039999999997E-2</v>
      </c>
      <c r="J294">
        <v>0.48052826999999998</v>
      </c>
    </row>
    <row r="295" spans="1:10" x14ac:dyDescent="0.3">
      <c r="A295">
        <v>293</v>
      </c>
      <c r="B295">
        <v>7340</v>
      </c>
      <c r="C295" t="b">
        <v>1</v>
      </c>
      <c r="D295">
        <v>8048</v>
      </c>
      <c r="E295">
        <v>8099</v>
      </c>
      <c r="F295">
        <v>204.86667</v>
      </c>
      <c r="G295">
        <v>189.6</v>
      </c>
      <c r="H295">
        <v>1.0805203999999999</v>
      </c>
      <c r="I295">
        <v>-8.0520369999999994E-2</v>
      </c>
      <c r="J295">
        <v>0.48064899999999999</v>
      </c>
    </row>
    <row r="296" spans="1:10" x14ac:dyDescent="0.3">
      <c r="A296">
        <v>294</v>
      </c>
      <c r="B296">
        <v>7356</v>
      </c>
      <c r="C296" t="b">
        <v>1</v>
      </c>
      <c r="D296">
        <v>8042</v>
      </c>
      <c r="E296">
        <v>8111</v>
      </c>
      <c r="F296">
        <v>205.2</v>
      </c>
      <c r="G296">
        <v>190</v>
      </c>
      <c r="H296">
        <v>1.08</v>
      </c>
      <c r="I296">
        <v>-7.9999979999999998E-2</v>
      </c>
      <c r="J296">
        <v>0.48076922</v>
      </c>
    </row>
    <row r="297" spans="1:10" x14ac:dyDescent="0.3">
      <c r="A297">
        <v>295</v>
      </c>
      <c r="B297">
        <v>7372</v>
      </c>
      <c r="C297" t="b">
        <v>1</v>
      </c>
      <c r="D297">
        <v>8042</v>
      </c>
      <c r="E297">
        <v>8111</v>
      </c>
      <c r="F297">
        <v>204.4</v>
      </c>
      <c r="G297">
        <v>190.4</v>
      </c>
      <c r="H297">
        <v>1.0735294</v>
      </c>
      <c r="I297">
        <v>-7.3529415000000001E-2</v>
      </c>
      <c r="J297">
        <v>0.48226950000000002</v>
      </c>
    </row>
    <row r="298" spans="1:10" x14ac:dyDescent="0.3">
      <c r="A298">
        <v>296</v>
      </c>
      <c r="B298">
        <v>7403</v>
      </c>
      <c r="C298" t="b">
        <v>1</v>
      </c>
      <c r="D298">
        <v>8048</v>
      </c>
      <c r="E298">
        <v>8111</v>
      </c>
      <c r="F298">
        <v>203.6</v>
      </c>
      <c r="G298">
        <v>190.8</v>
      </c>
      <c r="H298">
        <v>1.067086</v>
      </c>
      <c r="I298">
        <v>-6.7085969999999995E-2</v>
      </c>
      <c r="J298">
        <v>0.48377278000000001</v>
      </c>
    </row>
    <row r="299" spans="1:10" x14ac:dyDescent="0.3">
      <c r="A299">
        <v>297</v>
      </c>
      <c r="B299">
        <v>7419</v>
      </c>
      <c r="C299" t="b">
        <v>1</v>
      </c>
      <c r="D299">
        <v>8017</v>
      </c>
      <c r="E299">
        <v>8111</v>
      </c>
      <c r="F299">
        <v>203.6</v>
      </c>
      <c r="G299">
        <v>191.2</v>
      </c>
      <c r="H299">
        <v>1.0648534999999999</v>
      </c>
      <c r="I299">
        <v>-6.4853610000000006E-2</v>
      </c>
      <c r="J299">
        <v>0.48429585000000003</v>
      </c>
    </row>
    <row r="300" spans="1:10" x14ac:dyDescent="0.3">
      <c r="A300">
        <v>298</v>
      </c>
      <c r="B300">
        <v>7435</v>
      </c>
      <c r="C300" t="b">
        <v>1</v>
      </c>
      <c r="D300">
        <v>8042</v>
      </c>
      <c r="E300">
        <v>8099</v>
      </c>
      <c r="F300">
        <v>202.8</v>
      </c>
      <c r="G300">
        <v>191.2</v>
      </c>
      <c r="H300">
        <v>1.0606694999999999</v>
      </c>
      <c r="I300">
        <v>-6.066949E-2</v>
      </c>
      <c r="J300">
        <v>0.48527916999999998</v>
      </c>
    </row>
    <row r="301" spans="1:10" x14ac:dyDescent="0.3">
      <c r="A301">
        <v>299</v>
      </c>
      <c r="B301">
        <v>7451</v>
      </c>
      <c r="C301" t="b">
        <v>1</v>
      </c>
      <c r="D301">
        <v>8060</v>
      </c>
      <c r="E301">
        <v>8117</v>
      </c>
      <c r="F301">
        <v>202</v>
      </c>
      <c r="G301">
        <v>191.2</v>
      </c>
      <c r="H301">
        <v>1.0564853999999999</v>
      </c>
      <c r="I301">
        <v>-5.6485373999999998E-2</v>
      </c>
      <c r="J301">
        <v>0.48626649999999999</v>
      </c>
    </row>
    <row r="302" spans="1:10" x14ac:dyDescent="0.3">
      <c r="A302">
        <v>300</v>
      </c>
      <c r="B302">
        <v>7483</v>
      </c>
      <c r="C302" t="b">
        <v>1</v>
      </c>
      <c r="D302">
        <v>8054</v>
      </c>
      <c r="E302">
        <v>8087</v>
      </c>
      <c r="F302">
        <v>202.4</v>
      </c>
      <c r="G302">
        <v>191.2</v>
      </c>
      <c r="H302">
        <v>1.0585773999999999</v>
      </c>
      <c r="I302">
        <v>-5.8577391999999999E-2</v>
      </c>
      <c r="J302">
        <v>0.48577237000000001</v>
      </c>
    </row>
    <row r="303" spans="1:10" x14ac:dyDescent="0.3">
      <c r="A303">
        <v>301</v>
      </c>
      <c r="B303">
        <v>7515</v>
      </c>
      <c r="C303" t="b">
        <v>1</v>
      </c>
      <c r="D303">
        <v>8030</v>
      </c>
      <c r="E303">
        <v>8093</v>
      </c>
      <c r="F303">
        <v>202.4</v>
      </c>
      <c r="G303">
        <v>190.4</v>
      </c>
      <c r="H303">
        <v>1.0630252</v>
      </c>
      <c r="I303">
        <v>-6.3025213999999996E-2</v>
      </c>
      <c r="J303">
        <v>0.48472505999999999</v>
      </c>
    </row>
    <row r="304" spans="1:10" x14ac:dyDescent="0.3">
      <c r="A304">
        <v>302</v>
      </c>
      <c r="B304">
        <v>7546</v>
      </c>
      <c r="C304" t="b">
        <v>1</v>
      </c>
      <c r="D304">
        <v>8030</v>
      </c>
      <c r="E304">
        <v>8087</v>
      </c>
      <c r="F304">
        <v>202.4</v>
      </c>
      <c r="G304">
        <v>190</v>
      </c>
      <c r="H304">
        <v>1.0652632</v>
      </c>
      <c r="I304">
        <v>-6.5263119999999994E-2</v>
      </c>
      <c r="J304">
        <v>0.48419980000000001</v>
      </c>
    </row>
    <row r="305" spans="1:10" x14ac:dyDescent="0.3">
      <c r="A305">
        <v>303</v>
      </c>
      <c r="B305">
        <v>7578</v>
      </c>
      <c r="C305" t="b">
        <v>1</v>
      </c>
      <c r="D305">
        <v>8037</v>
      </c>
      <c r="E305">
        <v>8117</v>
      </c>
      <c r="F305">
        <v>202.06666999999999</v>
      </c>
      <c r="G305">
        <v>189.6</v>
      </c>
      <c r="H305">
        <v>1.0657524</v>
      </c>
      <c r="I305">
        <v>-6.5752424000000004E-2</v>
      </c>
      <c r="J305">
        <v>0.48408508</v>
      </c>
    </row>
    <row r="306" spans="1:10" x14ac:dyDescent="0.3">
      <c r="A306">
        <v>304</v>
      </c>
      <c r="B306">
        <v>7594</v>
      </c>
      <c r="C306" t="b">
        <v>1</v>
      </c>
      <c r="D306">
        <v>8030</v>
      </c>
      <c r="E306">
        <v>8099</v>
      </c>
      <c r="F306">
        <v>201.26666</v>
      </c>
      <c r="G306">
        <v>189.6</v>
      </c>
      <c r="H306">
        <v>1.0615330000000001</v>
      </c>
      <c r="I306">
        <v>-6.1532996999999999E-2</v>
      </c>
      <c r="J306">
        <v>0.48507591999999999</v>
      </c>
    </row>
    <row r="307" spans="1:10" x14ac:dyDescent="0.3">
      <c r="A307">
        <v>305</v>
      </c>
      <c r="B307">
        <v>7610</v>
      </c>
      <c r="C307" t="b">
        <v>1</v>
      </c>
      <c r="D307">
        <v>8042</v>
      </c>
      <c r="E307">
        <v>8105</v>
      </c>
      <c r="F307">
        <v>200.46665999999999</v>
      </c>
      <c r="G307">
        <v>190</v>
      </c>
      <c r="H307">
        <v>1.0550877000000001</v>
      </c>
      <c r="I307">
        <v>-5.508768E-2</v>
      </c>
      <c r="J307">
        <v>0.48659720000000001</v>
      </c>
    </row>
    <row r="308" spans="1:10" x14ac:dyDescent="0.3">
      <c r="A308">
        <v>306</v>
      </c>
      <c r="B308">
        <v>7642</v>
      </c>
      <c r="C308" t="b">
        <v>1</v>
      </c>
      <c r="D308">
        <v>8060</v>
      </c>
      <c r="E308">
        <v>8140</v>
      </c>
      <c r="F308">
        <v>200.13333</v>
      </c>
      <c r="G308">
        <v>190.4</v>
      </c>
      <c r="H308">
        <v>1.0511204999999999</v>
      </c>
      <c r="I308">
        <v>-5.1120470000000001E-2</v>
      </c>
      <c r="J308">
        <v>0.48753839999999998</v>
      </c>
    </row>
    <row r="309" spans="1:10" x14ac:dyDescent="0.3">
      <c r="A309">
        <v>307</v>
      </c>
      <c r="B309">
        <v>7658</v>
      </c>
      <c r="C309" t="b">
        <v>1</v>
      </c>
      <c r="D309">
        <v>8054</v>
      </c>
      <c r="E309">
        <v>8117</v>
      </c>
      <c r="F309">
        <v>200.13333</v>
      </c>
      <c r="G309">
        <v>190.8</v>
      </c>
      <c r="H309">
        <v>1.0489168</v>
      </c>
      <c r="I309">
        <v>-4.8916813000000003E-2</v>
      </c>
      <c r="J309">
        <v>0.48806273999999999</v>
      </c>
    </row>
    <row r="310" spans="1:10" x14ac:dyDescent="0.3">
      <c r="A310">
        <v>308</v>
      </c>
      <c r="B310">
        <v>7673</v>
      </c>
      <c r="C310" t="b">
        <v>1</v>
      </c>
      <c r="D310">
        <v>8054</v>
      </c>
      <c r="E310">
        <v>8123</v>
      </c>
      <c r="F310">
        <v>200.93333000000001</v>
      </c>
      <c r="G310">
        <v>191.2</v>
      </c>
      <c r="H310">
        <v>1.0509065</v>
      </c>
      <c r="I310">
        <v>-5.0906576000000002E-2</v>
      </c>
      <c r="J310">
        <v>0.48758923999999998</v>
      </c>
    </row>
    <row r="311" spans="1:10" x14ac:dyDescent="0.3">
      <c r="A311">
        <v>309</v>
      </c>
      <c r="B311">
        <v>7705</v>
      </c>
      <c r="C311" t="b">
        <v>1</v>
      </c>
      <c r="D311">
        <v>8042</v>
      </c>
      <c r="E311">
        <v>8111</v>
      </c>
      <c r="F311">
        <v>201.73334</v>
      </c>
      <c r="G311">
        <v>191.6</v>
      </c>
      <c r="H311">
        <v>1.0528879</v>
      </c>
      <c r="I311">
        <v>-5.2887950000000003E-2</v>
      </c>
      <c r="J311">
        <v>0.48711865999999998</v>
      </c>
    </row>
    <row r="312" spans="1:10" x14ac:dyDescent="0.3">
      <c r="A312">
        <v>310</v>
      </c>
      <c r="B312">
        <v>7737</v>
      </c>
      <c r="C312" t="b">
        <v>1</v>
      </c>
      <c r="D312">
        <v>8054</v>
      </c>
      <c r="E312">
        <v>8105</v>
      </c>
      <c r="F312">
        <v>202.53334000000001</v>
      </c>
      <c r="G312">
        <v>192</v>
      </c>
      <c r="H312">
        <v>1.0548611999999999</v>
      </c>
      <c r="I312">
        <v>-5.4861146999999999E-2</v>
      </c>
      <c r="J312">
        <v>0.4866509</v>
      </c>
    </row>
    <row r="313" spans="1:10" x14ac:dyDescent="0.3">
      <c r="A313">
        <v>311</v>
      </c>
      <c r="B313">
        <v>7753</v>
      </c>
      <c r="C313" t="b">
        <v>1</v>
      </c>
      <c r="D313">
        <v>8048</v>
      </c>
      <c r="E313">
        <v>8093</v>
      </c>
      <c r="F313">
        <v>203.33332999999999</v>
      </c>
      <c r="G313">
        <v>192</v>
      </c>
      <c r="H313">
        <v>1.0590278</v>
      </c>
      <c r="I313">
        <v>-5.9027749999999997E-2</v>
      </c>
      <c r="J313">
        <v>0.48566612999999997</v>
      </c>
    </row>
    <row r="314" spans="1:10" x14ac:dyDescent="0.3">
      <c r="A314">
        <v>312</v>
      </c>
      <c r="B314">
        <v>7769</v>
      </c>
      <c r="C314" t="b">
        <v>1</v>
      </c>
      <c r="D314">
        <v>8037</v>
      </c>
      <c r="E314">
        <v>8087</v>
      </c>
      <c r="F314">
        <v>203.73334</v>
      </c>
      <c r="G314">
        <v>191.6</v>
      </c>
      <c r="H314">
        <v>1.0633264</v>
      </c>
      <c r="I314">
        <v>-6.3326359999999998E-2</v>
      </c>
      <c r="J314">
        <v>0.48465429999999998</v>
      </c>
    </row>
    <row r="315" spans="1:10" x14ac:dyDescent="0.3">
      <c r="A315">
        <v>313</v>
      </c>
      <c r="B315">
        <v>7801</v>
      </c>
      <c r="C315" t="b">
        <v>1</v>
      </c>
      <c r="D315">
        <v>8054</v>
      </c>
      <c r="E315">
        <v>8099</v>
      </c>
      <c r="F315">
        <v>204.13333</v>
      </c>
      <c r="G315">
        <v>190.8</v>
      </c>
      <c r="H315">
        <v>1.0698812</v>
      </c>
      <c r="I315">
        <v>-6.9881170000000006E-2</v>
      </c>
      <c r="J315">
        <v>0.48311949999999998</v>
      </c>
    </row>
    <row r="316" spans="1:10" x14ac:dyDescent="0.3">
      <c r="A316">
        <v>314</v>
      </c>
      <c r="B316">
        <v>7832</v>
      </c>
      <c r="C316" t="b">
        <v>1</v>
      </c>
      <c r="D316">
        <v>8048</v>
      </c>
      <c r="E316">
        <v>8117</v>
      </c>
      <c r="F316">
        <v>204.53334000000001</v>
      </c>
      <c r="G316">
        <v>190</v>
      </c>
      <c r="H316">
        <v>1.0764912</v>
      </c>
      <c r="I316">
        <v>-7.649127E-2</v>
      </c>
      <c r="J316">
        <v>0.48158162999999998</v>
      </c>
    </row>
    <row r="317" spans="1:10" x14ac:dyDescent="0.3">
      <c r="A317">
        <v>315</v>
      </c>
      <c r="B317">
        <v>7864</v>
      </c>
      <c r="C317" t="b">
        <v>1</v>
      </c>
      <c r="D317">
        <v>8037</v>
      </c>
      <c r="E317">
        <v>8111</v>
      </c>
      <c r="F317">
        <v>204.53334000000001</v>
      </c>
      <c r="G317">
        <v>189.2</v>
      </c>
      <c r="H317">
        <v>1.081043</v>
      </c>
      <c r="I317">
        <v>-8.1043039999999997E-2</v>
      </c>
      <c r="J317">
        <v>0.48052826999999998</v>
      </c>
    </row>
    <row r="318" spans="1:10" x14ac:dyDescent="0.3">
      <c r="A318">
        <v>316</v>
      </c>
      <c r="B318">
        <v>7895</v>
      </c>
      <c r="C318" t="b">
        <v>1</v>
      </c>
      <c r="D318">
        <v>8037</v>
      </c>
      <c r="E318">
        <v>8105</v>
      </c>
      <c r="F318">
        <v>204.2</v>
      </c>
      <c r="G318">
        <v>189.6</v>
      </c>
      <c r="H318">
        <v>1.0770042</v>
      </c>
      <c r="I318">
        <v>-7.7004169999999997E-2</v>
      </c>
      <c r="J318">
        <v>0.48146270000000002</v>
      </c>
    </row>
    <row r="319" spans="1:10" x14ac:dyDescent="0.3">
      <c r="A319">
        <v>317</v>
      </c>
      <c r="B319">
        <v>7911</v>
      </c>
      <c r="C319" t="b">
        <v>1</v>
      </c>
      <c r="D319">
        <v>8042</v>
      </c>
      <c r="E319">
        <v>8099</v>
      </c>
      <c r="F319">
        <v>204.2</v>
      </c>
      <c r="G319">
        <v>190.4</v>
      </c>
      <c r="H319">
        <v>1.072479</v>
      </c>
      <c r="I319">
        <v>-7.2479009999999996E-2</v>
      </c>
      <c r="J319">
        <v>0.48251396000000002</v>
      </c>
    </row>
    <row r="320" spans="1:10" x14ac:dyDescent="0.3">
      <c r="A320">
        <v>318</v>
      </c>
      <c r="B320">
        <v>7927</v>
      </c>
      <c r="C320" t="b">
        <v>1</v>
      </c>
      <c r="D320">
        <v>8048</v>
      </c>
      <c r="E320">
        <v>8105</v>
      </c>
      <c r="F320">
        <v>204.53334000000001</v>
      </c>
      <c r="G320">
        <v>191.2</v>
      </c>
      <c r="H320">
        <v>1.0697350000000001</v>
      </c>
      <c r="I320">
        <v>-6.9735060000000001E-2</v>
      </c>
      <c r="J320">
        <v>0.48315360000000002</v>
      </c>
    </row>
    <row r="321" spans="1:10" x14ac:dyDescent="0.3">
      <c r="A321">
        <v>319</v>
      </c>
      <c r="B321">
        <v>7958</v>
      </c>
      <c r="C321" t="b">
        <v>1</v>
      </c>
      <c r="D321">
        <v>8048</v>
      </c>
      <c r="E321">
        <v>8123</v>
      </c>
      <c r="F321">
        <v>205.33332999999999</v>
      </c>
      <c r="G321">
        <v>192</v>
      </c>
      <c r="H321">
        <v>1.0694444000000001</v>
      </c>
      <c r="I321">
        <v>-6.9444420000000007E-2</v>
      </c>
      <c r="J321">
        <v>0.48322150000000003</v>
      </c>
    </row>
    <row r="322" spans="1:10" x14ac:dyDescent="0.3">
      <c r="A322">
        <v>320</v>
      </c>
      <c r="B322">
        <v>7974</v>
      </c>
      <c r="C322" t="b">
        <v>1</v>
      </c>
      <c r="D322">
        <v>8060</v>
      </c>
      <c r="E322">
        <v>8099</v>
      </c>
      <c r="F322">
        <v>206.53334000000001</v>
      </c>
      <c r="G322">
        <v>192.4</v>
      </c>
      <c r="H322">
        <v>1.0734581999999999</v>
      </c>
      <c r="I322">
        <v>-7.3458140000000005E-2</v>
      </c>
      <c r="J322">
        <v>0.48228607000000001</v>
      </c>
    </row>
    <row r="323" spans="1:10" x14ac:dyDescent="0.3">
      <c r="A323">
        <v>321</v>
      </c>
      <c r="B323">
        <v>8006</v>
      </c>
      <c r="C323" t="b">
        <v>1</v>
      </c>
      <c r="D323">
        <v>8054</v>
      </c>
      <c r="E323">
        <v>8105</v>
      </c>
      <c r="F323">
        <v>207.26666</v>
      </c>
      <c r="G323">
        <v>192.4</v>
      </c>
      <c r="H323">
        <v>1.0772695999999999</v>
      </c>
      <c r="I323">
        <v>-7.7269589999999999E-2</v>
      </c>
      <c r="J323">
        <v>0.48140117999999998</v>
      </c>
    </row>
    <row r="324" spans="1:10" x14ac:dyDescent="0.3">
      <c r="A324">
        <v>322</v>
      </c>
      <c r="B324">
        <v>8022</v>
      </c>
      <c r="C324" t="b">
        <v>1</v>
      </c>
      <c r="D324">
        <v>8054</v>
      </c>
      <c r="E324">
        <v>8099</v>
      </c>
      <c r="F324">
        <v>208.06666999999999</v>
      </c>
      <c r="G324">
        <v>191.6</v>
      </c>
      <c r="H324">
        <v>1.0859429</v>
      </c>
      <c r="I324">
        <v>-8.5942894000000006E-2</v>
      </c>
      <c r="J324">
        <v>0.47939949999999998</v>
      </c>
    </row>
    <row r="325" spans="1:10" x14ac:dyDescent="0.3">
      <c r="A325">
        <v>323</v>
      </c>
      <c r="B325">
        <v>8038</v>
      </c>
      <c r="C325" t="b">
        <v>1</v>
      </c>
      <c r="D325">
        <v>8037</v>
      </c>
      <c r="E325">
        <v>8140</v>
      </c>
      <c r="F325">
        <v>208.06666999999999</v>
      </c>
      <c r="G325">
        <v>190.8</v>
      </c>
      <c r="H325">
        <v>1.0904962</v>
      </c>
      <c r="I325">
        <v>-9.0496129999999994E-2</v>
      </c>
      <c r="J325">
        <v>0.47835535000000001</v>
      </c>
    </row>
    <row r="326" spans="1:10" x14ac:dyDescent="0.3">
      <c r="A326">
        <v>324</v>
      </c>
      <c r="B326">
        <v>8070</v>
      </c>
      <c r="C326" t="b">
        <v>1</v>
      </c>
      <c r="D326">
        <v>8054</v>
      </c>
      <c r="E326">
        <v>8105</v>
      </c>
      <c r="F326">
        <v>208.06666999999999</v>
      </c>
      <c r="G326">
        <v>190</v>
      </c>
      <c r="H326">
        <v>1.0950877999999999</v>
      </c>
      <c r="I326">
        <v>-9.5087714000000004E-2</v>
      </c>
      <c r="J326">
        <v>0.47730699999999998</v>
      </c>
    </row>
    <row r="327" spans="1:10" x14ac:dyDescent="0.3">
      <c r="A327">
        <v>325</v>
      </c>
      <c r="B327">
        <v>8101</v>
      </c>
      <c r="C327" t="b">
        <v>1</v>
      </c>
      <c r="D327">
        <v>8048</v>
      </c>
      <c r="E327">
        <v>8111</v>
      </c>
      <c r="F327">
        <v>208.06666999999999</v>
      </c>
      <c r="G327">
        <v>189.2</v>
      </c>
      <c r="H327">
        <v>1.0997181</v>
      </c>
      <c r="I327">
        <v>-9.9718119999999993E-2</v>
      </c>
      <c r="J327">
        <v>0.47625440000000002</v>
      </c>
    </row>
    <row r="328" spans="1:10" x14ac:dyDescent="0.3">
      <c r="A328">
        <v>326</v>
      </c>
      <c r="B328">
        <v>8132</v>
      </c>
      <c r="C328" t="b">
        <v>1</v>
      </c>
      <c r="D328">
        <v>8054</v>
      </c>
      <c r="E328">
        <v>8146</v>
      </c>
      <c r="F328">
        <v>208.06666999999999</v>
      </c>
      <c r="G328">
        <v>189.2</v>
      </c>
      <c r="H328">
        <v>1.0997181</v>
      </c>
      <c r="I328">
        <v>-9.9718119999999993E-2</v>
      </c>
      <c r="J328">
        <v>0.47625440000000002</v>
      </c>
    </row>
    <row r="329" spans="1:10" x14ac:dyDescent="0.3">
      <c r="A329">
        <v>327</v>
      </c>
      <c r="B329">
        <v>8164</v>
      </c>
      <c r="C329" t="b">
        <v>1</v>
      </c>
      <c r="D329">
        <v>8037</v>
      </c>
      <c r="E329">
        <v>8111</v>
      </c>
      <c r="F329">
        <v>208.06666999999999</v>
      </c>
      <c r="G329">
        <v>189.6</v>
      </c>
      <c r="H329">
        <v>1.0973980000000001</v>
      </c>
      <c r="I329">
        <v>-9.7397990000000004E-2</v>
      </c>
      <c r="J329">
        <v>0.47678122000000001</v>
      </c>
    </row>
    <row r="330" spans="1:10" x14ac:dyDescent="0.3">
      <c r="A330">
        <v>328</v>
      </c>
      <c r="B330">
        <v>8196</v>
      </c>
      <c r="C330" t="b">
        <v>1</v>
      </c>
      <c r="D330">
        <v>8048</v>
      </c>
      <c r="E330">
        <v>8123</v>
      </c>
      <c r="F330">
        <v>208.06666999999999</v>
      </c>
      <c r="G330">
        <v>190.4</v>
      </c>
      <c r="H330">
        <v>1.0927871</v>
      </c>
      <c r="I330">
        <v>-9.2787149999999999E-2</v>
      </c>
      <c r="J330">
        <v>0.47783165999999999</v>
      </c>
    </row>
    <row r="331" spans="1:10" x14ac:dyDescent="0.3">
      <c r="A331">
        <v>329</v>
      </c>
      <c r="B331">
        <v>8228</v>
      </c>
      <c r="C331" t="b">
        <v>1</v>
      </c>
      <c r="D331">
        <v>8048</v>
      </c>
      <c r="E331">
        <v>8087</v>
      </c>
      <c r="F331">
        <v>208.06666999999999</v>
      </c>
      <c r="G331">
        <v>191.2</v>
      </c>
      <c r="H331">
        <v>1.0882148</v>
      </c>
      <c r="I331">
        <v>-8.8214790000000001E-2</v>
      </c>
      <c r="J331">
        <v>0.47887793000000001</v>
      </c>
    </row>
    <row r="332" spans="1:10" x14ac:dyDescent="0.3">
      <c r="A332">
        <v>330</v>
      </c>
      <c r="B332">
        <v>8259</v>
      </c>
      <c r="C332" t="b">
        <v>1</v>
      </c>
      <c r="D332">
        <v>8060</v>
      </c>
      <c r="E332">
        <v>8111</v>
      </c>
      <c r="F332">
        <v>208.06666999999999</v>
      </c>
      <c r="G332">
        <v>192</v>
      </c>
      <c r="H332">
        <v>1.0836805</v>
      </c>
      <c r="I332">
        <v>-8.3680550000000006E-2</v>
      </c>
      <c r="J332">
        <v>0.47992003</v>
      </c>
    </row>
    <row r="333" spans="1:10" x14ac:dyDescent="0.3">
      <c r="A333">
        <v>331</v>
      </c>
      <c r="B333">
        <v>8291</v>
      </c>
      <c r="C333" t="b">
        <v>1</v>
      </c>
      <c r="D333">
        <v>8037</v>
      </c>
      <c r="E333">
        <v>8093</v>
      </c>
      <c r="F333">
        <v>208.8</v>
      </c>
      <c r="G333">
        <v>192.4</v>
      </c>
      <c r="H333">
        <v>1.0852392</v>
      </c>
      <c r="I333">
        <v>-8.5239134999999994E-2</v>
      </c>
      <c r="J333">
        <v>0.47956130000000002</v>
      </c>
    </row>
    <row r="334" spans="1:10" x14ac:dyDescent="0.3">
      <c r="A334">
        <v>332</v>
      </c>
      <c r="B334">
        <v>8322</v>
      </c>
      <c r="C334" t="b">
        <v>1</v>
      </c>
      <c r="D334">
        <v>8037</v>
      </c>
      <c r="E334">
        <v>8129</v>
      </c>
      <c r="F334">
        <v>209.2</v>
      </c>
      <c r="G334">
        <v>192.8</v>
      </c>
      <c r="H334">
        <v>1.0850622999999999</v>
      </c>
      <c r="I334">
        <v>-8.5062206000000001E-2</v>
      </c>
      <c r="J334">
        <v>0.47960199999999997</v>
      </c>
    </row>
    <row r="335" spans="1:10" x14ac:dyDescent="0.3">
      <c r="A335">
        <v>333</v>
      </c>
      <c r="B335">
        <v>8354</v>
      </c>
      <c r="C335" t="b">
        <v>1</v>
      </c>
      <c r="D335">
        <v>8042</v>
      </c>
      <c r="E335">
        <v>8123</v>
      </c>
      <c r="F335">
        <v>209.2</v>
      </c>
      <c r="G335">
        <v>193.2</v>
      </c>
      <c r="H335">
        <v>1.0828158000000001</v>
      </c>
      <c r="I335">
        <v>-8.2815739999999999E-2</v>
      </c>
      <c r="J335">
        <v>0.48011930000000003</v>
      </c>
    </row>
    <row r="336" spans="1:10" x14ac:dyDescent="0.3">
      <c r="A336">
        <v>334</v>
      </c>
      <c r="B336">
        <v>8386</v>
      </c>
      <c r="C336" t="b">
        <v>1</v>
      </c>
      <c r="D336">
        <v>8048</v>
      </c>
      <c r="E336">
        <v>8140</v>
      </c>
      <c r="F336">
        <v>209.2</v>
      </c>
      <c r="G336">
        <v>194.4</v>
      </c>
      <c r="H336">
        <v>1.0761316999999999</v>
      </c>
      <c r="I336">
        <v>-7.6131710000000005E-2</v>
      </c>
      <c r="J336">
        <v>0.48166502</v>
      </c>
    </row>
    <row r="337" spans="1:10" x14ac:dyDescent="0.3">
      <c r="A337">
        <v>335</v>
      </c>
      <c r="B337">
        <v>8417</v>
      </c>
      <c r="C337" t="b">
        <v>1</v>
      </c>
      <c r="D337">
        <v>8037</v>
      </c>
      <c r="E337">
        <v>8111</v>
      </c>
      <c r="F337">
        <v>208.46665999999999</v>
      </c>
      <c r="G337">
        <v>195.6</v>
      </c>
      <c r="H337">
        <v>1.0657804</v>
      </c>
      <c r="I337">
        <v>-6.5780439999999996E-2</v>
      </c>
      <c r="J337">
        <v>0.48407855999999999</v>
      </c>
    </row>
    <row r="338" spans="1:10" x14ac:dyDescent="0.3">
      <c r="A338">
        <v>336</v>
      </c>
      <c r="B338">
        <v>8449</v>
      </c>
      <c r="C338" t="b">
        <v>1</v>
      </c>
      <c r="D338">
        <v>8048</v>
      </c>
      <c r="E338">
        <v>8111</v>
      </c>
      <c r="F338">
        <v>208.06666999999999</v>
      </c>
      <c r="G338">
        <v>196.8</v>
      </c>
      <c r="H338">
        <v>1.0572493000000001</v>
      </c>
      <c r="I338">
        <v>-5.7249300000000003E-2</v>
      </c>
      <c r="J338">
        <v>0.48608594999999999</v>
      </c>
    </row>
    <row r="339" spans="1:10" x14ac:dyDescent="0.3">
      <c r="A339">
        <v>337</v>
      </c>
      <c r="B339">
        <v>8479</v>
      </c>
      <c r="C339" t="b">
        <v>1</v>
      </c>
      <c r="D339">
        <v>8037</v>
      </c>
      <c r="E339">
        <v>8093</v>
      </c>
      <c r="F339">
        <v>207.26666</v>
      </c>
      <c r="G339">
        <v>197.2</v>
      </c>
      <c r="H339">
        <v>1.051048</v>
      </c>
      <c r="I339">
        <v>-5.1048000000000003E-2</v>
      </c>
      <c r="J339">
        <v>0.48755562000000002</v>
      </c>
    </row>
    <row r="340" spans="1:10" x14ac:dyDescent="0.3">
      <c r="A340">
        <v>338</v>
      </c>
      <c r="B340">
        <v>8512</v>
      </c>
      <c r="C340" t="b">
        <v>1</v>
      </c>
      <c r="D340">
        <v>8030</v>
      </c>
      <c r="E340">
        <v>8093</v>
      </c>
      <c r="F340">
        <v>206.13333</v>
      </c>
      <c r="G340">
        <v>197.6</v>
      </c>
      <c r="H340">
        <v>1.0431849</v>
      </c>
      <c r="I340">
        <v>-4.3184843000000001E-2</v>
      </c>
      <c r="J340">
        <v>0.48943197999999999</v>
      </c>
    </row>
    <row r="341" spans="1:10" x14ac:dyDescent="0.3">
      <c r="A341">
        <v>339</v>
      </c>
      <c r="B341">
        <v>8543</v>
      </c>
      <c r="C341" t="b">
        <v>1</v>
      </c>
      <c r="D341">
        <v>8048</v>
      </c>
      <c r="E341">
        <v>8111</v>
      </c>
      <c r="F341">
        <v>205</v>
      </c>
      <c r="G341">
        <v>198</v>
      </c>
      <c r="H341">
        <v>1.0353535</v>
      </c>
      <c r="I341">
        <v>-3.5353533999999999E-2</v>
      </c>
      <c r="J341">
        <v>0.49131512999999999</v>
      </c>
    </row>
    <row r="342" spans="1:10" x14ac:dyDescent="0.3">
      <c r="A342">
        <v>340</v>
      </c>
      <c r="B342">
        <v>8574</v>
      </c>
      <c r="C342" t="b">
        <v>1</v>
      </c>
      <c r="D342">
        <v>8017</v>
      </c>
      <c r="E342">
        <v>8129</v>
      </c>
      <c r="F342">
        <v>203.86667</v>
      </c>
      <c r="G342">
        <v>198.4</v>
      </c>
      <c r="H342">
        <v>1.0275538</v>
      </c>
      <c r="I342">
        <v>-2.7553806E-2</v>
      </c>
      <c r="J342">
        <v>0.49320515999999998</v>
      </c>
    </row>
    <row r="343" spans="1:10" x14ac:dyDescent="0.3">
      <c r="A343">
        <v>341</v>
      </c>
      <c r="B343">
        <v>8606</v>
      </c>
      <c r="C343" t="b">
        <v>1</v>
      </c>
      <c r="D343">
        <v>8037</v>
      </c>
      <c r="E343">
        <v>8111</v>
      </c>
      <c r="F343">
        <v>202.73334</v>
      </c>
      <c r="G343">
        <v>198.4</v>
      </c>
      <c r="H343">
        <v>1.0218414</v>
      </c>
      <c r="I343">
        <v>-2.1841449999999998E-2</v>
      </c>
      <c r="J343">
        <v>0.49459862999999998</v>
      </c>
    </row>
    <row r="344" spans="1:10" x14ac:dyDescent="0.3">
      <c r="A344">
        <v>342</v>
      </c>
      <c r="B344">
        <v>8622</v>
      </c>
      <c r="C344" t="b">
        <v>1</v>
      </c>
      <c r="D344">
        <v>8042</v>
      </c>
      <c r="E344">
        <v>8099</v>
      </c>
      <c r="F344">
        <v>202</v>
      </c>
      <c r="G344">
        <v>198.4</v>
      </c>
      <c r="H344">
        <v>1.0181452</v>
      </c>
      <c r="I344">
        <v>-1.8145192000000001E-2</v>
      </c>
      <c r="J344">
        <v>0.49550450000000001</v>
      </c>
    </row>
    <row r="345" spans="1:10" x14ac:dyDescent="0.3">
      <c r="A345">
        <v>343</v>
      </c>
      <c r="B345">
        <v>8638</v>
      </c>
      <c r="C345" t="b">
        <v>1</v>
      </c>
      <c r="D345">
        <v>8037</v>
      </c>
      <c r="E345">
        <v>8134</v>
      </c>
      <c r="F345">
        <v>201.26666</v>
      </c>
      <c r="G345">
        <v>198.4</v>
      </c>
      <c r="H345">
        <v>1.0144489000000001</v>
      </c>
      <c r="I345">
        <v>-1.4448935E-2</v>
      </c>
      <c r="J345">
        <v>0.49641368000000002</v>
      </c>
    </row>
    <row r="346" spans="1:10" x14ac:dyDescent="0.3">
      <c r="A346">
        <v>344</v>
      </c>
      <c r="B346">
        <v>8669</v>
      </c>
      <c r="C346" t="b">
        <v>1</v>
      </c>
      <c r="D346">
        <v>8042</v>
      </c>
      <c r="E346">
        <v>8087</v>
      </c>
      <c r="F346">
        <v>200.53334000000001</v>
      </c>
      <c r="G346">
        <v>198.4</v>
      </c>
      <c r="H346">
        <v>1.0107527999999999</v>
      </c>
      <c r="I346">
        <v>-1.0752754999999999E-2</v>
      </c>
      <c r="J346">
        <v>0.49732617000000001</v>
      </c>
    </row>
    <row r="347" spans="1:10" x14ac:dyDescent="0.3">
      <c r="A347">
        <v>345</v>
      </c>
      <c r="B347">
        <v>8701</v>
      </c>
      <c r="C347" t="b">
        <v>1</v>
      </c>
      <c r="D347">
        <v>8060</v>
      </c>
      <c r="E347">
        <v>8105</v>
      </c>
      <c r="F347">
        <v>200.13333</v>
      </c>
      <c r="G347">
        <v>198</v>
      </c>
      <c r="H347">
        <v>1.0107744000000001</v>
      </c>
      <c r="I347">
        <v>-1.07744E-2</v>
      </c>
      <c r="J347">
        <v>0.49732082999999999</v>
      </c>
    </row>
    <row r="348" spans="1:10" x14ac:dyDescent="0.3">
      <c r="A348">
        <v>346</v>
      </c>
      <c r="B348">
        <v>8732</v>
      </c>
      <c r="C348" t="b">
        <v>1</v>
      </c>
      <c r="D348">
        <v>8042</v>
      </c>
      <c r="E348">
        <v>8123</v>
      </c>
      <c r="F348">
        <v>199.73334</v>
      </c>
      <c r="G348">
        <v>197.6</v>
      </c>
      <c r="H348">
        <v>1.0107961999999999</v>
      </c>
      <c r="I348">
        <v>-1.0796211E-2</v>
      </c>
      <c r="J348">
        <v>0.49731544</v>
      </c>
    </row>
    <row r="349" spans="1:10" x14ac:dyDescent="0.3">
      <c r="A349">
        <v>347</v>
      </c>
      <c r="B349">
        <v>8764</v>
      </c>
      <c r="C349" t="b">
        <v>1</v>
      </c>
      <c r="D349">
        <v>8054</v>
      </c>
      <c r="E349">
        <v>8117</v>
      </c>
      <c r="F349">
        <v>199.33332999999999</v>
      </c>
      <c r="G349">
        <v>198</v>
      </c>
      <c r="H349">
        <v>1.006734</v>
      </c>
      <c r="I349">
        <v>-6.733981E-3</v>
      </c>
      <c r="J349">
        <v>0.49832216000000001</v>
      </c>
    </row>
    <row r="350" spans="1:10" x14ac:dyDescent="0.3">
      <c r="A350">
        <v>348</v>
      </c>
      <c r="B350">
        <v>8795</v>
      </c>
      <c r="C350" t="b">
        <v>1</v>
      </c>
      <c r="D350">
        <v>8037</v>
      </c>
      <c r="E350">
        <v>8111</v>
      </c>
      <c r="F350">
        <v>199.33332999999999</v>
      </c>
      <c r="G350">
        <v>198</v>
      </c>
      <c r="H350">
        <v>1.006734</v>
      </c>
      <c r="I350">
        <v>-6.733981E-3</v>
      </c>
      <c r="J350">
        <v>0.49832216000000001</v>
      </c>
    </row>
    <row r="351" spans="1:10" x14ac:dyDescent="0.3">
      <c r="A351">
        <v>349</v>
      </c>
      <c r="B351">
        <v>8811</v>
      </c>
      <c r="C351" t="b">
        <v>1</v>
      </c>
      <c r="D351">
        <v>8065</v>
      </c>
      <c r="E351">
        <v>8134</v>
      </c>
      <c r="F351">
        <v>200.13333</v>
      </c>
      <c r="G351">
        <v>197.6</v>
      </c>
      <c r="H351">
        <v>1.0128204999999999</v>
      </c>
      <c r="I351">
        <v>-1.2820471E-2</v>
      </c>
      <c r="J351">
        <v>0.49681530000000002</v>
      </c>
    </row>
    <row r="352" spans="1:10" x14ac:dyDescent="0.3">
      <c r="A352">
        <v>350</v>
      </c>
      <c r="B352">
        <v>8842</v>
      </c>
      <c r="C352" t="b">
        <v>1</v>
      </c>
      <c r="D352">
        <v>8030</v>
      </c>
      <c r="E352">
        <v>8111</v>
      </c>
      <c r="F352">
        <v>200.46665999999999</v>
      </c>
      <c r="G352">
        <v>197.2</v>
      </c>
      <c r="H352">
        <v>1.0165652000000001</v>
      </c>
      <c r="I352">
        <v>-1.6565225999999999E-2</v>
      </c>
      <c r="J352">
        <v>0.49589270000000002</v>
      </c>
    </row>
    <row r="353" spans="1:10" x14ac:dyDescent="0.3">
      <c r="A353">
        <v>351</v>
      </c>
      <c r="B353">
        <v>8873</v>
      </c>
      <c r="C353" t="b">
        <v>1</v>
      </c>
      <c r="D353">
        <v>8042</v>
      </c>
      <c r="E353">
        <v>8123</v>
      </c>
      <c r="F353">
        <v>200.46665999999999</v>
      </c>
      <c r="G353">
        <v>196.8</v>
      </c>
      <c r="H353">
        <v>1.0186313</v>
      </c>
      <c r="I353">
        <v>-1.8631384000000001E-2</v>
      </c>
      <c r="J353">
        <v>0.49538514</v>
      </c>
    </row>
    <row r="354" spans="1:10" x14ac:dyDescent="0.3">
      <c r="A354">
        <v>352</v>
      </c>
      <c r="B354">
        <v>8889</v>
      </c>
      <c r="C354" t="b">
        <v>1</v>
      </c>
      <c r="D354">
        <v>8042</v>
      </c>
      <c r="E354">
        <v>8117</v>
      </c>
      <c r="F354">
        <v>200.46665999999999</v>
      </c>
      <c r="G354">
        <v>197.2</v>
      </c>
      <c r="H354">
        <v>1.0165652000000001</v>
      </c>
      <c r="I354">
        <v>-1.6565225999999999E-2</v>
      </c>
      <c r="J354">
        <v>0.49589270000000002</v>
      </c>
    </row>
    <row r="355" spans="1:10" x14ac:dyDescent="0.3">
      <c r="A355">
        <v>353</v>
      </c>
      <c r="B355">
        <v>8904</v>
      </c>
      <c r="C355" t="b">
        <v>1</v>
      </c>
      <c r="D355">
        <v>8060</v>
      </c>
      <c r="E355">
        <v>8134</v>
      </c>
      <c r="F355">
        <v>200.8</v>
      </c>
      <c r="G355">
        <v>198</v>
      </c>
      <c r="H355">
        <v>1.0141414</v>
      </c>
      <c r="I355">
        <v>-1.4141429E-2</v>
      </c>
      <c r="J355">
        <v>0.49648949999999997</v>
      </c>
    </row>
    <row r="356" spans="1:10" x14ac:dyDescent="0.3">
      <c r="A356">
        <v>354</v>
      </c>
      <c r="B356">
        <v>8920</v>
      </c>
      <c r="C356" t="b">
        <v>1</v>
      </c>
      <c r="D356">
        <v>8030</v>
      </c>
      <c r="E356">
        <v>8129</v>
      </c>
      <c r="F356">
        <v>201.13333</v>
      </c>
      <c r="G356">
        <v>198.8</v>
      </c>
      <c r="H356">
        <v>1.0117370999999999</v>
      </c>
      <c r="I356">
        <v>-1.17370635E-2</v>
      </c>
      <c r="J356">
        <v>0.49708282999999998</v>
      </c>
    </row>
    <row r="357" spans="1:10" x14ac:dyDescent="0.3">
      <c r="A357">
        <v>355</v>
      </c>
      <c r="B357">
        <v>8936</v>
      </c>
      <c r="C357" t="b">
        <v>1</v>
      </c>
      <c r="D357">
        <v>8042</v>
      </c>
      <c r="E357">
        <v>8099</v>
      </c>
      <c r="F357">
        <v>201.46665999999999</v>
      </c>
      <c r="G357">
        <v>199.6</v>
      </c>
      <c r="H357">
        <v>1.009352</v>
      </c>
      <c r="I357">
        <v>-9.3519710000000006E-3</v>
      </c>
      <c r="J357">
        <v>0.49767292000000002</v>
      </c>
    </row>
    <row r="358" spans="1:10" x14ac:dyDescent="0.3">
      <c r="A358">
        <v>356</v>
      </c>
      <c r="B358">
        <v>8952</v>
      </c>
      <c r="C358" t="b">
        <v>1</v>
      </c>
      <c r="D358">
        <v>8037</v>
      </c>
      <c r="E358">
        <v>8099</v>
      </c>
      <c r="F358">
        <v>201.8</v>
      </c>
      <c r="G358">
        <v>200</v>
      </c>
      <c r="H358">
        <v>1.0090001</v>
      </c>
      <c r="I358">
        <v>-9.0000150000000001E-3</v>
      </c>
      <c r="J358">
        <v>0.49776009999999998</v>
      </c>
    </row>
    <row r="359" spans="1:10" x14ac:dyDescent="0.3">
      <c r="A359">
        <v>357</v>
      </c>
      <c r="B359">
        <v>8968</v>
      </c>
      <c r="C359" t="b">
        <v>1</v>
      </c>
      <c r="D359">
        <v>8030</v>
      </c>
      <c r="E359">
        <v>8117</v>
      </c>
      <c r="F359">
        <v>201.8</v>
      </c>
      <c r="G359">
        <v>200.4</v>
      </c>
      <c r="H359">
        <v>1.0069859999999999</v>
      </c>
      <c r="I359">
        <v>-6.9860736999999996E-3</v>
      </c>
      <c r="J359">
        <v>0.49825954</v>
      </c>
    </row>
    <row r="360" spans="1:10" x14ac:dyDescent="0.3">
      <c r="A360">
        <v>358</v>
      </c>
      <c r="B360">
        <v>8984</v>
      </c>
      <c r="C360" t="b">
        <v>1</v>
      </c>
      <c r="D360">
        <v>8011</v>
      </c>
      <c r="E360">
        <v>8129</v>
      </c>
      <c r="F360">
        <v>201.33332999999999</v>
      </c>
      <c r="G360">
        <v>200.8</v>
      </c>
      <c r="H360">
        <v>1.002656</v>
      </c>
      <c r="I360">
        <v>-2.6560018000000001E-3</v>
      </c>
      <c r="J360">
        <v>0.49933686999999999</v>
      </c>
    </row>
    <row r="361" spans="1:10" x14ac:dyDescent="0.3">
      <c r="A361">
        <v>359</v>
      </c>
      <c r="B361">
        <v>9000</v>
      </c>
      <c r="C361" t="b">
        <v>1</v>
      </c>
      <c r="D361">
        <v>8037</v>
      </c>
      <c r="E361">
        <v>8093</v>
      </c>
      <c r="F361">
        <v>201.33332999999999</v>
      </c>
      <c r="G361">
        <v>200</v>
      </c>
      <c r="H361">
        <v>1.0066667</v>
      </c>
      <c r="I361">
        <v>-6.6666410000000001E-3</v>
      </c>
      <c r="J361">
        <v>0.49833889999999997</v>
      </c>
    </row>
    <row r="362" spans="1:10" x14ac:dyDescent="0.3">
      <c r="A362">
        <v>360</v>
      </c>
      <c r="B362">
        <v>9031</v>
      </c>
      <c r="C362" t="b">
        <v>1</v>
      </c>
      <c r="D362">
        <v>8030</v>
      </c>
      <c r="E362">
        <v>8099</v>
      </c>
      <c r="F362">
        <v>200.53334000000001</v>
      </c>
      <c r="G362">
        <v>199.6</v>
      </c>
      <c r="H362">
        <v>1.0046759999999999</v>
      </c>
      <c r="I362">
        <v>-4.6760235000000002E-3</v>
      </c>
      <c r="J362">
        <v>0.49883371999999998</v>
      </c>
    </row>
    <row r="363" spans="1:10" x14ac:dyDescent="0.3">
      <c r="A363">
        <v>361</v>
      </c>
      <c r="B363">
        <v>9062</v>
      </c>
      <c r="C363" t="b">
        <v>1</v>
      </c>
      <c r="D363">
        <v>8023</v>
      </c>
      <c r="E363">
        <v>8117</v>
      </c>
      <c r="F363">
        <v>199.73334</v>
      </c>
      <c r="G363">
        <v>200.4</v>
      </c>
      <c r="H363">
        <v>0.99667335000000001</v>
      </c>
      <c r="I363">
        <v>3.3266292999999999E-3</v>
      </c>
      <c r="J363">
        <v>0.50083303000000001</v>
      </c>
    </row>
    <row r="364" spans="1:10" x14ac:dyDescent="0.3">
      <c r="A364">
        <v>362</v>
      </c>
      <c r="B364">
        <v>9078</v>
      </c>
      <c r="C364" t="b">
        <v>1</v>
      </c>
      <c r="D364">
        <v>8017</v>
      </c>
      <c r="E364">
        <v>8093</v>
      </c>
      <c r="F364">
        <v>198.46665999999999</v>
      </c>
      <c r="G364">
        <v>199.2</v>
      </c>
      <c r="H364">
        <v>0.99631860000000005</v>
      </c>
      <c r="I364">
        <v>3.6814127E-3</v>
      </c>
      <c r="J364">
        <v>0.50092199999999998</v>
      </c>
    </row>
    <row r="365" spans="1:10" x14ac:dyDescent="0.3">
      <c r="A365">
        <v>363</v>
      </c>
      <c r="B365">
        <v>9094</v>
      </c>
      <c r="C365" t="b">
        <v>1</v>
      </c>
      <c r="D365">
        <v>8042</v>
      </c>
      <c r="E365">
        <v>8093</v>
      </c>
      <c r="F365">
        <v>197.66667000000001</v>
      </c>
      <c r="G365">
        <v>198</v>
      </c>
      <c r="H365">
        <v>0.99831650000000005</v>
      </c>
      <c r="I365">
        <v>1.6834759999999999E-3</v>
      </c>
      <c r="J365">
        <v>0.50042120000000001</v>
      </c>
    </row>
    <row r="366" spans="1:10" x14ac:dyDescent="0.3">
      <c r="A366">
        <v>364</v>
      </c>
      <c r="B366">
        <v>9109</v>
      </c>
      <c r="C366" t="b">
        <v>1</v>
      </c>
      <c r="D366">
        <v>8030</v>
      </c>
      <c r="E366">
        <v>8140</v>
      </c>
      <c r="F366">
        <v>196.06666999999999</v>
      </c>
      <c r="G366">
        <v>196.8</v>
      </c>
      <c r="H366">
        <v>0.99627370000000004</v>
      </c>
      <c r="I366">
        <v>3.7263078000000002E-3</v>
      </c>
      <c r="J366">
        <v>0.50093330000000003</v>
      </c>
    </row>
    <row r="367" spans="1:10" x14ac:dyDescent="0.3">
      <c r="A367">
        <v>365</v>
      </c>
      <c r="B367">
        <v>9125</v>
      </c>
      <c r="C367" t="b">
        <v>1</v>
      </c>
      <c r="D367">
        <v>8037</v>
      </c>
      <c r="E367">
        <v>8105</v>
      </c>
      <c r="F367">
        <v>195.26666</v>
      </c>
      <c r="G367">
        <v>196</v>
      </c>
      <c r="H367">
        <v>0.99625850000000005</v>
      </c>
      <c r="I367">
        <v>3.7415173999999999E-3</v>
      </c>
      <c r="J367">
        <v>0.50093710000000002</v>
      </c>
    </row>
    <row r="368" spans="1:10" x14ac:dyDescent="0.3">
      <c r="A368">
        <v>366</v>
      </c>
      <c r="B368">
        <v>9142</v>
      </c>
      <c r="C368" t="b">
        <v>1</v>
      </c>
      <c r="D368">
        <v>8042</v>
      </c>
      <c r="E368">
        <v>8105</v>
      </c>
      <c r="F368">
        <v>194.93333000000001</v>
      </c>
      <c r="G368">
        <v>195.2</v>
      </c>
      <c r="H368">
        <v>0.99863389999999996</v>
      </c>
      <c r="I368">
        <v>1.3660993000000001E-3</v>
      </c>
      <c r="J368">
        <v>0.50034179999999995</v>
      </c>
    </row>
    <row r="369" spans="1:10" x14ac:dyDescent="0.3">
      <c r="A369">
        <v>367</v>
      </c>
      <c r="B369">
        <v>9157</v>
      </c>
      <c r="C369" t="b">
        <v>1</v>
      </c>
      <c r="D369">
        <v>8037</v>
      </c>
      <c r="E369">
        <v>8099</v>
      </c>
      <c r="F369">
        <v>194.6</v>
      </c>
      <c r="G369">
        <v>194.4</v>
      </c>
      <c r="H369">
        <v>1.0010289000000001</v>
      </c>
      <c r="I369">
        <v>-1.0288694000000001E-3</v>
      </c>
      <c r="J369">
        <v>0.49974292999999997</v>
      </c>
    </row>
    <row r="370" spans="1:10" x14ac:dyDescent="0.3">
      <c r="A370">
        <v>368</v>
      </c>
      <c r="B370">
        <v>9173</v>
      </c>
      <c r="C370" t="b">
        <v>1</v>
      </c>
      <c r="D370">
        <v>8054</v>
      </c>
      <c r="E370">
        <v>8105</v>
      </c>
      <c r="F370">
        <v>194.26666</v>
      </c>
      <c r="G370">
        <v>193.2</v>
      </c>
      <c r="H370">
        <v>1.0055210000000001</v>
      </c>
      <c r="I370">
        <v>-5.5210436999999996E-3</v>
      </c>
      <c r="J370">
        <v>0.49862351999999999</v>
      </c>
    </row>
    <row r="371" spans="1:10" x14ac:dyDescent="0.3">
      <c r="A371">
        <v>369</v>
      </c>
      <c r="B371">
        <v>9189</v>
      </c>
      <c r="C371" t="b">
        <v>1</v>
      </c>
      <c r="D371">
        <v>8042</v>
      </c>
      <c r="E371">
        <v>8134</v>
      </c>
      <c r="F371">
        <v>194.26666</v>
      </c>
      <c r="G371">
        <v>192</v>
      </c>
      <c r="H371">
        <v>1.0118054999999999</v>
      </c>
      <c r="I371">
        <v>-1.1805533999999999E-2</v>
      </c>
      <c r="J371">
        <v>0.49706592999999999</v>
      </c>
    </row>
    <row r="372" spans="1:10" x14ac:dyDescent="0.3">
      <c r="A372">
        <v>370</v>
      </c>
      <c r="B372">
        <v>9205</v>
      </c>
      <c r="C372" t="b">
        <v>1</v>
      </c>
      <c r="D372">
        <v>8048</v>
      </c>
      <c r="E372">
        <v>8134</v>
      </c>
      <c r="F372">
        <v>194.26666</v>
      </c>
      <c r="G372">
        <v>190.8</v>
      </c>
      <c r="H372">
        <v>1.0181690000000001</v>
      </c>
      <c r="I372">
        <v>-1.8169075E-2</v>
      </c>
      <c r="J372">
        <v>0.49549865999999998</v>
      </c>
    </row>
    <row r="373" spans="1:10" x14ac:dyDescent="0.3">
      <c r="A373">
        <v>371</v>
      </c>
      <c r="B373">
        <v>9221</v>
      </c>
      <c r="C373" t="b">
        <v>1</v>
      </c>
      <c r="D373">
        <v>8030</v>
      </c>
      <c r="E373">
        <v>8117</v>
      </c>
      <c r="F373">
        <v>194.26666</v>
      </c>
      <c r="G373">
        <v>190.8</v>
      </c>
      <c r="H373">
        <v>1.0181690000000001</v>
      </c>
      <c r="I373">
        <v>-1.8169075E-2</v>
      </c>
      <c r="J373">
        <v>0.49549865999999998</v>
      </c>
    </row>
    <row r="374" spans="1:10" x14ac:dyDescent="0.3">
      <c r="A374">
        <v>372</v>
      </c>
      <c r="B374">
        <v>9237</v>
      </c>
      <c r="C374" t="b">
        <v>1</v>
      </c>
      <c r="D374">
        <v>8037</v>
      </c>
      <c r="E374">
        <v>8123</v>
      </c>
      <c r="F374">
        <v>194.6</v>
      </c>
      <c r="G374">
        <v>191.2</v>
      </c>
      <c r="H374">
        <v>1.0177824</v>
      </c>
      <c r="I374">
        <v>-1.7782475999999998E-2</v>
      </c>
      <c r="J374">
        <v>0.49559357999999998</v>
      </c>
    </row>
    <row r="375" spans="1:10" x14ac:dyDescent="0.3">
      <c r="A375">
        <v>373</v>
      </c>
      <c r="B375">
        <v>9253</v>
      </c>
      <c r="C375" t="b">
        <v>1</v>
      </c>
      <c r="D375">
        <v>8054</v>
      </c>
      <c r="E375">
        <v>8111</v>
      </c>
      <c r="F375">
        <v>195.4</v>
      </c>
      <c r="G375">
        <v>191.6</v>
      </c>
      <c r="H375">
        <v>1.019833</v>
      </c>
      <c r="I375">
        <v>-1.983292E-2</v>
      </c>
      <c r="J375">
        <v>0.49509045000000002</v>
      </c>
    </row>
    <row r="376" spans="1:10" x14ac:dyDescent="0.3">
      <c r="A376">
        <v>374</v>
      </c>
      <c r="B376">
        <v>9268</v>
      </c>
      <c r="C376" t="b">
        <v>1</v>
      </c>
      <c r="D376">
        <v>8054</v>
      </c>
      <c r="E376">
        <v>8111</v>
      </c>
      <c r="F376">
        <v>196.13333</v>
      </c>
      <c r="G376">
        <v>192.8</v>
      </c>
      <c r="H376">
        <v>1.0172890000000001</v>
      </c>
      <c r="I376">
        <v>-1.7289045999999999E-2</v>
      </c>
      <c r="J376">
        <v>0.49571474999999998</v>
      </c>
    </row>
    <row r="377" spans="1:10" x14ac:dyDescent="0.3">
      <c r="A377">
        <v>375</v>
      </c>
      <c r="B377">
        <v>9284</v>
      </c>
      <c r="C377" t="b">
        <v>1</v>
      </c>
      <c r="D377">
        <v>8060</v>
      </c>
      <c r="E377">
        <v>8123</v>
      </c>
      <c r="F377">
        <v>197.73334</v>
      </c>
      <c r="G377">
        <v>194</v>
      </c>
      <c r="H377">
        <v>1.019244</v>
      </c>
      <c r="I377">
        <v>-1.9244008E-2</v>
      </c>
      <c r="J377">
        <v>0.49523485</v>
      </c>
    </row>
    <row r="378" spans="1:10" x14ac:dyDescent="0.3">
      <c r="A378">
        <v>376</v>
      </c>
      <c r="B378">
        <v>9300</v>
      </c>
      <c r="C378" t="b">
        <v>1</v>
      </c>
      <c r="D378">
        <v>8054</v>
      </c>
      <c r="E378">
        <v>8117</v>
      </c>
      <c r="F378">
        <v>199.33332999999999</v>
      </c>
      <c r="G378">
        <v>194</v>
      </c>
      <c r="H378">
        <v>1.0274913000000001</v>
      </c>
      <c r="I378">
        <v>-2.7491383000000001E-2</v>
      </c>
      <c r="J378">
        <v>0.49322036000000002</v>
      </c>
    </row>
    <row r="379" spans="1:10" x14ac:dyDescent="0.3">
      <c r="A379">
        <v>377</v>
      </c>
      <c r="B379">
        <v>9316</v>
      </c>
      <c r="C379" t="b">
        <v>1</v>
      </c>
      <c r="D379">
        <v>8023</v>
      </c>
      <c r="E379">
        <v>8099</v>
      </c>
      <c r="F379">
        <v>201.4</v>
      </c>
      <c r="G379">
        <v>194.8</v>
      </c>
      <c r="H379">
        <v>1.0338807999999999</v>
      </c>
      <c r="I379">
        <v>-3.3880856000000001E-2</v>
      </c>
      <c r="J379">
        <v>0.49167087999999998</v>
      </c>
    </row>
    <row r="380" spans="1:10" x14ac:dyDescent="0.3">
      <c r="A380">
        <v>378</v>
      </c>
      <c r="B380">
        <v>9332</v>
      </c>
      <c r="C380" t="b">
        <v>1</v>
      </c>
      <c r="D380">
        <v>8048</v>
      </c>
      <c r="E380">
        <v>8111</v>
      </c>
      <c r="F380">
        <v>203</v>
      </c>
      <c r="G380">
        <v>196</v>
      </c>
      <c r="H380">
        <v>1.0357143</v>
      </c>
      <c r="I380">
        <v>-3.5714286999999997E-2</v>
      </c>
      <c r="J380">
        <v>0.49122807000000002</v>
      </c>
    </row>
    <row r="381" spans="1:10" x14ac:dyDescent="0.3">
      <c r="A381">
        <v>379</v>
      </c>
      <c r="B381">
        <v>9348</v>
      </c>
      <c r="C381" t="b">
        <v>1</v>
      </c>
      <c r="D381">
        <v>8065</v>
      </c>
      <c r="E381">
        <v>8093</v>
      </c>
      <c r="F381">
        <v>204.6</v>
      </c>
      <c r="G381">
        <v>196.8</v>
      </c>
      <c r="H381">
        <v>1.0396341</v>
      </c>
      <c r="I381">
        <v>-3.9634160000000002E-2</v>
      </c>
      <c r="J381">
        <v>0.490284</v>
      </c>
    </row>
    <row r="382" spans="1:10" x14ac:dyDescent="0.3">
      <c r="A382">
        <v>380</v>
      </c>
      <c r="B382">
        <v>9379</v>
      </c>
      <c r="C382" t="b">
        <v>1</v>
      </c>
      <c r="D382">
        <v>8042</v>
      </c>
      <c r="E382">
        <v>8105</v>
      </c>
      <c r="F382">
        <v>205.8</v>
      </c>
      <c r="G382">
        <v>196.8</v>
      </c>
      <c r="H382">
        <v>1.0457316999999999</v>
      </c>
      <c r="I382">
        <v>-4.5731710000000002E-2</v>
      </c>
      <c r="J382">
        <v>0.48882263999999997</v>
      </c>
    </row>
    <row r="383" spans="1:10" x14ac:dyDescent="0.3">
      <c r="A383">
        <v>381</v>
      </c>
      <c r="B383">
        <v>9411</v>
      </c>
      <c r="C383" t="b">
        <v>1</v>
      </c>
      <c r="D383">
        <v>8030</v>
      </c>
      <c r="E383">
        <v>8105</v>
      </c>
      <c r="F383">
        <v>206.13333</v>
      </c>
      <c r="G383">
        <v>196.8</v>
      </c>
      <c r="H383">
        <v>1.0474254000000001</v>
      </c>
      <c r="I383">
        <v>-4.7425450000000001E-2</v>
      </c>
      <c r="J383">
        <v>0.48841825</v>
      </c>
    </row>
    <row r="384" spans="1:10" x14ac:dyDescent="0.3">
      <c r="A384">
        <v>382</v>
      </c>
      <c r="B384">
        <v>9443</v>
      </c>
      <c r="C384" t="b">
        <v>1</v>
      </c>
      <c r="D384">
        <v>8060</v>
      </c>
      <c r="E384">
        <v>8123</v>
      </c>
      <c r="F384">
        <v>206.86667</v>
      </c>
      <c r="G384">
        <v>196.8</v>
      </c>
      <c r="H384">
        <v>1.0511518</v>
      </c>
      <c r="I384">
        <v>-5.1151756E-2</v>
      </c>
      <c r="J384">
        <v>0.48753095000000002</v>
      </c>
    </row>
    <row r="385" spans="1:10" x14ac:dyDescent="0.3">
      <c r="A385">
        <v>383</v>
      </c>
      <c r="B385">
        <v>9474</v>
      </c>
      <c r="C385" t="b">
        <v>1</v>
      </c>
      <c r="D385">
        <v>8048</v>
      </c>
      <c r="E385">
        <v>8093</v>
      </c>
      <c r="F385">
        <v>207.6</v>
      </c>
      <c r="G385">
        <v>196.8</v>
      </c>
      <c r="H385">
        <v>1.0548781</v>
      </c>
      <c r="I385">
        <v>-5.4878062999999998E-2</v>
      </c>
      <c r="J385">
        <v>0.48664686000000001</v>
      </c>
    </row>
    <row r="386" spans="1:10" x14ac:dyDescent="0.3">
      <c r="A386">
        <v>384</v>
      </c>
      <c r="B386">
        <v>9506</v>
      </c>
      <c r="C386" t="b">
        <v>1</v>
      </c>
      <c r="D386">
        <v>8030</v>
      </c>
      <c r="E386">
        <v>8111</v>
      </c>
      <c r="F386">
        <v>207.6</v>
      </c>
      <c r="G386">
        <v>196.8</v>
      </c>
      <c r="H386">
        <v>1.0548781</v>
      </c>
      <c r="I386">
        <v>-5.4878062999999998E-2</v>
      </c>
      <c r="J386">
        <v>0.48664686000000001</v>
      </c>
    </row>
    <row r="387" spans="1:10" x14ac:dyDescent="0.3">
      <c r="A387">
        <v>385</v>
      </c>
      <c r="B387">
        <v>9537</v>
      </c>
      <c r="C387" t="b">
        <v>1</v>
      </c>
      <c r="D387">
        <v>8054</v>
      </c>
      <c r="E387">
        <v>8081</v>
      </c>
      <c r="F387">
        <v>208</v>
      </c>
      <c r="G387">
        <v>196.8</v>
      </c>
      <c r="H387">
        <v>1.0569105000000001</v>
      </c>
      <c r="I387">
        <v>-5.6910552000000003E-2</v>
      </c>
      <c r="J387">
        <v>0.48616603000000003</v>
      </c>
    </row>
    <row r="388" spans="1:10" x14ac:dyDescent="0.3">
      <c r="A388">
        <v>386</v>
      </c>
      <c r="B388">
        <v>9553</v>
      </c>
      <c r="C388" t="b">
        <v>1</v>
      </c>
      <c r="D388">
        <v>8054</v>
      </c>
      <c r="E388">
        <v>8105</v>
      </c>
      <c r="F388">
        <v>208.8</v>
      </c>
      <c r="G388">
        <v>196</v>
      </c>
      <c r="H388">
        <v>1.0653062</v>
      </c>
      <c r="I388">
        <v>-6.5306135000000001E-2</v>
      </c>
      <c r="J388">
        <v>0.48418974999999997</v>
      </c>
    </row>
    <row r="389" spans="1:10" x14ac:dyDescent="0.3">
      <c r="A389">
        <v>387</v>
      </c>
      <c r="B389">
        <v>9585</v>
      </c>
      <c r="C389" t="b">
        <v>1</v>
      </c>
      <c r="D389">
        <v>8048</v>
      </c>
      <c r="E389">
        <v>8093</v>
      </c>
      <c r="F389">
        <v>209.2</v>
      </c>
      <c r="G389">
        <v>194</v>
      </c>
      <c r="H389">
        <v>1.0783505</v>
      </c>
      <c r="I389">
        <v>-7.8350500000000003E-2</v>
      </c>
      <c r="J389">
        <v>0.48115078</v>
      </c>
    </row>
    <row r="390" spans="1:10" x14ac:dyDescent="0.3">
      <c r="A390">
        <v>388</v>
      </c>
      <c r="B390">
        <v>9617</v>
      </c>
      <c r="C390" t="b">
        <v>1</v>
      </c>
      <c r="D390">
        <v>8042</v>
      </c>
      <c r="E390">
        <v>8111</v>
      </c>
      <c r="F390">
        <v>209.6</v>
      </c>
      <c r="G390">
        <v>192.8</v>
      </c>
      <c r="H390">
        <v>1.087137</v>
      </c>
      <c r="I390">
        <v>-8.7136950000000005E-2</v>
      </c>
      <c r="J390">
        <v>0.47912523000000001</v>
      </c>
    </row>
    <row r="391" spans="1:10" x14ac:dyDescent="0.3">
      <c r="A391">
        <v>389</v>
      </c>
      <c r="B391">
        <v>9649</v>
      </c>
      <c r="C391" t="b">
        <v>1</v>
      </c>
      <c r="D391">
        <v>8054</v>
      </c>
      <c r="E391">
        <v>8140</v>
      </c>
      <c r="F391">
        <v>210</v>
      </c>
      <c r="G391">
        <v>192</v>
      </c>
      <c r="H391">
        <v>1.09375</v>
      </c>
      <c r="I391">
        <v>-9.375E-2</v>
      </c>
      <c r="J391">
        <v>0.47761193000000002</v>
      </c>
    </row>
    <row r="392" spans="1:10" x14ac:dyDescent="0.3">
      <c r="A392">
        <v>390</v>
      </c>
      <c r="B392">
        <v>9680</v>
      </c>
      <c r="C392" t="b">
        <v>1</v>
      </c>
      <c r="D392">
        <v>8042</v>
      </c>
      <c r="E392">
        <v>8099</v>
      </c>
      <c r="F392">
        <v>209.6</v>
      </c>
      <c r="G392">
        <v>191.2</v>
      </c>
      <c r="H392">
        <v>1.0962343000000001</v>
      </c>
      <c r="I392">
        <v>-9.6234360000000005E-2</v>
      </c>
      <c r="J392">
        <v>0.47704592000000001</v>
      </c>
    </row>
    <row r="393" spans="1:10" x14ac:dyDescent="0.3">
      <c r="A393">
        <v>391</v>
      </c>
      <c r="B393">
        <v>9712</v>
      </c>
      <c r="C393" t="b">
        <v>1</v>
      </c>
      <c r="D393">
        <v>8048</v>
      </c>
      <c r="E393">
        <v>8105</v>
      </c>
      <c r="F393">
        <v>209.2</v>
      </c>
      <c r="G393">
        <v>190.4</v>
      </c>
      <c r="H393">
        <v>1.0987395</v>
      </c>
      <c r="I393">
        <v>-9.8739510000000003E-2</v>
      </c>
      <c r="J393">
        <v>0.47647650000000003</v>
      </c>
    </row>
    <row r="394" spans="1:10" x14ac:dyDescent="0.3">
      <c r="A394">
        <v>392</v>
      </c>
      <c r="B394">
        <v>9728</v>
      </c>
      <c r="C394" t="b">
        <v>1</v>
      </c>
      <c r="D394">
        <v>8037</v>
      </c>
      <c r="E394">
        <v>8111</v>
      </c>
      <c r="F394">
        <v>208.4</v>
      </c>
      <c r="G394">
        <v>190.4</v>
      </c>
      <c r="H394">
        <v>1.0945379</v>
      </c>
      <c r="I394">
        <v>-9.4537819999999995E-2</v>
      </c>
      <c r="J394">
        <v>0.47743229999999998</v>
      </c>
    </row>
    <row r="395" spans="1:10" x14ac:dyDescent="0.3">
      <c r="A395">
        <v>393</v>
      </c>
      <c r="B395">
        <v>9744</v>
      </c>
      <c r="C395" t="b">
        <v>1</v>
      </c>
      <c r="D395">
        <v>8030</v>
      </c>
      <c r="E395">
        <v>8087</v>
      </c>
      <c r="F395">
        <v>207.6</v>
      </c>
      <c r="G395">
        <v>190</v>
      </c>
      <c r="H395">
        <v>1.0926316</v>
      </c>
      <c r="I395">
        <v>-9.2631610000000003E-2</v>
      </c>
      <c r="J395">
        <v>0.47786719999999999</v>
      </c>
    </row>
    <row r="396" spans="1:10" x14ac:dyDescent="0.3">
      <c r="A396">
        <v>394</v>
      </c>
      <c r="B396">
        <v>9776</v>
      </c>
      <c r="C396" t="b">
        <v>1</v>
      </c>
      <c r="D396">
        <v>8042</v>
      </c>
      <c r="E396">
        <v>8105</v>
      </c>
      <c r="F396">
        <v>206.8</v>
      </c>
      <c r="G396">
        <v>189.6</v>
      </c>
      <c r="H396">
        <v>1.0907172999999999</v>
      </c>
      <c r="I396">
        <v>-9.0717279999999997E-2</v>
      </c>
      <c r="J396">
        <v>0.47830470000000003</v>
      </c>
    </row>
    <row r="397" spans="1:10" x14ac:dyDescent="0.3">
      <c r="A397">
        <v>395</v>
      </c>
      <c r="B397">
        <v>9792</v>
      </c>
      <c r="C397" t="b">
        <v>1</v>
      </c>
      <c r="D397">
        <v>8048</v>
      </c>
      <c r="E397">
        <v>8111</v>
      </c>
      <c r="F397">
        <v>206.4</v>
      </c>
      <c r="G397">
        <v>189.6</v>
      </c>
      <c r="H397">
        <v>1.0886075</v>
      </c>
      <c r="I397">
        <v>-8.8607530000000004E-2</v>
      </c>
      <c r="J397">
        <v>0.47878789999999999</v>
      </c>
    </row>
    <row r="398" spans="1:10" x14ac:dyDescent="0.3">
      <c r="A398">
        <v>396</v>
      </c>
      <c r="B398">
        <v>9823</v>
      </c>
      <c r="C398" t="b">
        <v>1</v>
      </c>
      <c r="D398">
        <v>8042</v>
      </c>
      <c r="E398">
        <v>8111</v>
      </c>
      <c r="F398">
        <v>206.4</v>
      </c>
      <c r="G398">
        <v>190</v>
      </c>
      <c r="H398">
        <v>1.0863157999999999</v>
      </c>
      <c r="I398">
        <v>-8.6315760000000005E-2</v>
      </c>
      <c r="J398">
        <v>0.47931382</v>
      </c>
    </row>
    <row r="399" spans="1:10" x14ac:dyDescent="0.3">
      <c r="A399">
        <v>397</v>
      </c>
      <c r="B399">
        <v>9839</v>
      </c>
      <c r="C399" t="b">
        <v>1</v>
      </c>
      <c r="D399">
        <v>8042</v>
      </c>
      <c r="E399">
        <v>8111</v>
      </c>
      <c r="F399">
        <v>206</v>
      </c>
      <c r="G399">
        <v>190.4</v>
      </c>
      <c r="H399">
        <v>1.0819327999999999</v>
      </c>
      <c r="I399">
        <v>-8.1932804999999997E-2</v>
      </c>
      <c r="J399">
        <v>0.4803229</v>
      </c>
    </row>
    <row r="400" spans="1:10" x14ac:dyDescent="0.3">
      <c r="A400">
        <v>398</v>
      </c>
      <c r="B400">
        <v>9855</v>
      </c>
      <c r="C400" t="b">
        <v>1</v>
      </c>
      <c r="D400">
        <v>8054</v>
      </c>
      <c r="E400">
        <v>8117</v>
      </c>
      <c r="F400">
        <v>205.6</v>
      </c>
      <c r="G400">
        <v>190.8</v>
      </c>
      <c r="H400">
        <v>1.0775682</v>
      </c>
      <c r="I400">
        <v>-7.7568150000000002E-2</v>
      </c>
      <c r="J400">
        <v>0.48133197</v>
      </c>
    </row>
    <row r="401" spans="1:10" x14ac:dyDescent="0.3">
      <c r="A401">
        <v>399</v>
      </c>
      <c r="B401">
        <v>9871</v>
      </c>
      <c r="C401" t="b">
        <v>1</v>
      </c>
      <c r="D401">
        <v>8042</v>
      </c>
      <c r="E401">
        <v>8099</v>
      </c>
      <c r="F401">
        <v>205.6</v>
      </c>
      <c r="G401">
        <v>191.2</v>
      </c>
      <c r="H401">
        <v>1.0753138</v>
      </c>
      <c r="I401">
        <v>-7.5313859999999996E-2</v>
      </c>
      <c r="J401">
        <v>0.48185486</v>
      </c>
    </row>
    <row r="402" spans="1:10" x14ac:dyDescent="0.3">
      <c r="A402">
        <v>400</v>
      </c>
      <c r="B402">
        <v>9903</v>
      </c>
      <c r="C402" t="b">
        <v>1</v>
      </c>
      <c r="D402">
        <v>8011</v>
      </c>
      <c r="E402">
        <v>8081</v>
      </c>
      <c r="F402">
        <v>205.2</v>
      </c>
      <c r="G402">
        <v>191.6</v>
      </c>
      <c r="H402">
        <v>1.0709811</v>
      </c>
      <c r="I402">
        <v>-7.0981160000000001E-2</v>
      </c>
      <c r="J402">
        <v>0.48286291999999997</v>
      </c>
    </row>
    <row r="403" spans="1:10" x14ac:dyDescent="0.3">
      <c r="A403">
        <v>401</v>
      </c>
      <c r="B403">
        <v>9919</v>
      </c>
      <c r="C403" t="b">
        <v>1</v>
      </c>
      <c r="D403">
        <v>8048</v>
      </c>
      <c r="E403">
        <v>8105</v>
      </c>
      <c r="F403">
        <v>204.4</v>
      </c>
      <c r="G403">
        <v>191.6</v>
      </c>
      <c r="H403">
        <v>1.0668057</v>
      </c>
      <c r="I403">
        <v>-6.6805779999999995E-2</v>
      </c>
      <c r="J403">
        <v>0.4838384</v>
      </c>
    </row>
    <row r="404" spans="1:10" x14ac:dyDescent="0.3">
      <c r="A404">
        <v>402</v>
      </c>
      <c r="B404">
        <v>9934</v>
      </c>
      <c r="C404" t="b">
        <v>1</v>
      </c>
      <c r="D404">
        <v>8042</v>
      </c>
      <c r="E404">
        <v>8117</v>
      </c>
      <c r="F404">
        <v>204</v>
      </c>
      <c r="G404">
        <v>192.4</v>
      </c>
      <c r="H404">
        <v>1.0602910000000001</v>
      </c>
      <c r="I404">
        <v>-6.0291092999999997E-2</v>
      </c>
      <c r="J404">
        <v>0.48536829999999997</v>
      </c>
    </row>
    <row r="405" spans="1:10" x14ac:dyDescent="0.3">
      <c r="A405">
        <v>403</v>
      </c>
      <c r="B405">
        <v>9950</v>
      </c>
      <c r="C405" t="b">
        <v>1</v>
      </c>
      <c r="D405">
        <v>8054</v>
      </c>
      <c r="E405">
        <v>8111</v>
      </c>
      <c r="F405">
        <v>203.6</v>
      </c>
      <c r="G405">
        <v>192.4</v>
      </c>
      <c r="H405">
        <v>1.0582122</v>
      </c>
      <c r="I405">
        <v>-5.8212123999999997E-2</v>
      </c>
      <c r="J405">
        <v>0.48585855999999999</v>
      </c>
    </row>
    <row r="406" spans="1:10" x14ac:dyDescent="0.3">
      <c r="A406">
        <v>404</v>
      </c>
      <c r="B406">
        <v>9982</v>
      </c>
      <c r="C406" t="b">
        <v>1</v>
      </c>
      <c r="D406">
        <v>8054</v>
      </c>
      <c r="E406">
        <v>8134</v>
      </c>
      <c r="F406">
        <v>203.2</v>
      </c>
      <c r="G406">
        <v>192.8</v>
      </c>
      <c r="H406">
        <v>1.0539418</v>
      </c>
      <c r="I406">
        <v>-5.3941876E-2</v>
      </c>
      <c r="J406">
        <v>0.48686869999999999</v>
      </c>
    </row>
    <row r="407" spans="1:10" x14ac:dyDescent="0.3">
      <c r="A407">
        <v>405</v>
      </c>
      <c r="B407">
        <v>10014</v>
      </c>
      <c r="C407" t="b">
        <v>1</v>
      </c>
      <c r="D407">
        <v>8042</v>
      </c>
      <c r="E407">
        <v>8105</v>
      </c>
      <c r="F407">
        <v>203.2</v>
      </c>
      <c r="G407">
        <v>193.2</v>
      </c>
      <c r="H407">
        <v>1.0517597999999999</v>
      </c>
      <c r="I407">
        <v>-5.1759834999999997E-2</v>
      </c>
      <c r="J407">
        <v>0.48738647000000002</v>
      </c>
    </row>
    <row r="408" spans="1:10" x14ac:dyDescent="0.3">
      <c r="A408">
        <v>406</v>
      </c>
      <c r="B408">
        <v>10045</v>
      </c>
      <c r="C408" t="b">
        <v>1</v>
      </c>
      <c r="D408">
        <v>8042</v>
      </c>
      <c r="E408">
        <v>8105</v>
      </c>
      <c r="F408">
        <v>202.8</v>
      </c>
      <c r="G408">
        <v>193.6</v>
      </c>
      <c r="H408">
        <v>1.0475205999999999</v>
      </c>
      <c r="I408">
        <v>-4.7520645E-2</v>
      </c>
      <c r="J408">
        <v>0.48839554000000002</v>
      </c>
    </row>
    <row r="409" spans="1:10" x14ac:dyDescent="0.3">
      <c r="A409">
        <v>407</v>
      </c>
      <c r="B409">
        <v>10061</v>
      </c>
      <c r="C409" t="b">
        <v>1</v>
      </c>
      <c r="D409">
        <v>8054</v>
      </c>
      <c r="E409">
        <v>8123</v>
      </c>
      <c r="F409">
        <v>203.6</v>
      </c>
      <c r="G409">
        <v>193.6</v>
      </c>
      <c r="H409">
        <v>1.0516528999999999</v>
      </c>
      <c r="I409">
        <v>-5.165289E-2</v>
      </c>
      <c r="J409">
        <v>0.48741190000000001</v>
      </c>
    </row>
    <row r="410" spans="1:10" x14ac:dyDescent="0.3">
      <c r="A410">
        <v>408</v>
      </c>
      <c r="B410">
        <v>10093</v>
      </c>
      <c r="C410" t="b">
        <v>1</v>
      </c>
      <c r="D410">
        <v>8030</v>
      </c>
      <c r="E410">
        <v>8105</v>
      </c>
      <c r="F410">
        <v>203.6</v>
      </c>
      <c r="G410">
        <v>193.6</v>
      </c>
      <c r="H410">
        <v>1.0516528999999999</v>
      </c>
      <c r="I410">
        <v>-5.165289E-2</v>
      </c>
      <c r="J410">
        <v>0.48741190000000001</v>
      </c>
    </row>
    <row r="411" spans="1:10" x14ac:dyDescent="0.3">
      <c r="A411">
        <v>409</v>
      </c>
      <c r="B411">
        <v>10125</v>
      </c>
      <c r="C411" t="b">
        <v>1</v>
      </c>
      <c r="D411">
        <v>8065</v>
      </c>
      <c r="E411">
        <v>8111</v>
      </c>
      <c r="F411">
        <v>203.6</v>
      </c>
      <c r="G411">
        <v>193.6</v>
      </c>
      <c r="H411">
        <v>1.0516528999999999</v>
      </c>
      <c r="I411">
        <v>-5.165289E-2</v>
      </c>
      <c r="J411">
        <v>0.48741190000000001</v>
      </c>
    </row>
    <row r="412" spans="1:10" x14ac:dyDescent="0.3">
      <c r="A412">
        <v>410</v>
      </c>
      <c r="B412">
        <v>10157</v>
      </c>
      <c r="C412" t="b">
        <v>1</v>
      </c>
      <c r="D412">
        <v>8060</v>
      </c>
      <c r="E412">
        <v>8111</v>
      </c>
      <c r="F412">
        <v>204.4</v>
      </c>
      <c r="G412">
        <v>194</v>
      </c>
      <c r="H412">
        <v>1.0536082</v>
      </c>
      <c r="I412">
        <v>-5.3608216E-2</v>
      </c>
      <c r="J412">
        <v>0.48694779999999999</v>
      </c>
    </row>
    <row r="413" spans="1:10" x14ac:dyDescent="0.3">
      <c r="A413">
        <v>411</v>
      </c>
      <c r="B413">
        <v>10188</v>
      </c>
      <c r="C413" t="b">
        <v>1</v>
      </c>
      <c r="D413">
        <v>8054</v>
      </c>
      <c r="E413">
        <v>8099</v>
      </c>
      <c r="F413">
        <v>205.2</v>
      </c>
      <c r="G413">
        <v>194</v>
      </c>
      <c r="H413">
        <v>1.0577319999999999</v>
      </c>
      <c r="I413">
        <v>-5.7731940000000002E-2</v>
      </c>
      <c r="J413">
        <v>0.48597193</v>
      </c>
    </row>
    <row r="414" spans="1:10" x14ac:dyDescent="0.3">
      <c r="A414">
        <v>412</v>
      </c>
      <c r="B414">
        <v>10220</v>
      </c>
      <c r="C414" t="b">
        <v>1</v>
      </c>
      <c r="D414">
        <v>8042</v>
      </c>
      <c r="E414">
        <v>8117</v>
      </c>
      <c r="F414">
        <v>206</v>
      </c>
      <c r="G414">
        <v>194</v>
      </c>
      <c r="H414">
        <v>1.0618557</v>
      </c>
      <c r="I414">
        <v>-6.1855670000000001E-2</v>
      </c>
      <c r="J414">
        <v>0.48499999999999999</v>
      </c>
    </row>
    <row r="415" spans="1:10" x14ac:dyDescent="0.3">
      <c r="A415">
        <v>413</v>
      </c>
      <c r="B415">
        <v>10236</v>
      </c>
      <c r="C415" t="b">
        <v>1</v>
      </c>
      <c r="D415">
        <v>8042</v>
      </c>
      <c r="E415">
        <v>8117</v>
      </c>
      <c r="F415">
        <v>206.8</v>
      </c>
      <c r="G415">
        <v>194</v>
      </c>
      <c r="H415">
        <v>1.0659794</v>
      </c>
      <c r="I415">
        <v>-6.5979399999999994E-2</v>
      </c>
      <c r="J415">
        <v>0.48403194999999999</v>
      </c>
    </row>
    <row r="416" spans="1:10" x14ac:dyDescent="0.3">
      <c r="A416">
        <v>414</v>
      </c>
      <c r="B416">
        <v>10251</v>
      </c>
      <c r="C416" t="b">
        <v>1</v>
      </c>
      <c r="D416">
        <v>8037</v>
      </c>
      <c r="E416">
        <v>8105</v>
      </c>
      <c r="F416">
        <v>206.8</v>
      </c>
      <c r="G416">
        <v>194</v>
      </c>
      <c r="H416">
        <v>1.0659794</v>
      </c>
      <c r="I416">
        <v>-6.5979399999999994E-2</v>
      </c>
      <c r="J416">
        <v>0.48403194999999999</v>
      </c>
    </row>
    <row r="417" spans="1:10" x14ac:dyDescent="0.3">
      <c r="A417">
        <v>415</v>
      </c>
      <c r="B417">
        <v>10283</v>
      </c>
      <c r="C417" t="b">
        <v>1</v>
      </c>
      <c r="D417">
        <v>8042</v>
      </c>
      <c r="E417">
        <v>8111</v>
      </c>
      <c r="F417">
        <v>206.8</v>
      </c>
      <c r="G417">
        <v>194</v>
      </c>
      <c r="H417">
        <v>1.0659794</v>
      </c>
      <c r="I417">
        <v>-6.5979399999999994E-2</v>
      </c>
      <c r="J417">
        <v>0.48403194999999999</v>
      </c>
    </row>
    <row r="418" spans="1:10" x14ac:dyDescent="0.3">
      <c r="A418">
        <v>416</v>
      </c>
      <c r="B418">
        <v>10314</v>
      </c>
      <c r="C418" t="b">
        <v>1</v>
      </c>
      <c r="D418">
        <v>8030</v>
      </c>
      <c r="E418">
        <v>8146</v>
      </c>
      <c r="F418">
        <v>206.8</v>
      </c>
      <c r="G418">
        <v>194.8</v>
      </c>
      <c r="H418">
        <v>1.0616015999999999</v>
      </c>
      <c r="I418">
        <v>-6.1601642999999998E-2</v>
      </c>
      <c r="J418">
        <v>0.48505977</v>
      </c>
    </row>
    <row r="419" spans="1:10" x14ac:dyDescent="0.3">
      <c r="A419">
        <v>417</v>
      </c>
      <c r="B419">
        <v>10346</v>
      </c>
      <c r="C419" t="b">
        <v>1</v>
      </c>
      <c r="D419">
        <v>8048</v>
      </c>
      <c r="E419">
        <v>8081</v>
      </c>
      <c r="F419">
        <v>206.8</v>
      </c>
      <c r="G419">
        <v>195.2</v>
      </c>
      <c r="H419">
        <v>1.0594262999999999</v>
      </c>
      <c r="I419">
        <v>-5.9426263E-2</v>
      </c>
      <c r="J419">
        <v>0.48557212999999999</v>
      </c>
    </row>
    <row r="420" spans="1:10" x14ac:dyDescent="0.3">
      <c r="A420">
        <v>418</v>
      </c>
      <c r="B420">
        <v>10377</v>
      </c>
      <c r="C420" t="b">
        <v>1</v>
      </c>
      <c r="D420">
        <v>8037</v>
      </c>
      <c r="E420">
        <v>8117</v>
      </c>
      <c r="F420">
        <v>206.46665999999999</v>
      </c>
      <c r="G420">
        <v>195.6</v>
      </c>
      <c r="H420">
        <v>1.0555555000000001</v>
      </c>
      <c r="I420">
        <v>-5.5555485000000002E-2</v>
      </c>
      <c r="J420">
        <v>0.48648651999999998</v>
      </c>
    </row>
    <row r="421" spans="1:10" x14ac:dyDescent="0.3">
      <c r="A421">
        <v>419</v>
      </c>
      <c r="B421">
        <v>10393</v>
      </c>
      <c r="C421" t="b">
        <v>1</v>
      </c>
      <c r="D421">
        <v>8060</v>
      </c>
      <c r="E421">
        <v>8105</v>
      </c>
      <c r="F421">
        <v>206.06666999999999</v>
      </c>
      <c r="G421">
        <v>195.6</v>
      </c>
      <c r="H421">
        <v>1.0535105</v>
      </c>
      <c r="I421">
        <v>-5.3510528000000002E-2</v>
      </c>
      <c r="J421">
        <v>0.48697093000000002</v>
      </c>
    </row>
    <row r="422" spans="1:10" x14ac:dyDescent="0.3">
      <c r="A422">
        <v>420</v>
      </c>
      <c r="B422">
        <v>10409</v>
      </c>
      <c r="C422" t="b">
        <v>1</v>
      </c>
      <c r="D422">
        <v>8054</v>
      </c>
      <c r="E422">
        <v>8111</v>
      </c>
      <c r="F422">
        <v>206.06666999999999</v>
      </c>
      <c r="G422">
        <v>195.6</v>
      </c>
      <c r="H422">
        <v>1.0535105</v>
      </c>
      <c r="I422">
        <v>-5.3510528000000002E-2</v>
      </c>
      <c r="J422">
        <v>0.48697093000000002</v>
      </c>
    </row>
    <row r="423" spans="1:10" x14ac:dyDescent="0.3">
      <c r="A423">
        <v>421</v>
      </c>
      <c r="B423">
        <v>10441</v>
      </c>
      <c r="C423" t="b">
        <v>1</v>
      </c>
      <c r="D423">
        <v>8065</v>
      </c>
      <c r="E423">
        <v>8129</v>
      </c>
      <c r="F423">
        <v>206.86667</v>
      </c>
      <c r="G423">
        <v>195.6</v>
      </c>
      <c r="H423">
        <v>1.0576004999999999</v>
      </c>
      <c r="I423">
        <v>-5.7600524E-2</v>
      </c>
      <c r="J423">
        <v>0.48600297999999997</v>
      </c>
    </row>
    <row r="424" spans="1:10" x14ac:dyDescent="0.3">
      <c r="A424">
        <v>422</v>
      </c>
      <c r="B424">
        <v>10457</v>
      </c>
      <c r="C424" t="b">
        <v>1</v>
      </c>
      <c r="D424">
        <v>8023</v>
      </c>
      <c r="E424">
        <v>8099</v>
      </c>
      <c r="F424">
        <v>206.86667</v>
      </c>
      <c r="G424">
        <v>195.6</v>
      </c>
      <c r="H424">
        <v>1.0576004999999999</v>
      </c>
      <c r="I424">
        <v>-5.7600524E-2</v>
      </c>
      <c r="J424">
        <v>0.48600297999999997</v>
      </c>
    </row>
    <row r="425" spans="1:10" x14ac:dyDescent="0.3">
      <c r="A425">
        <v>423</v>
      </c>
      <c r="B425">
        <v>10488</v>
      </c>
      <c r="C425" t="b">
        <v>1</v>
      </c>
      <c r="D425">
        <v>8042</v>
      </c>
      <c r="E425">
        <v>8129</v>
      </c>
      <c r="F425">
        <v>207.66667000000001</v>
      </c>
      <c r="G425">
        <v>196</v>
      </c>
      <c r="H425">
        <v>1.0595238</v>
      </c>
      <c r="I425">
        <v>-5.9523835999999997E-2</v>
      </c>
      <c r="J425">
        <v>0.48554912</v>
      </c>
    </row>
    <row r="426" spans="1:10" x14ac:dyDescent="0.3">
      <c r="A426">
        <v>424</v>
      </c>
      <c r="B426">
        <v>10521</v>
      </c>
      <c r="C426" t="b">
        <v>1</v>
      </c>
      <c r="D426">
        <v>8054</v>
      </c>
      <c r="E426">
        <v>8099</v>
      </c>
      <c r="F426">
        <v>208.46665999999999</v>
      </c>
      <c r="G426">
        <v>196.4</v>
      </c>
      <c r="H426">
        <v>1.0614393</v>
      </c>
      <c r="I426">
        <v>-6.1439235000000002E-2</v>
      </c>
      <c r="J426">
        <v>0.48509799999999997</v>
      </c>
    </row>
    <row r="427" spans="1:10" x14ac:dyDescent="0.3">
      <c r="A427">
        <v>425</v>
      </c>
      <c r="B427">
        <v>10552</v>
      </c>
      <c r="C427" t="b">
        <v>1</v>
      </c>
      <c r="D427">
        <v>8037</v>
      </c>
      <c r="E427">
        <v>8123</v>
      </c>
      <c r="F427">
        <v>207.66667000000001</v>
      </c>
      <c r="G427">
        <v>197.2</v>
      </c>
      <c r="H427">
        <v>1.0530763999999999</v>
      </c>
      <c r="I427">
        <v>-5.3076445999999999E-2</v>
      </c>
      <c r="J427">
        <v>0.48707392999999999</v>
      </c>
    </row>
    <row r="428" spans="1:10" x14ac:dyDescent="0.3">
      <c r="A428">
        <v>426</v>
      </c>
      <c r="B428">
        <v>10568</v>
      </c>
      <c r="C428" t="b">
        <v>1</v>
      </c>
      <c r="D428">
        <v>8037</v>
      </c>
      <c r="E428">
        <v>8111</v>
      </c>
      <c r="F428">
        <v>206.53334000000001</v>
      </c>
      <c r="G428">
        <v>197.2</v>
      </c>
      <c r="H428">
        <v>1.0473292999999999</v>
      </c>
      <c r="I428">
        <v>-4.7329330000000003E-2</v>
      </c>
      <c r="J428">
        <v>0.48844120000000002</v>
      </c>
    </row>
    <row r="429" spans="1:10" x14ac:dyDescent="0.3">
      <c r="A429">
        <v>427</v>
      </c>
      <c r="B429">
        <v>10584</v>
      </c>
      <c r="C429" t="b">
        <v>1</v>
      </c>
      <c r="D429">
        <v>8037</v>
      </c>
      <c r="E429">
        <v>8111</v>
      </c>
      <c r="F429">
        <v>205.4</v>
      </c>
      <c r="G429">
        <v>197.2</v>
      </c>
      <c r="H429">
        <v>1.0415821000000001</v>
      </c>
      <c r="I429">
        <v>-4.1582134E-2</v>
      </c>
      <c r="J429">
        <v>0.48981622000000002</v>
      </c>
    </row>
    <row r="430" spans="1:10" x14ac:dyDescent="0.3">
      <c r="A430">
        <v>428</v>
      </c>
      <c r="B430">
        <v>10616</v>
      </c>
      <c r="C430" t="b">
        <v>1</v>
      </c>
      <c r="D430">
        <v>8060</v>
      </c>
      <c r="E430">
        <v>8111</v>
      </c>
      <c r="F430">
        <v>204.26666</v>
      </c>
      <c r="G430">
        <v>197.2</v>
      </c>
      <c r="H430">
        <v>1.0358350000000001</v>
      </c>
      <c r="I430">
        <v>-3.5835020000000002E-2</v>
      </c>
      <c r="J430">
        <v>0.49119892999999998</v>
      </c>
    </row>
    <row r="431" spans="1:10" x14ac:dyDescent="0.3">
      <c r="A431">
        <v>429</v>
      </c>
      <c r="B431">
        <v>10647</v>
      </c>
      <c r="C431" t="b">
        <v>1</v>
      </c>
      <c r="D431">
        <v>8037</v>
      </c>
      <c r="E431">
        <v>8117</v>
      </c>
      <c r="F431">
        <v>203.93333000000001</v>
      </c>
      <c r="G431">
        <v>197.2</v>
      </c>
      <c r="H431">
        <v>1.0341448</v>
      </c>
      <c r="I431">
        <v>-3.4144714E-2</v>
      </c>
      <c r="J431">
        <v>0.49160710000000002</v>
      </c>
    </row>
    <row r="432" spans="1:10" x14ac:dyDescent="0.3">
      <c r="A432">
        <v>430</v>
      </c>
      <c r="B432">
        <v>10679</v>
      </c>
      <c r="C432" t="b">
        <v>1</v>
      </c>
      <c r="D432">
        <v>8037</v>
      </c>
      <c r="E432">
        <v>8105</v>
      </c>
      <c r="F432">
        <v>203.6</v>
      </c>
      <c r="G432">
        <v>197.2</v>
      </c>
      <c r="H432">
        <v>1.0324544</v>
      </c>
      <c r="I432">
        <v>-3.2454410000000003E-2</v>
      </c>
      <c r="J432">
        <v>0.49201600000000001</v>
      </c>
    </row>
    <row r="433" spans="1:10" x14ac:dyDescent="0.3">
      <c r="A433">
        <v>431</v>
      </c>
      <c r="B433">
        <v>10711</v>
      </c>
      <c r="C433" t="b">
        <v>1</v>
      </c>
      <c r="D433">
        <v>8048</v>
      </c>
      <c r="E433">
        <v>8111</v>
      </c>
      <c r="F433">
        <v>203.26666</v>
      </c>
      <c r="G433">
        <v>196.8</v>
      </c>
      <c r="H433">
        <v>1.0328591</v>
      </c>
      <c r="I433">
        <v>-3.2859041999999998E-2</v>
      </c>
      <c r="J433">
        <v>0.49191803000000001</v>
      </c>
    </row>
    <row r="434" spans="1:10" x14ac:dyDescent="0.3">
      <c r="A434">
        <v>432</v>
      </c>
      <c r="B434">
        <v>10743</v>
      </c>
      <c r="C434" t="b">
        <v>1</v>
      </c>
      <c r="D434">
        <v>8054</v>
      </c>
      <c r="E434">
        <v>8123</v>
      </c>
      <c r="F434">
        <v>203.66667000000001</v>
      </c>
      <c r="G434">
        <v>196.8</v>
      </c>
      <c r="H434">
        <v>1.0348915999999999</v>
      </c>
      <c r="I434">
        <v>-3.4891610000000003E-2</v>
      </c>
      <c r="J434">
        <v>0.49142668</v>
      </c>
    </row>
    <row r="435" spans="1:10" x14ac:dyDescent="0.3">
      <c r="A435">
        <v>433</v>
      </c>
      <c r="B435">
        <v>10774</v>
      </c>
      <c r="C435" t="b">
        <v>1</v>
      </c>
      <c r="D435">
        <v>8054</v>
      </c>
      <c r="E435">
        <v>8099</v>
      </c>
      <c r="F435">
        <v>204.4</v>
      </c>
      <c r="G435">
        <v>196.8</v>
      </c>
      <c r="H435">
        <v>1.0386177999999999</v>
      </c>
      <c r="I435">
        <v>-3.861784E-2</v>
      </c>
      <c r="J435">
        <v>0.49052839999999998</v>
      </c>
    </row>
    <row r="436" spans="1:10" x14ac:dyDescent="0.3">
      <c r="A436">
        <v>434</v>
      </c>
      <c r="B436">
        <v>10806</v>
      </c>
      <c r="C436" t="b">
        <v>1</v>
      </c>
      <c r="D436">
        <v>8065</v>
      </c>
      <c r="E436">
        <v>8099</v>
      </c>
      <c r="F436">
        <v>205.2</v>
      </c>
      <c r="G436">
        <v>196.4</v>
      </c>
      <c r="H436">
        <v>1.0448065</v>
      </c>
      <c r="I436">
        <v>-4.4806533000000003E-2</v>
      </c>
      <c r="J436">
        <v>0.48904383000000001</v>
      </c>
    </row>
    <row r="437" spans="1:10" x14ac:dyDescent="0.3">
      <c r="A437">
        <v>435</v>
      </c>
      <c r="B437">
        <v>10837</v>
      </c>
      <c r="C437" t="b">
        <v>1</v>
      </c>
      <c r="D437">
        <v>8060</v>
      </c>
      <c r="E437">
        <v>8134</v>
      </c>
      <c r="F437">
        <v>205.6</v>
      </c>
      <c r="G437">
        <v>196.4</v>
      </c>
      <c r="H437">
        <v>1.0468432999999999</v>
      </c>
      <c r="I437">
        <v>-4.6843242E-2</v>
      </c>
      <c r="J437">
        <v>0.48855720000000002</v>
      </c>
    </row>
    <row r="438" spans="1:10" x14ac:dyDescent="0.3">
      <c r="A438">
        <v>436</v>
      </c>
      <c r="B438">
        <v>10853</v>
      </c>
      <c r="C438" t="b">
        <v>1</v>
      </c>
      <c r="D438">
        <v>8054</v>
      </c>
      <c r="E438">
        <v>8105</v>
      </c>
      <c r="F438">
        <v>205.6</v>
      </c>
      <c r="G438">
        <v>196</v>
      </c>
      <c r="H438">
        <v>1.0489796</v>
      </c>
      <c r="I438">
        <v>-4.8979620000000001E-2</v>
      </c>
      <c r="J438">
        <v>0.48804779999999998</v>
      </c>
    </row>
    <row r="439" spans="1:10" x14ac:dyDescent="0.3">
      <c r="A439">
        <v>437</v>
      </c>
      <c r="B439">
        <v>10884</v>
      </c>
      <c r="C439" t="b">
        <v>1</v>
      </c>
      <c r="D439">
        <v>8054</v>
      </c>
      <c r="E439">
        <v>8105</v>
      </c>
      <c r="F439">
        <v>205.6</v>
      </c>
      <c r="G439">
        <v>195.6</v>
      </c>
      <c r="H439">
        <v>1.0511246999999999</v>
      </c>
      <c r="I439">
        <v>-5.1124744E-2</v>
      </c>
      <c r="J439">
        <v>0.48753738000000002</v>
      </c>
    </row>
    <row r="440" spans="1:10" x14ac:dyDescent="0.3">
      <c r="A440">
        <v>438</v>
      </c>
      <c r="B440">
        <v>10916</v>
      </c>
      <c r="C440" t="b">
        <v>1</v>
      </c>
      <c r="D440">
        <v>8023</v>
      </c>
      <c r="E440">
        <v>8129</v>
      </c>
      <c r="F440">
        <v>205.6</v>
      </c>
      <c r="G440">
        <v>195.2</v>
      </c>
      <c r="H440">
        <v>1.0532786999999999</v>
      </c>
      <c r="I440">
        <v>-5.3278737E-2</v>
      </c>
      <c r="J440">
        <v>0.48702594999999999</v>
      </c>
    </row>
    <row r="441" spans="1:10" x14ac:dyDescent="0.3">
      <c r="A441">
        <v>439</v>
      </c>
      <c r="B441">
        <v>10948</v>
      </c>
      <c r="C441" t="b">
        <v>1</v>
      </c>
      <c r="D441">
        <v>8030</v>
      </c>
      <c r="E441">
        <v>8099</v>
      </c>
      <c r="F441">
        <v>205.6</v>
      </c>
      <c r="G441">
        <v>194.8</v>
      </c>
      <c r="H441">
        <v>1.0554414999999999</v>
      </c>
      <c r="I441">
        <v>-5.5441495E-2</v>
      </c>
      <c r="J441">
        <v>0.48651347</v>
      </c>
    </row>
    <row r="442" spans="1:10" x14ac:dyDescent="0.3">
      <c r="A442">
        <v>440</v>
      </c>
      <c r="B442">
        <v>10980</v>
      </c>
      <c r="C442" t="b">
        <v>1</v>
      </c>
      <c r="D442">
        <v>8048</v>
      </c>
      <c r="E442">
        <v>8111</v>
      </c>
      <c r="F442">
        <v>206</v>
      </c>
      <c r="G442">
        <v>193.6</v>
      </c>
      <c r="H442">
        <v>1.0640495999999999</v>
      </c>
      <c r="I442">
        <v>-6.4049560000000005E-2</v>
      </c>
      <c r="J442">
        <v>0.48448449999999998</v>
      </c>
    </row>
    <row r="443" spans="1:10" x14ac:dyDescent="0.3">
      <c r="A443">
        <v>441</v>
      </c>
      <c r="B443">
        <v>11012</v>
      </c>
      <c r="C443" t="b">
        <v>1</v>
      </c>
      <c r="D443">
        <v>8037</v>
      </c>
      <c r="E443">
        <v>8105</v>
      </c>
      <c r="F443">
        <v>206</v>
      </c>
      <c r="G443">
        <v>193.2</v>
      </c>
      <c r="H443">
        <v>1.0662526000000001</v>
      </c>
      <c r="I443">
        <v>-6.6252604000000007E-2</v>
      </c>
      <c r="J443">
        <v>0.48396790000000001</v>
      </c>
    </row>
    <row r="444" spans="1:10" x14ac:dyDescent="0.3">
      <c r="A444">
        <v>442</v>
      </c>
      <c r="B444">
        <v>11028</v>
      </c>
      <c r="C444" t="b">
        <v>1</v>
      </c>
      <c r="D444">
        <v>8048</v>
      </c>
      <c r="E444">
        <v>8093</v>
      </c>
      <c r="F444">
        <v>206</v>
      </c>
      <c r="G444">
        <v>192.8</v>
      </c>
      <c r="H444">
        <v>1.0684648000000001</v>
      </c>
      <c r="I444">
        <v>-6.8464709999999998E-2</v>
      </c>
      <c r="J444">
        <v>0.48345038000000001</v>
      </c>
    </row>
    <row r="445" spans="1:10" x14ac:dyDescent="0.3">
      <c r="A445">
        <v>443</v>
      </c>
      <c r="B445">
        <v>11044</v>
      </c>
      <c r="C445" t="b">
        <v>1</v>
      </c>
      <c r="D445">
        <v>8042</v>
      </c>
      <c r="E445">
        <v>8111</v>
      </c>
      <c r="F445">
        <v>206.33332999999999</v>
      </c>
      <c r="G445">
        <v>192.4</v>
      </c>
      <c r="H445">
        <v>1.0724186</v>
      </c>
      <c r="I445">
        <v>-7.2418579999999996E-2</v>
      </c>
      <c r="J445">
        <v>0.48252796999999997</v>
      </c>
    </row>
    <row r="446" spans="1:10" x14ac:dyDescent="0.3">
      <c r="A446">
        <v>444</v>
      </c>
      <c r="B446">
        <v>11060</v>
      </c>
      <c r="C446" t="b">
        <v>1</v>
      </c>
      <c r="D446">
        <v>8030</v>
      </c>
      <c r="E446">
        <v>8105</v>
      </c>
      <c r="F446">
        <v>206.66667000000001</v>
      </c>
      <c r="G446">
        <v>192</v>
      </c>
      <c r="H446">
        <v>1.076389</v>
      </c>
      <c r="I446">
        <v>-7.6388919999999999E-2</v>
      </c>
      <c r="J446">
        <v>0.48160532</v>
      </c>
    </row>
    <row r="447" spans="1:10" x14ac:dyDescent="0.3">
      <c r="A447">
        <v>445</v>
      </c>
      <c r="B447">
        <v>11091</v>
      </c>
      <c r="C447" t="b">
        <v>1</v>
      </c>
      <c r="D447">
        <v>8060</v>
      </c>
      <c r="E447">
        <v>8093</v>
      </c>
      <c r="F447">
        <v>207</v>
      </c>
      <c r="G447">
        <v>191.6</v>
      </c>
      <c r="H447">
        <v>1.0803758000000001</v>
      </c>
      <c r="I447">
        <v>-8.0375745999999998E-2</v>
      </c>
      <c r="J447">
        <v>0.48068240000000001</v>
      </c>
    </row>
    <row r="448" spans="1:10" x14ac:dyDescent="0.3">
      <c r="A448">
        <v>446</v>
      </c>
      <c r="B448">
        <v>11124</v>
      </c>
      <c r="C448" t="b">
        <v>1</v>
      </c>
      <c r="D448">
        <v>8042</v>
      </c>
      <c r="E448">
        <v>8105</v>
      </c>
      <c r="F448">
        <v>207.33332999999999</v>
      </c>
      <c r="G448">
        <v>191.2</v>
      </c>
      <c r="H448">
        <v>1.0843792999999999</v>
      </c>
      <c r="I448">
        <v>-8.4379350000000006E-2</v>
      </c>
      <c r="J448">
        <v>0.47975912999999998</v>
      </c>
    </row>
    <row r="449" spans="1:10" x14ac:dyDescent="0.3">
      <c r="A449">
        <v>447</v>
      </c>
      <c r="B449">
        <v>11140</v>
      </c>
      <c r="C449" t="b">
        <v>1</v>
      </c>
      <c r="D449">
        <v>8048</v>
      </c>
      <c r="E449">
        <v>8093</v>
      </c>
      <c r="F449">
        <v>206.93333000000001</v>
      </c>
      <c r="G449">
        <v>190.8</v>
      </c>
      <c r="H449">
        <v>1.0845562</v>
      </c>
      <c r="I449">
        <v>-8.4556244000000003E-2</v>
      </c>
      <c r="J449">
        <v>0.47971841999999998</v>
      </c>
    </row>
    <row r="450" spans="1:10" x14ac:dyDescent="0.3">
      <c r="A450">
        <v>448</v>
      </c>
      <c r="B450">
        <v>11171</v>
      </c>
      <c r="C450" t="b">
        <v>1</v>
      </c>
      <c r="D450">
        <v>8037</v>
      </c>
      <c r="E450">
        <v>8129</v>
      </c>
      <c r="F450">
        <v>206.53334000000001</v>
      </c>
      <c r="G450">
        <v>190.4</v>
      </c>
      <c r="H450">
        <v>1.0847340000000001</v>
      </c>
      <c r="I450">
        <v>-8.4733959999999997E-2</v>
      </c>
      <c r="J450">
        <v>0.47967749999999998</v>
      </c>
    </row>
    <row r="451" spans="1:10" x14ac:dyDescent="0.3">
      <c r="A451">
        <v>449</v>
      </c>
      <c r="B451">
        <v>11203</v>
      </c>
      <c r="C451" t="b">
        <v>1</v>
      </c>
      <c r="D451">
        <v>8042</v>
      </c>
      <c r="E451">
        <v>8105</v>
      </c>
      <c r="F451">
        <v>205.73334</v>
      </c>
      <c r="G451">
        <v>190.4</v>
      </c>
      <c r="H451">
        <v>1.0805323</v>
      </c>
      <c r="I451">
        <v>-8.0532270000000003E-2</v>
      </c>
      <c r="J451">
        <v>0.48064622000000001</v>
      </c>
    </row>
    <row r="452" spans="1:10" x14ac:dyDescent="0.3">
      <c r="A452">
        <v>450</v>
      </c>
      <c r="B452">
        <v>11219</v>
      </c>
      <c r="C452" t="b">
        <v>1</v>
      </c>
      <c r="D452">
        <v>8065</v>
      </c>
      <c r="E452">
        <v>8111</v>
      </c>
      <c r="F452">
        <v>204.93333000000001</v>
      </c>
      <c r="G452">
        <v>190</v>
      </c>
      <c r="H452">
        <v>1.0785965</v>
      </c>
      <c r="I452">
        <v>-7.8596495000000002E-2</v>
      </c>
      <c r="J452">
        <v>0.48109382000000001</v>
      </c>
    </row>
    <row r="453" spans="1:10" x14ac:dyDescent="0.3">
      <c r="A453">
        <v>451</v>
      </c>
      <c r="B453">
        <v>11235</v>
      </c>
      <c r="C453" t="b">
        <v>1</v>
      </c>
      <c r="D453">
        <v>8042</v>
      </c>
      <c r="E453">
        <v>8117</v>
      </c>
      <c r="F453">
        <v>204.13333</v>
      </c>
      <c r="G453">
        <v>190.4</v>
      </c>
      <c r="H453">
        <v>1.0721289000000001</v>
      </c>
      <c r="I453">
        <v>-7.2128880000000006E-2</v>
      </c>
      <c r="J453">
        <v>0.48259547000000003</v>
      </c>
    </row>
    <row r="454" spans="1:10" x14ac:dyDescent="0.3">
      <c r="A454">
        <v>452</v>
      </c>
      <c r="B454">
        <v>11267</v>
      </c>
      <c r="C454" t="b">
        <v>1</v>
      </c>
      <c r="D454">
        <v>8054</v>
      </c>
      <c r="E454">
        <v>8123</v>
      </c>
      <c r="F454">
        <v>203.33332999999999</v>
      </c>
      <c r="G454">
        <v>191.2</v>
      </c>
      <c r="H454">
        <v>1.0634588</v>
      </c>
      <c r="I454">
        <v>-6.3458845E-2</v>
      </c>
      <c r="J454">
        <v>0.48462319999999998</v>
      </c>
    </row>
    <row r="455" spans="1:10" x14ac:dyDescent="0.3">
      <c r="A455">
        <v>453</v>
      </c>
      <c r="B455">
        <v>11298</v>
      </c>
      <c r="C455" t="b">
        <v>1</v>
      </c>
      <c r="D455">
        <v>8054</v>
      </c>
      <c r="E455">
        <v>8123</v>
      </c>
      <c r="F455">
        <v>203.33332999999999</v>
      </c>
      <c r="G455">
        <v>192</v>
      </c>
      <c r="H455">
        <v>1.0590278</v>
      </c>
      <c r="I455">
        <v>-5.9027749999999997E-2</v>
      </c>
      <c r="J455">
        <v>0.48566612999999997</v>
      </c>
    </row>
    <row r="456" spans="1:10" x14ac:dyDescent="0.3">
      <c r="A456">
        <v>454</v>
      </c>
      <c r="B456">
        <v>11330</v>
      </c>
      <c r="C456" t="b">
        <v>1</v>
      </c>
      <c r="D456">
        <v>8060</v>
      </c>
      <c r="E456">
        <v>8105</v>
      </c>
      <c r="F456">
        <v>203.33332999999999</v>
      </c>
      <c r="G456">
        <v>192.8</v>
      </c>
      <c r="H456">
        <v>1.0546333999999999</v>
      </c>
      <c r="I456">
        <v>-5.4633426999999998E-2</v>
      </c>
      <c r="J456">
        <v>0.48670482999999998</v>
      </c>
    </row>
    <row r="457" spans="1:10" x14ac:dyDescent="0.3">
      <c r="A457">
        <v>455</v>
      </c>
      <c r="B457">
        <v>11362</v>
      </c>
      <c r="C457" t="b">
        <v>1</v>
      </c>
      <c r="D457">
        <v>8054</v>
      </c>
      <c r="E457">
        <v>8093</v>
      </c>
      <c r="F457">
        <v>203.73334</v>
      </c>
      <c r="G457">
        <v>193.6</v>
      </c>
      <c r="H457">
        <v>1.0523416000000001</v>
      </c>
      <c r="I457">
        <v>-5.2341583999999997E-2</v>
      </c>
      <c r="J457">
        <v>0.48724833000000001</v>
      </c>
    </row>
    <row r="458" spans="1:10" x14ac:dyDescent="0.3">
      <c r="A458">
        <v>456</v>
      </c>
      <c r="B458">
        <v>11393</v>
      </c>
      <c r="C458" t="b">
        <v>1</v>
      </c>
      <c r="D458">
        <v>8037</v>
      </c>
      <c r="E458">
        <v>8099</v>
      </c>
      <c r="F458">
        <v>204.86667</v>
      </c>
      <c r="G458">
        <v>193.6</v>
      </c>
      <c r="H458">
        <v>1.0581955999999999</v>
      </c>
      <c r="I458">
        <v>-5.8195570000000002E-2</v>
      </c>
      <c r="J458">
        <v>0.48586246</v>
      </c>
    </row>
    <row r="459" spans="1:10" x14ac:dyDescent="0.3">
      <c r="A459">
        <v>457</v>
      </c>
      <c r="B459">
        <v>11425</v>
      </c>
      <c r="C459" t="b">
        <v>1</v>
      </c>
      <c r="D459">
        <v>8077</v>
      </c>
      <c r="E459">
        <v>8129</v>
      </c>
      <c r="F459">
        <v>206</v>
      </c>
      <c r="G459">
        <v>193.6</v>
      </c>
      <c r="H459">
        <v>1.0640495999999999</v>
      </c>
      <c r="I459">
        <v>-6.4049560000000005E-2</v>
      </c>
      <c r="J459">
        <v>0.48448449999999998</v>
      </c>
    </row>
    <row r="460" spans="1:10" x14ac:dyDescent="0.3">
      <c r="A460">
        <v>458</v>
      </c>
      <c r="B460">
        <v>11441</v>
      </c>
      <c r="C460" t="b">
        <v>1</v>
      </c>
      <c r="D460">
        <v>8054</v>
      </c>
      <c r="E460">
        <v>8117</v>
      </c>
      <c r="F460">
        <v>206.8</v>
      </c>
      <c r="G460">
        <v>193.6</v>
      </c>
      <c r="H460">
        <v>1.0681818000000001</v>
      </c>
      <c r="I460">
        <v>-6.8181800000000001E-2</v>
      </c>
      <c r="J460">
        <v>0.48351644999999999</v>
      </c>
    </row>
    <row r="461" spans="1:10" x14ac:dyDescent="0.3">
      <c r="A461">
        <v>459</v>
      </c>
      <c r="B461">
        <v>11457</v>
      </c>
      <c r="C461" t="b">
        <v>1</v>
      </c>
      <c r="D461">
        <v>8054</v>
      </c>
      <c r="E461">
        <v>8105</v>
      </c>
      <c r="F461">
        <v>207.6</v>
      </c>
      <c r="G461">
        <v>193.6</v>
      </c>
      <c r="H461">
        <v>1.072314</v>
      </c>
      <c r="I461">
        <v>-7.2314050000000005E-2</v>
      </c>
      <c r="J461">
        <v>0.48255235000000002</v>
      </c>
    </row>
    <row r="462" spans="1:10" x14ac:dyDescent="0.3">
      <c r="A462">
        <v>460</v>
      </c>
      <c r="B462">
        <v>11488</v>
      </c>
      <c r="C462" t="b">
        <v>1</v>
      </c>
      <c r="D462">
        <v>8077</v>
      </c>
      <c r="E462">
        <v>8099</v>
      </c>
      <c r="F462">
        <v>208.4</v>
      </c>
      <c r="G462">
        <v>193.6</v>
      </c>
      <c r="H462">
        <v>1.0764461999999999</v>
      </c>
      <c r="I462">
        <v>-7.6446210000000001E-2</v>
      </c>
      <c r="J462">
        <v>0.48159205999999999</v>
      </c>
    </row>
    <row r="463" spans="1:10" x14ac:dyDescent="0.3">
      <c r="A463">
        <v>461</v>
      </c>
      <c r="B463">
        <v>11521</v>
      </c>
      <c r="C463" t="b">
        <v>1</v>
      </c>
      <c r="D463">
        <v>8042</v>
      </c>
      <c r="E463">
        <v>8093</v>
      </c>
      <c r="F463">
        <v>209.2</v>
      </c>
      <c r="G463">
        <v>193.6</v>
      </c>
      <c r="H463">
        <v>1.0805784</v>
      </c>
      <c r="I463">
        <v>-8.0578460000000005E-2</v>
      </c>
      <c r="J463">
        <v>0.48063558000000001</v>
      </c>
    </row>
    <row r="464" spans="1:10" x14ac:dyDescent="0.3">
      <c r="A464">
        <v>462</v>
      </c>
      <c r="B464">
        <v>11536</v>
      </c>
      <c r="C464" t="b">
        <v>1</v>
      </c>
      <c r="D464">
        <v>8030</v>
      </c>
      <c r="E464">
        <v>8099</v>
      </c>
      <c r="F464">
        <v>210</v>
      </c>
      <c r="G464">
        <v>193.2</v>
      </c>
      <c r="H464">
        <v>1.0869565000000001</v>
      </c>
      <c r="I464">
        <v>-8.6956539999999999E-2</v>
      </c>
      <c r="J464">
        <v>0.47916666000000002</v>
      </c>
    </row>
    <row r="465" spans="1:10" x14ac:dyDescent="0.3">
      <c r="A465">
        <v>463</v>
      </c>
      <c r="B465">
        <v>11552</v>
      </c>
      <c r="C465" t="b">
        <v>1</v>
      </c>
      <c r="D465">
        <v>8048</v>
      </c>
      <c r="E465">
        <v>8111</v>
      </c>
      <c r="F465">
        <v>210.4</v>
      </c>
      <c r="G465">
        <v>192.8</v>
      </c>
      <c r="H465">
        <v>1.0912862999999999</v>
      </c>
      <c r="I465">
        <v>-9.1286259999999994E-2</v>
      </c>
      <c r="J465">
        <v>0.47817460000000001</v>
      </c>
    </row>
    <row r="466" spans="1:10" x14ac:dyDescent="0.3">
      <c r="A466">
        <v>464</v>
      </c>
      <c r="B466">
        <v>11568</v>
      </c>
      <c r="C466" t="b">
        <v>1</v>
      </c>
      <c r="D466">
        <v>8023</v>
      </c>
      <c r="E466">
        <v>8117</v>
      </c>
      <c r="F466">
        <v>210.4</v>
      </c>
      <c r="G466">
        <v>192.4</v>
      </c>
      <c r="H466">
        <v>1.0935550999999999</v>
      </c>
      <c r="I466">
        <v>-9.3555089999999994E-2</v>
      </c>
      <c r="J466">
        <v>0.47765639999999998</v>
      </c>
    </row>
    <row r="467" spans="1:10" x14ac:dyDescent="0.3">
      <c r="A467">
        <v>465</v>
      </c>
      <c r="B467">
        <v>11600</v>
      </c>
      <c r="C467" t="b">
        <v>1</v>
      </c>
      <c r="D467">
        <v>8054</v>
      </c>
      <c r="E467">
        <v>8111</v>
      </c>
      <c r="F467">
        <v>210.4</v>
      </c>
      <c r="G467">
        <v>192.8</v>
      </c>
      <c r="H467">
        <v>1.0912862999999999</v>
      </c>
      <c r="I467">
        <v>-9.1286259999999994E-2</v>
      </c>
      <c r="J467">
        <v>0.47817460000000001</v>
      </c>
    </row>
    <row r="468" spans="1:10" x14ac:dyDescent="0.3">
      <c r="A468">
        <v>466</v>
      </c>
      <c r="B468">
        <v>11632</v>
      </c>
      <c r="C468" t="b">
        <v>1</v>
      </c>
      <c r="D468">
        <v>8037</v>
      </c>
      <c r="E468">
        <v>8087</v>
      </c>
      <c r="F468">
        <v>210.06666999999999</v>
      </c>
      <c r="G468">
        <v>192.8</v>
      </c>
      <c r="H468">
        <v>1.0895573999999999</v>
      </c>
      <c r="I468">
        <v>-8.9557380000000006E-2</v>
      </c>
      <c r="J468">
        <v>0.47857024999999997</v>
      </c>
    </row>
    <row r="469" spans="1:10" x14ac:dyDescent="0.3">
      <c r="A469">
        <v>467</v>
      </c>
      <c r="B469">
        <v>11664</v>
      </c>
      <c r="C469" t="b">
        <v>1</v>
      </c>
      <c r="D469">
        <v>8054</v>
      </c>
      <c r="E469">
        <v>8111</v>
      </c>
      <c r="F469">
        <v>210.46665999999999</v>
      </c>
      <c r="G469">
        <v>192.4</v>
      </c>
      <c r="H469">
        <v>1.0939015999999999</v>
      </c>
      <c r="I469">
        <v>-9.3901589999999993E-2</v>
      </c>
      <c r="J469">
        <v>0.47757739999999999</v>
      </c>
    </row>
    <row r="470" spans="1:10" x14ac:dyDescent="0.3">
      <c r="A470">
        <v>468</v>
      </c>
      <c r="B470">
        <v>11695</v>
      </c>
      <c r="C470" t="b">
        <v>1</v>
      </c>
      <c r="D470">
        <v>8042</v>
      </c>
      <c r="E470">
        <v>8134</v>
      </c>
      <c r="F470">
        <v>209.66667000000001</v>
      </c>
      <c r="G470">
        <v>192</v>
      </c>
      <c r="H470">
        <v>1.092014</v>
      </c>
      <c r="I470">
        <v>-9.2013919999999999E-2</v>
      </c>
      <c r="J470">
        <v>0.47800827000000001</v>
      </c>
    </row>
    <row r="471" spans="1:10" x14ac:dyDescent="0.3">
      <c r="A471">
        <v>469</v>
      </c>
      <c r="B471">
        <v>11711</v>
      </c>
      <c r="C471" t="b">
        <v>1</v>
      </c>
      <c r="D471">
        <v>8054</v>
      </c>
      <c r="E471">
        <v>8129</v>
      </c>
      <c r="F471">
        <v>209.66667000000001</v>
      </c>
      <c r="G471">
        <v>191.6</v>
      </c>
      <c r="H471">
        <v>1.0942936999999999</v>
      </c>
      <c r="I471">
        <v>-9.4293660000000001E-2</v>
      </c>
      <c r="J471">
        <v>0.47748797999999998</v>
      </c>
    </row>
    <row r="472" spans="1:10" x14ac:dyDescent="0.3">
      <c r="A472">
        <v>470</v>
      </c>
      <c r="B472">
        <v>11743</v>
      </c>
      <c r="C472" t="b">
        <v>1</v>
      </c>
      <c r="D472">
        <v>8042</v>
      </c>
      <c r="E472">
        <v>8117</v>
      </c>
      <c r="F472">
        <v>208.86667</v>
      </c>
      <c r="G472">
        <v>191.6</v>
      </c>
      <c r="H472">
        <v>1.0901183000000001</v>
      </c>
      <c r="I472">
        <v>-9.0118279999999995E-2</v>
      </c>
      <c r="J472">
        <v>0.47844183000000001</v>
      </c>
    </row>
    <row r="473" spans="1:10" x14ac:dyDescent="0.3">
      <c r="A473">
        <v>471</v>
      </c>
      <c r="B473">
        <v>11775</v>
      </c>
      <c r="C473" t="b">
        <v>1</v>
      </c>
      <c r="D473">
        <v>8037</v>
      </c>
      <c r="E473">
        <v>8111</v>
      </c>
      <c r="F473">
        <v>208.06666999999999</v>
      </c>
      <c r="G473">
        <v>192.4</v>
      </c>
      <c r="H473">
        <v>1.0814276</v>
      </c>
      <c r="I473">
        <v>-8.1427609999999997E-2</v>
      </c>
      <c r="J473">
        <v>0.48043944999999999</v>
      </c>
    </row>
    <row r="474" spans="1:10" x14ac:dyDescent="0.3">
      <c r="A474">
        <v>472</v>
      </c>
      <c r="B474">
        <v>11807</v>
      </c>
      <c r="C474" t="b">
        <v>1</v>
      </c>
      <c r="D474">
        <v>8042</v>
      </c>
      <c r="E474">
        <v>8140</v>
      </c>
      <c r="F474">
        <v>207.26666</v>
      </c>
      <c r="G474">
        <v>194</v>
      </c>
      <c r="H474">
        <v>1.0683849000000001</v>
      </c>
      <c r="I474">
        <v>-6.8384855999999994E-2</v>
      </c>
      <c r="J474">
        <v>0.48346899999999998</v>
      </c>
    </row>
    <row r="475" spans="1:10" x14ac:dyDescent="0.3">
      <c r="A475">
        <v>473</v>
      </c>
      <c r="B475">
        <v>11838</v>
      </c>
      <c r="C475" t="b">
        <v>1</v>
      </c>
      <c r="D475">
        <v>8030</v>
      </c>
      <c r="E475">
        <v>8129</v>
      </c>
      <c r="F475">
        <v>206.46665999999999</v>
      </c>
      <c r="G475">
        <v>195.6</v>
      </c>
      <c r="H475">
        <v>1.0555555000000001</v>
      </c>
      <c r="I475">
        <v>-5.5555485000000002E-2</v>
      </c>
      <c r="J475">
        <v>0.48648651999999998</v>
      </c>
    </row>
    <row r="476" spans="1:10" x14ac:dyDescent="0.3">
      <c r="A476">
        <v>474</v>
      </c>
      <c r="B476">
        <v>11870</v>
      </c>
      <c r="C476" t="b">
        <v>1</v>
      </c>
      <c r="D476">
        <v>8054</v>
      </c>
      <c r="E476">
        <v>8105</v>
      </c>
      <c r="F476">
        <v>205.66667000000001</v>
      </c>
      <c r="G476">
        <v>196.4</v>
      </c>
      <c r="H476">
        <v>1.0471827</v>
      </c>
      <c r="I476">
        <v>-4.7182679999999998E-2</v>
      </c>
      <c r="J476">
        <v>0.48847622000000002</v>
      </c>
    </row>
    <row r="477" spans="1:10" x14ac:dyDescent="0.3">
      <c r="A477">
        <v>475</v>
      </c>
      <c r="B477">
        <v>11886</v>
      </c>
      <c r="C477" t="b">
        <v>1</v>
      </c>
      <c r="D477">
        <v>8048</v>
      </c>
      <c r="E477">
        <v>8111</v>
      </c>
      <c r="F477">
        <v>204.86667</v>
      </c>
      <c r="G477">
        <v>196.8</v>
      </c>
      <c r="H477">
        <v>1.0409892000000001</v>
      </c>
      <c r="I477">
        <v>-4.0989153E-2</v>
      </c>
      <c r="J477">
        <v>0.48995850000000002</v>
      </c>
    </row>
    <row r="478" spans="1:10" x14ac:dyDescent="0.3">
      <c r="A478">
        <v>476</v>
      </c>
      <c r="B478">
        <v>11901</v>
      </c>
      <c r="C478" t="b">
        <v>1</v>
      </c>
      <c r="D478">
        <v>8048</v>
      </c>
      <c r="E478">
        <v>8093</v>
      </c>
      <c r="F478">
        <v>204.46665999999999</v>
      </c>
      <c r="G478">
        <v>197.2</v>
      </c>
      <c r="H478">
        <v>1.0368493000000001</v>
      </c>
      <c r="I478">
        <v>-3.6849199999999999E-2</v>
      </c>
      <c r="J478">
        <v>0.49095436999999997</v>
      </c>
    </row>
    <row r="479" spans="1:10" x14ac:dyDescent="0.3">
      <c r="A479">
        <v>477</v>
      </c>
      <c r="B479">
        <v>11917</v>
      </c>
      <c r="C479" t="b">
        <v>1</v>
      </c>
      <c r="D479">
        <v>8037</v>
      </c>
      <c r="E479">
        <v>8105</v>
      </c>
      <c r="F479">
        <v>204.06666999999999</v>
      </c>
      <c r="G479">
        <v>197.6</v>
      </c>
      <c r="H479">
        <v>1.032726</v>
      </c>
      <c r="I479">
        <v>-3.272601E-2</v>
      </c>
      <c r="J479">
        <v>0.49195018000000001</v>
      </c>
    </row>
    <row r="480" spans="1:10" x14ac:dyDescent="0.3">
      <c r="A480">
        <v>478</v>
      </c>
      <c r="B480">
        <v>11934</v>
      </c>
      <c r="C480" t="b">
        <v>1</v>
      </c>
      <c r="D480">
        <v>8065</v>
      </c>
      <c r="E480">
        <v>8093</v>
      </c>
      <c r="F480">
        <v>204.06666999999999</v>
      </c>
      <c r="G480">
        <v>198</v>
      </c>
      <c r="H480">
        <v>1.0306398000000001</v>
      </c>
      <c r="I480">
        <v>-3.0639725E-2</v>
      </c>
      <c r="J480">
        <v>0.49245566000000002</v>
      </c>
    </row>
    <row r="481" spans="1:10" x14ac:dyDescent="0.3">
      <c r="A481">
        <v>479</v>
      </c>
      <c r="B481">
        <v>11965</v>
      </c>
      <c r="C481" t="b">
        <v>1</v>
      </c>
      <c r="D481">
        <v>8042</v>
      </c>
      <c r="E481">
        <v>8087</v>
      </c>
      <c r="F481">
        <v>204.46665999999999</v>
      </c>
      <c r="G481">
        <v>197.6</v>
      </c>
      <c r="H481">
        <v>1.0347502</v>
      </c>
      <c r="I481">
        <v>-3.4750268000000001E-2</v>
      </c>
      <c r="J481">
        <v>0.49146083000000002</v>
      </c>
    </row>
    <row r="482" spans="1:10" x14ac:dyDescent="0.3">
      <c r="A482">
        <v>480</v>
      </c>
      <c r="B482">
        <v>11997</v>
      </c>
      <c r="C482" t="b">
        <v>1</v>
      </c>
      <c r="D482">
        <v>8048</v>
      </c>
      <c r="E482">
        <v>8105</v>
      </c>
      <c r="F482">
        <v>204.86667</v>
      </c>
      <c r="G482">
        <v>196.4</v>
      </c>
      <c r="H482">
        <v>1.0431093</v>
      </c>
      <c r="I482">
        <v>-4.3109342000000002E-2</v>
      </c>
      <c r="J482">
        <v>0.48945007000000001</v>
      </c>
    </row>
    <row r="483" spans="1:10" x14ac:dyDescent="0.3">
      <c r="A483">
        <v>481</v>
      </c>
      <c r="B483">
        <v>12029</v>
      </c>
      <c r="C483" t="b">
        <v>1</v>
      </c>
      <c r="D483">
        <v>8060</v>
      </c>
      <c r="E483">
        <v>8081</v>
      </c>
      <c r="F483">
        <v>205.6</v>
      </c>
      <c r="G483">
        <v>195.2</v>
      </c>
      <c r="H483">
        <v>1.0532786999999999</v>
      </c>
      <c r="I483">
        <v>-5.3278737E-2</v>
      </c>
      <c r="J483">
        <v>0.48702594999999999</v>
      </c>
    </row>
    <row r="484" spans="1:10" x14ac:dyDescent="0.3">
      <c r="A484">
        <v>482</v>
      </c>
      <c r="B484">
        <v>12061</v>
      </c>
      <c r="C484" t="b">
        <v>1</v>
      </c>
      <c r="D484">
        <v>8048</v>
      </c>
      <c r="E484">
        <v>8105</v>
      </c>
      <c r="F484">
        <v>205.6</v>
      </c>
      <c r="G484">
        <v>194</v>
      </c>
      <c r="H484">
        <v>1.0597938</v>
      </c>
      <c r="I484">
        <v>-5.9793844999999998E-2</v>
      </c>
      <c r="J484">
        <v>0.48548545999999998</v>
      </c>
    </row>
    <row r="485" spans="1:10" x14ac:dyDescent="0.3">
      <c r="A485">
        <v>483</v>
      </c>
      <c r="B485">
        <v>12093</v>
      </c>
      <c r="C485" t="b">
        <v>1</v>
      </c>
      <c r="D485">
        <v>8065</v>
      </c>
      <c r="E485">
        <v>8093</v>
      </c>
      <c r="F485">
        <v>206</v>
      </c>
      <c r="G485">
        <v>192.8</v>
      </c>
      <c r="H485">
        <v>1.0684648000000001</v>
      </c>
      <c r="I485">
        <v>-6.8464709999999998E-2</v>
      </c>
      <c r="J485">
        <v>0.48345038000000001</v>
      </c>
    </row>
    <row r="486" spans="1:10" x14ac:dyDescent="0.3">
      <c r="A486">
        <v>484</v>
      </c>
      <c r="B486">
        <v>12124</v>
      </c>
      <c r="C486" t="b">
        <v>1</v>
      </c>
      <c r="D486">
        <v>8042</v>
      </c>
      <c r="E486">
        <v>8117</v>
      </c>
      <c r="F486">
        <v>205.6</v>
      </c>
      <c r="G486">
        <v>192.4</v>
      </c>
      <c r="H486">
        <v>1.0686070999999999</v>
      </c>
      <c r="I486">
        <v>-6.8607139999999997E-2</v>
      </c>
      <c r="J486">
        <v>0.48341706000000001</v>
      </c>
    </row>
    <row r="487" spans="1:10" x14ac:dyDescent="0.3">
      <c r="A487">
        <v>485</v>
      </c>
      <c r="B487">
        <v>12156</v>
      </c>
      <c r="C487" t="b">
        <v>1</v>
      </c>
      <c r="D487">
        <v>8048</v>
      </c>
      <c r="E487">
        <v>8146</v>
      </c>
      <c r="F487">
        <v>206</v>
      </c>
      <c r="G487">
        <v>191.6</v>
      </c>
      <c r="H487">
        <v>1.0751565999999999</v>
      </c>
      <c r="I487">
        <v>-7.5156539999999994E-2</v>
      </c>
      <c r="J487">
        <v>0.48189135999999999</v>
      </c>
    </row>
    <row r="488" spans="1:10" x14ac:dyDescent="0.3">
      <c r="A488">
        <v>486</v>
      </c>
      <c r="B488">
        <v>12188</v>
      </c>
      <c r="C488" t="b">
        <v>1</v>
      </c>
      <c r="D488">
        <v>8037</v>
      </c>
      <c r="E488">
        <v>8105</v>
      </c>
      <c r="F488">
        <v>206.4</v>
      </c>
      <c r="G488">
        <v>190.8</v>
      </c>
      <c r="H488">
        <v>1.081761</v>
      </c>
      <c r="I488">
        <v>-8.1760959999999994E-2</v>
      </c>
      <c r="J488">
        <v>0.48036253000000001</v>
      </c>
    </row>
    <row r="489" spans="1:10" x14ac:dyDescent="0.3">
      <c r="A489">
        <v>487</v>
      </c>
      <c r="B489">
        <v>12219</v>
      </c>
      <c r="C489" t="b">
        <v>1</v>
      </c>
      <c r="D489">
        <v>8048</v>
      </c>
      <c r="E489">
        <v>8117</v>
      </c>
      <c r="F489">
        <v>206.8</v>
      </c>
      <c r="G489">
        <v>190</v>
      </c>
      <c r="H489">
        <v>1.0884210999999999</v>
      </c>
      <c r="I489">
        <v>-8.8421070000000004E-2</v>
      </c>
      <c r="J489">
        <v>0.47883067000000001</v>
      </c>
    </row>
    <row r="490" spans="1:10" x14ac:dyDescent="0.3">
      <c r="A490">
        <v>488</v>
      </c>
      <c r="B490">
        <v>12235</v>
      </c>
      <c r="C490" t="b">
        <v>1</v>
      </c>
      <c r="D490">
        <v>8042</v>
      </c>
      <c r="E490">
        <v>8105</v>
      </c>
      <c r="F490">
        <v>206.8</v>
      </c>
      <c r="G490">
        <v>189.2</v>
      </c>
      <c r="H490">
        <v>1.0930233</v>
      </c>
      <c r="I490">
        <v>-9.3023289999999995E-2</v>
      </c>
      <c r="J490">
        <v>0.47777777999999999</v>
      </c>
    </row>
    <row r="491" spans="1:10" x14ac:dyDescent="0.3">
      <c r="A491">
        <v>489</v>
      </c>
      <c r="B491">
        <v>12251</v>
      </c>
      <c r="C491" t="b">
        <v>1</v>
      </c>
      <c r="D491">
        <v>8037</v>
      </c>
      <c r="E491">
        <v>8105</v>
      </c>
      <c r="F491">
        <v>206.8</v>
      </c>
      <c r="G491">
        <v>188.4</v>
      </c>
      <c r="H491">
        <v>1.0976646000000001</v>
      </c>
      <c r="I491">
        <v>-9.7664595000000007E-2</v>
      </c>
      <c r="J491">
        <v>0.47672062999999998</v>
      </c>
    </row>
    <row r="492" spans="1:10" x14ac:dyDescent="0.3">
      <c r="A492">
        <v>490</v>
      </c>
      <c r="B492">
        <v>12283</v>
      </c>
      <c r="C492" t="b">
        <v>1</v>
      </c>
      <c r="D492">
        <v>8060</v>
      </c>
      <c r="E492">
        <v>8129</v>
      </c>
      <c r="F492">
        <v>206.8</v>
      </c>
      <c r="G492">
        <v>188</v>
      </c>
      <c r="H492">
        <v>1.1000000000000001</v>
      </c>
      <c r="I492">
        <v>-0.10000002</v>
      </c>
      <c r="J492">
        <v>0.47619048000000003</v>
      </c>
    </row>
    <row r="493" spans="1:10" x14ac:dyDescent="0.3">
      <c r="A493">
        <v>491</v>
      </c>
      <c r="B493">
        <v>12313</v>
      </c>
      <c r="C493" t="b">
        <v>1</v>
      </c>
      <c r="D493">
        <v>8054</v>
      </c>
      <c r="E493">
        <v>8099</v>
      </c>
      <c r="F493">
        <v>206.8</v>
      </c>
      <c r="G493">
        <v>187.6</v>
      </c>
      <c r="H493">
        <v>1.1023453000000001</v>
      </c>
      <c r="I493">
        <v>-0.1023454</v>
      </c>
      <c r="J493">
        <v>0.47565921999999999</v>
      </c>
    </row>
    <row r="494" spans="1:10" x14ac:dyDescent="0.3">
      <c r="A494">
        <v>492</v>
      </c>
      <c r="B494">
        <v>12345</v>
      </c>
      <c r="C494" t="b">
        <v>1</v>
      </c>
      <c r="D494">
        <v>8030</v>
      </c>
      <c r="E494">
        <v>8105</v>
      </c>
      <c r="F494">
        <v>206.4</v>
      </c>
      <c r="G494">
        <v>187.6</v>
      </c>
      <c r="H494">
        <v>1.1002132</v>
      </c>
      <c r="I494">
        <v>-0.10021315</v>
      </c>
      <c r="J494">
        <v>0.47614213999999999</v>
      </c>
    </row>
    <row r="495" spans="1:10" x14ac:dyDescent="0.3">
      <c r="A495">
        <v>493</v>
      </c>
      <c r="B495">
        <v>12377</v>
      </c>
      <c r="C495" t="b">
        <v>1</v>
      </c>
      <c r="D495">
        <v>8037</v>
      </c>
      <c r="E495">
        <v>8129</v>
      </c>
      <c r="F495">
        <v>205.66667000000001</v>
      </c>
      <c r="G495">
        <v>187.6</v>
      </c>
      <c r="H495">
        <v>1.0963042000000001</v>
      </c>
      <c r="I495">
        <v>-9.6304186E-2</v>
      </c>
      <c r="J495">
        <v>0.47703003999999999</v>
      </c>
    </row>
    <row r="496" spans="1:10" x14ac:dyDescent="0.3">
      <c r="A496">
        <v>494</v>
      </c>
      <c r="B496">
        <v>12393</v>
      </c>
      <c r="C496" t="b">
        <v>1</v>
      </c>
      <c r="D496">
        <v>8048</v>
      </c>
      <c r="E496">
        <v>8117</v>
      </c>
      <c r="F496">
        <v>205.66667000000001</v>
      </c>
      <c r="G496">
        <v>189.2</v>
      </c>
      <c r="H496">
        <v>1.0870332</v>
      </c>
      <c r="I496">
        <v>-8.7033170000000007E-2</v>
      </c>
      <c r="J496">
        <v>0.47914907000000001</v>
      </c>
    </row>
    <row r="497" spans="1:10" x14ac:dyDescent="0.3">
      <c r="A497">
        <v>495</v>
      </c>
      <c r="B497">
        <v>12409</v>
      </c>
      <c r="C497" t="b">
        <v>1</v>
      </c>
      <c r="D497">
        <v>8037</v>
      </c>
      <c r="E497">
        <v>8105</v>
      </c>
      <c r="F497">
        <v>204.93333000000001</v>
      </c>
      <c r="G497">
        <v>190</v>
      </c>
      <c r="H497">
        <v>1.0785965</v>
      </c>
      <c r="I497">
        <v>-7.8596495000000002E-2</v>
      </c>
      <c r="J497">
        <v>0.48109382000000001</v>
      </c>
    </row>
    <row r="498" spans="1:10" x14ac:dyDescent="0.3">
      <c r="A498">
        <v>496</v>
      </c>
      <c r="B498">
        <v>12440</v>
      </c>
      <c r="C498" t="b">
        <v>1</v>
      </c>
      <c r="D498">
        <v>8048</v>
      </c>
      <c r="E498">
        <v>8117</v>
      </c>
      <c r="F498">
        <v>204.2</v>
      </c>
      <c r="G498">
        <v>191.6</v>
      </c>
      <c r="H498">
        <v>1.0657619</v>
      </c>
      <c r="I498">
        <v>-6.576195E-2</v>
      </c>
      <c r="J498">
        <v>0.48408289999999998</v>
      </c>
    </row>
    <row r="499" spans="1:10" x14ac:dyDescent="0.3">
      <c r="A499">
        <v>497</v>
      </c>
      <c r="B499">
        <v>12472</v>
      </c>
      <c r="C499" t="b">
        <v>1</v>
      </c>
      <c r="D499">
        <v>8037</v>
      </c>
      <c r="E499">
        <v>8105</v>
      </c>
      <c r="F499">
        <v>203.46665999999999</v>
      </c>
      <c r="G499">
        <v>193.2</v>
      </c>
      <c r="H499">
        <v>1.05314</v>
      </c>
      <c r="I499">
        <v>-5.3140078E-2</v>
      </c>
      <c r="J499">
        <v>0.48705882</v>
      </c>
    </row>
    <row r="500" spans="1:10" x14ac:dyDescent="0.3">
      <c r="A500">
        <v>498</v>
      </c>
      <c r="B500">
        <v>12504</v>
      </c>
      <c r="C500" t="b">
        <v>1</v>
      </c>
      <c r="D500">
        <v>8048</v>
      </c>
      <c r="E500">
        <v>8099</v>
      </c>
      <c r="F500">
        <v>203.46665999999999</v>
      </c>
      <c r="G500">
        <v>194</v>
      </c>
      <c r="H500">
        <v>1.0487972000000001</v>
      </c>
      <c r="I500">
        <v>-4.8797212999999999E-2</v>
      </c>
      <c r="J500">
        <v>0.48809122999999999</v>
      </c>
    </row>
    <row r="501" spans="1:10" x14ac:dyDescent="0.3">
      <c r="A501">
        <v>499</v>
      </c>
      <c r="B501">
        <v>12536</v>
      </c>
      <c r="C501" t="b">
        <v>1</v>
      </c>
      <c r="D501">
        <v>8042</v>
      </c>
      <c r="E501">
        <v>8099</v>
      </c>
      <c r="F501">
        <v>203.06666999999999</v>
      </c>
      <c r="G501">
        <v>194</v>
      </c>
      <c r="H501">
        <v>1.0467354</v>
      </c>
      <c r="I501">
        <v>-4.6735390000000002E-2</v>
      </c>
      <c r="J501">
        <v>0.48858297000000001</v>
      </c>
    </row>
    <row r="502" spans="1:10" x14ac:dyDescent="0.3">
      <c r="A502">
        <v>500</v>
      </c>
      <c r="B502">
        <v>12567</v>
      </c>
      <c r="C502" t="b">
        <v>1</v>
      </c>
      <c r="D502">
        <v>8048</v>
      </c>
      <c r="E502">
        <v>8111</v>
      </c>
      <c r="F502">
        <v>203.06666999999999</v>
      </c>
      <c r="G502">
        <v>194</v>
      </c>
      <c r="H502">
        <v>1.0467354</v>
      </c>
      <c r="I502">
        <v>-4.6735390000000002E-2</v>
      </c>
      <c r="J502">
        <v>0.48858297000000001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F203-26C2-42EF-A2A9-2F7C60CEE08A}">
  <dimension ref="A1:L502"/>
  <sheetViews>
    <sheetView tabSelected="1" workbookViewId="0">
      <selection activeCellId="2" sqref="E1:E1048576 D1:D1048576 A1:A1048576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19</v>
      </c>
    </row>
    <row r="2" spans="1:12" x14ac:dyDescent="0.3">
      <c r="A2">
        <v>0</v>
      </c>
      <c r="B2">
        <v>0</v>
      </c>
      <c r="C2" t="b">
        <v>1</v>
      </c>
      <c r="D2">
        <v>8017</v>
      </c>
      <c r="E2">
        <v>8123</v>
      </c>
      <c r="F2">
        <v>177</v>
      </c>
      <c r="G2">
        <v>208</v>
      </c>
      <c r="H2">
        <v>0.85096156999999994</v>
      </c>
      <c r="I2">
        <v>0.14903846000000001</v>
      </c>
      <c r="J2">
        <v>0.54025970000000001</v>
      </c>
      <c r="K2">
        <f xml:space="preserve"> -55.696 * _2026_04_17_16_25_21_23_high[[#This Row],[coeff]] + 79.57</f>
        <v>32.174844397279998</v>
      </c>
      <c r="L2">
        <f xml:space="preserve"> -55.696 * _2026_04_17_16_25_21_23_high[[#This Row],[coeff]] + 79.57</f>
        <v>32.174844397279998</v>
      </c>
    </row>
    <row r="3" spans="1:12" x14ac:dyDescent="0.3">
      <c r="A3">
        <v>1</v>
      </c>
      <c r="B3">
        <v>31</v>
      </c>
      <c r="C3" t="b">
        <v>1</v>
      </c>
      <c r="D3">
        <v>8042</v>
      </c>
      <c r="E3">
        <v>8093</v>
      </c>
      <c r="F3">
        <v>189.5</v>
      </c>
      <c r="G3">
        <v>208</v>
      </c>
      <c r="H3">
        <v>0.91105769999999997</v>
      </c>
      <c r="I3">
        <v>8.8942304E-2</v>
      </c>
      <c r="J3">
        <v>0.52327040000000002</v>
      </c>
      <c r="K3">
        <f xml:space="preserve"> -55.696 * _2026_04_17_16_25_21_23_high[[#This Row],[coeff]] + 79.57</f>
        <v>28.827730340799995</v>
      </c>
      <c r="L3">
        <f xml:space="preserve"> -55.696 * _2026_04_17_16_25_21_23_high[[#This Row],[coeff]] + 79.57</f>
        <v>28.827730340799995</v>
      </c>
    </row>
    <row r="4" spans="1:12" x14ac:dyDescent="0.3">
      <c r="A4">
        <v>2</v>
      </c>
      <c r="B4">
        <v>63</v>
      </c>
      <c r="C4" t="b">
        <v>1</v>
      </c>
      <c r="D4">
        <v>8054</v>
      </c>
      <c r="E4">
        <v>8105</v>
      </c>
      <c r="F4">
        <v>193.66667000000001</v>
      </c>
      <c r="G4">
        <v>202</v>
      </c>
      <c r="H4">
        <v>0.95874590000000004</v>
      </c>
      <c r="I4">
        <v>4.1254100000000002E-2</v>
      </c>
      <c r="J4">
        <v>0.5105307</v>
      </c>
      <c r="K4">
        <f xml:space="preserve"> -55.696 * _2026_04_17_16_25_21_23_high[[#This Row],[coeff]] + 79.57</f>
        <v>26.17168835359999</v>
      </c>
      <c r="L4">
        <f xml:space="preserve"> -55.696 * _2026_04_17_16_25_21_23_high[[#This Row],[coeff]] + 79.57</f>
        <v>26.17168835359999</v>
      </c>
    </row>
    <row r="5" spans="1:12" x14ac:dyDescent="0.3">
      <c r="A5">
        <v>3</v>
      </c>
      <c r="B5">
        <v>79</v>
      </c>
      <c r="C5" t="b">
        <v>1</v>
      </c>
      <c r="D5">
        <v>8048</v>
      </c>
      <c r="E5">
        <v>8158</v>
      </c>
      <c r="F5">
        <v>197.25</v>
      </c>
      <c r="G5">
        <v>203.5</v>
      </c>
      <c r="H5">
        <v>0.96928745999999999</v>
      </c>
      <c r="I5">
        <v>3.0712529999999998E-2</v>
      </c>
      <c r="J5">
        <v>0.50779790000000002</v>
      </c>
      <c r="K5">
        <f xml:space="preserve"> -55.696 * _2026_04_17_16_25_21_23_high[[#This Row],[coeff]] + 79.57</f>
        <v>25.584565627839993</v>
      </c>
      <c r="L5">
        <f xml:space="preserve"> -55.696 * _2026_04_17_16_25_21_23_high[[#This Row],[coeff]] + 79.57</f>
        <v>25.584565627839993</v>
      </c>
    </row>
    <row r="6" spans="1:12" x14ac:dyDescent="0.3">
      <c r="A6">
        <v>4</v>
      </c>
      <c r="B6">
        <v>94</v>
      </c>
      <c r="C6" t="b">
        <v>1</v>
      </c>
      <c r="D6">
        <v>8037</v>
      </c>
      <c r="E6">
        <v>8093</v>
      </c>
      <c r="F6">
        <v>198.2</v>
      </c>
      <c r="G6">
        <v>200.8</v>
      </c>
      <c r="H6">
        <v>0.98705180000000003</v>
      </c>
      <c r="I6">
        <v>1.2948237E-2</v>
      </c>
      <c r="J6">
        <v>0.50325816999999995</v>
      </c>
      <c r="K6">
        <f xml:space="preserve"> -55.696 * _2026_04_17_16_25_21_23_high[[#This Row],[coeff]] + 79.57</f>
        <v>24.595162947199995</v>
      </c>
      <c r="L6">
        <f xml:space="preserve"> -55.696 * _2026_04_17_16_25_21_23_high[[#This Row],[coeff]] + 79.57</f>
        <v>24.595162947199995</v>
      </c>
    </row>
    <row r="7" spans="1:12" x14ac:dyDescent="0.3">
      <c r="A7">
        <v>5</v>
      </c>
      <c r="B7">
        <v>126</v>
      </c>
      <c r="C7" t="b">
        <v>1</v>
      </c>
      <c r="D7">
        <v>8042</v>
      </c>
      <c r="E7">
        <v>8099</v>
      </c>
      <c r="F7">
        <v>198.83332999999999</v>
      </c>
      <c r="G7">
        <v>198</v>
      </c>
      <c r="H7">
        <v>1.0042087</v>
      </c>
      <c r="I7">
        <v>-4.2087286999999999E-3</v>
      </c>
      <c r="J7">
        <v>0.49895002999999999</v>
      </c>
      <c r="K7">
        <f xml:space="preserve"> -55.696 * _2026_04_17_16_25_21_23_high[[#This Row],[coeff]] + 79.57</f>
        <v>23.639592244799999</v>
      </c>
      <c r="L7">
        <f xml:space="preserve"> -55.696 * _2026_04_17_16_25_21_23_high[[#This Row],[coeff]] + 79.57</f>
        <v>23.639592244799999</v>
      </c>
    </row>
    <row r="8" spans="1:12" x14ac:dyDescent="0.3">
      <c r="A8">
        <v>6</v>
      </c>
      <c r="B8">
        <v>158</v>
      </c>
      <c r="C8" t="b">
        <v>1</v>
      </c>
      <c r="D8">
        <v>8023</v>
      </c>
      <c r="E8">
        <v>8111</v>
      </c>
      <c r="F8">
        <v>199.28572</v>
      </c>
      <c r="G8">
        <v>196.85714999999999</v>
      </c>
      <c r="H8">
        <v>1.0123367000000001</v>
      </c>
      <c r="I8">
        <v>-1.2336731E-2</v>
      </c>
      <c r="J8">
        <v>0.49693470000000001</v>
      </c>
      <c r="K8">
        <f xml:space="preserve"> -55.696 * _2026_04_17_16_25_21_23_high[[#This Row],[coeff]] + 79.57</f>
        <v>23.186895156799991</v>
      </c>
      <c r="L8">
        <f xml:space="preserve"> -55.696 * _2026_04_17_16_25_21_23_high[[#This Row],[coeff]] + 79.57</f>
        <v>23.186895156799991</v>
      </c>
    </row>
    <row r="9" spans="1:12" x14ac:dyDescent="0.3">
      <c r="A9">
        <v>7</v>
      </c>
      <c r="B9">
        <v>190</v>
      </c>
      <c r="C9" t="b">
        <v>1</v>
      </c>
      <c r="D9">
        <v>8030</v>
      </c>
      <c r="E9">
        <v>8099</v>
      </c>
      <c r="F9">
        <v>199</v>
      </c>
      <c r="G9">
        <v>195.25</v>
      </c>
      <c r="H9">
        <v>1.0192062</v>
      </c>
      <c r="I9">
        <v>-1.9206146E-2</v>
      </c>
      <c r="J9">
        <v>0.49524414999999999</v>
      </c>
      <c r="K9">
        <f xml:space="preserve"> -55.696 * _2026_04_17_16_25_21_23_high[[#This Row],[coeff]] + 79.57</f>
        <v>22.804291484799997</v>
      </c>
      <c r="L9">
        <f xml:space="preserve"> -55.696 * _2026_04_17_16_25_21_23_high[[#This Row],[coeff]] + 79.57</f>
        <v>22.804291484799997</v>
      </c>
    </row>
    <row r="10" spans="1:12" x14ac:dyDescent="0.3">
      <c r="A10">
        <v>8</v>
      </c>
      <c r="B10">
        <v>205</v>
      </c>
      <c r="C10" t="b">
        <v>1</v>
      </c>
      <c r="D10">
        <v>8060</v>
      </c>
      <c r="E10">
        <v>8105</v>
      </c>
      <c r="F10">
        <v>198.77777</v>
      </c>
      <c r="G10">
        <v>194</v>
      </c>
      <c r="H10">
        <v>1.0246276999999999</v>
      </c>
      <c r="I10">
        <v>-2.4627685999999999E-2</v>
      </c>
      <c r="J10">
        <v>0.49391796999999998</v>
      </c>
      <c r="K10">
        <f xml:space="preserve"> -55.696 * _2026_04_17_16_25_21_23_high[[#This Row],[coeff]] + 79.57</f>
        <v>22.502335620799997</v>
      </c>
      <c r="L10">
        <f xml:space="preserve"> -55.696 * _2026_04_17_16_25_21_23_high[[#This Row],[coeff]] + 79.57</f>
        <v>22.502335620799997</v>
      </c>
    </row>
    <row r="11" spans="1:12" x14ac:dyDescent="0.3">
      <c r="A11">
        <v>9</v>
      </c>
      <c r="B11">
        <v>221</v>
      </c>
      <c r="C11" t="b">
        <v>1</v>
      </c>
      <c r="D11">
        <v>8030</v>
      </c>
      <c r="E11">
        <v>8111</v>
      </c>
      <c r="F11">
        <v>197.9</v>
      </c>
      <c r="G11">
        <v>193.6</v>
      </c>
      <c r="H11">
        <v>1.0222107</v>
      </c>
      <c r="I11">
        <v>-2.221068E-2</v>
      </c>
      <c r="J11">
        <v>0.49450833</v>
      </c>
      <c r="K11">
        <f xml:space="preserve"> -55.696 * _2026_04_17_16_25_21_23_high[[#This Row],[coeff]] + 79.57</f>
        <v>22.636952852799993</v>
      </c>
      <c r="L11">
        <f xml:space="preserve"> -55.696 * _2026_04_17_16_25_21_23_high[[#This Row],[coeff]] + 79.57</f>
        <v>22.636952852799993</v>
      </c>
    </row>
    <row r="12" spans="1:12" x14ac:dyDescent="0.3">
      <c r="A12">
        <v>10</v>
      </c>
      <c r="B12">
        <v>237</v>
      </c>
      <c r="C12" t="b">
        <v>1</v>
      </c>
      <c r="D12">
        <v>8060</v>
      </c>
      <c r="E12">
        <v>8105</v>
      </c>
      <c r="F12">
        <v>197.18181999999999</v>
      </c>
      <c r="G12">
        <v>193.27271999999999</v>
      </c>
      <c r="H12">
        <v>1.0202259</v>
      </c>
      <c r="I12">
        <v>-2.0225842000000001E-2</v>
      </c>
      <c r="J12">
        <v>0.4949942</v>
      </c>
      <c r="K12">
        <f xml:space="preserve"> -55.696 * _2026_04_17_16_25_21_23_high[[#This Row],[coeff]] + 79.57</f>
        <v>22.747498273599994</v>
      </c>
      <c r="L12">
        <f xml:space="preserve"> -55.696 * _2026_04_17_16_25_21_23_high[[#This Row],[coeff]] + 79.57</f>
        <v>22.747498273599994</v>
      </c>
    </row>
    <row r="13" spans="1:12" x14ac:dyDescent="0.3">
      <c r="A13">
        <v>11</v>
      </c>
      <c r="B13">
        <v>270</v>
      </c>
      <c r="C13" t="b">
        <v>1</v>
      </c>
      <c r="D13">
        <v>8048</v>
      </c>
      <c r="E13">
        <v>8111</v>
      </c>
      <c r="F13">
        <v>198.08332999999999</v>
      </c>
      <c r="G13">
        <v>193</v>
      </c>
      <c r="H13">
        <v>1.0263385</v>
      </c>
      <c r="I13">
        <v>-2.6338488E-2</v>
      </c>
      <c r="J13">
        <v>0.49350097999999998</v>
      </c>
      <c r="K13">
        <f xml:space="preserve"> -55.696 * _2026_04_17_16_25_21_23_high[[#This Row],[coeff]] + 79.57</f>
        <v>22.407050903999995</v>
      </c>
      <c r="L13">
        <f xml:space="preserve"> -55.696 * _2026_04_17_16_25_21_23_high[[#This Row],[coeff]] + 79.57</f>
        <v>22.407050903999995</v>
      </c>
    </row>
    <row r="14" spans="1:12" x14ac:dyDescent="0.3">
      <c r="A14">
        <v>12</v>
      </c>
      <c r="B14">
        <v>301</v>
      </c>
      <c r="C14" t="b">
        <v>1</v>
      </c>
      <c r="D14">
        <v>8048</v>
      </c>
      <c r="E14">
        <v>8111</v>
      </c>
      <c r="F14">
        <v>198.84616</v>
      </c>
      <c r="G14">
        <v>193.23077000000001</v>
      </c>
      <c r="H14">
        <v>1.0290604999999999</v>
      </c>
      <c r="I14">
        <v>-2.9060519999999999E-2</v>
      </c>
      <c r="J14">
        <v>0.49283892000000001</v>
      </c>
      <c r="K14">
        <f xml:space="preserve"> -55.696 * _2026_04_17_16_25_21_23_high[[#This Row],[coeff]] + 79.57</f>
        <v>22.255446391999996</v>
      </c>
      <c r="L14">
        <f xml:space="preserve"> -55.696 * _2026_04_17_16_25_21_23_high[[#This Row],[coeff]] + 79.57</f>
        <v>22.255446391999996</v>
      </c>
    </row>
    <row r="15" spans="1:12" x14ac:dyDescent="0.3">
      <c r="A15">
        <v>13</v>
      </c>
      <c r="B15">
        <v>333</v>
      </c>
      <c r="C15" t="b">
        <v>1</v>
      </c>
      <c r="D15">
        <v>8017</v>
      </c>
      <c r="E15">
        <v>8111</v>
      </c>
      <c r="F15">
        <v>199.5</v>
      </c>
      <c r="G15">
        <v>193.42857000000001</v>
      </c>
      <c r="H15">
        <v>1.0313885</v>
      </c>
      <c r="I15">
        <v>-3.1388464999999997E-2</v>
      </c>
      <c r="J15">
        <v>0.49227409999999999</v>
      </c>
      <c r="K15">
        <f xml:space="preserve"> -55.696 * _2026_04_17_16_25_21_23_high[[#This Row],[coeff]] + 79.57</f>
        <v>22.125786103999992</v>
      </c>
      <c r="L15">
        <f xml:space="preserve"> -55.696 * _2026_04_17_16_25_21_23_high[[#This Row],[coeff]] + 79.57</f>
        <v>22.125786103999992</v>
      </c>
    </row>
    <row r="16" spans="1:12" x14ac:dyDescent="0.3">
      <c r="A16">
        <v>14</v>
      </c>
      <c r="B16">
        <v>364</v>
      </c>
      <c r="C16" t="b">
        <v>1</v>
      </c>
      <c r="D16">
        <v>8030</v>
      </c>
      <c r="E16">
        <v>8117</v>
      </c>
      <c r="F16">
        <v>200.06666999999999</v>
      </c>
      <c r="G16">
        <v>193.6</v>
      </c>
      <c r="H16">
        <v>1.0334022</v>
      </c>
      <c r="I16">
        <v>-3.3402167000000003E-2</v>
      </c>
      <c r="J16">
        <v>0.49178660000000002</v>
      </c>
      <c r="K16">
        <f xml:space="preserve"> -55.696 * _2026_04_17_16_25_21_23_high[[#This Row],[coeff]] + 79.57</f>
        <v>22.013631068799995</v>
      </c>
      <c r="L16">
        <f xml:space="preserve"> -55.696 * _2026_04_17_16_25_21_23_high[[#This Row],[coeff]] + 79.57</f>
        <v>22.013631068799995</v>
      </c>
    </row>
    <row r="17" spans="1:12" x14ac:dyDescent="0.3">
      <c r="A17">
        <v>15</v>
      </c>
      <c r="B17">
        <v>380</v>
      </c>
      <c r="C17" t="b">
        <v>1</v>
      </c>
      <c r="D17">
        <v>8048</v>
      </c>
      <c r="E17">
        <v>8105</v>
      </c>
      <c r="F17">
        <v>202.13333</v>
      </c>
      <c r="G17">
        <v>192.8</v>
      </c>
      <c r="H17">
        <v>1.0484093000000001</v>
      </c>
      <c r="I17">
        <v>-4.8409375999999997E-2</v>
      </c>
      <c r="J17">
        <v>0.48818365000000002</v>
      </c>
      <c r="K17">
        <f xml:space="preserve"> -55.696 * _2026_04_17_16_25_21_23_high[[#This Row],[coeff]] + 79.57</f>
        <v>21.177795627199991</v>
      </c>
      <c r="L17">
        <f xml:space="preserve"> -55.696 * _2026_04_17_16_25_21_23_high[[#This Row],[coeff]] + 79.57</f>
        <v>21.177795627199991</v>
      </c>
    </row>
    <row r="18" spans="1:12" x14ac:dyDescent="0.3">
      <c r="A18">
        <v>16</v>
      </c>
      <c r="B18">
        <v>412</v>
      </c>
      <c r="C18" t="b">
        <v>1</v>
      </c>
      <c r="D18">
        <v>8048</v>
      </c>
      <c r="E18">
        <v>8093</v>
      </c>
      <c r="F18">
        <v>202.53334000000001</v>
      </c>
      <c r="G18">
        <v>192</v>
      </c>
      <c r="H18">
        <v>1.0548611999999999</v>
      </c>
      <c r="I18">
        <v>-5.4861146999999999E-2</v>
      </c>
      <c r="J18">
        <v>0.4866509</v>
      </c>
      <c r="K18">
        <f xml:space="preserve"> -55.696 * _2026_04_17_16_25_21_23_high[[#This Row],[coeff]] + 79.57</f>
        <v>20.818450604799999</v>
      </c>
      <c r="L18">
        <f xml:space="preserve"> -55.696 * _2026_04_17_16_25_21_23_high[[#This Row],[coeff]] + 79.57</f>
        <v>20.818450604799999</v>
      </c>
    </row>
    <row r="19" spans="1:12" x14ac:dyDescent="0.3">
      <c r="A19">
        <v>17</v>
      </c>
      <c r="B19">
        <v>444</v>
      </c>
      <c r="C19" t="b">
        <v>1</v>
      </c>
      <c r="D19">
        <v>8042</v>
      </c>
      <c r="E19">
        <v>8099</v>
      </c>
      <c r="F19">
        <v>202.53334000000001</v>
      </c>
      <c r="G19">
        <v>192</v>
      </c>
      <c r="H19">
        <v>1.0548611999999999</v>
      </c>
      <c r="I19">
        <v>-5.4861146999999999E-2</v>
      </c>
      <c r="J19">
        <v>0.4866509</v>
      </c>
      <c r="K19">
        <f xml:space="preserve"> -55.696 * _2026_04_17_16_25_21_23_high[[#This Row],[coeff]] + 79.57</f>
        <v>20.818450604799999</v>
      </c>
      <c r="L19">
        <f xml:space="preserve"> -55.696 * _2026_04_17_16_25_21_23_high[[#This Row],[coeff]] + 79.57</f>
        <v>20.818450604799999</v>
      </c>
    </row>
    <row r="20" spans="1:12" x14ac:dyDescent="0.3">
      <c r="A20">
        <v>18</v>
      </c>
      <c r="B20">
        <v>476</v>
      </c>
      <c r="C20" t="b">
        <v>1</v>
      </c>
      <c r="D20">
        <v>8054</v>
      </c>
      <c r="E20">
        <v>8105</v>
      </c>
      <c r="F20">
        <v>202.53334000000001</v>
      </c>
      <c r="G20">
        <v>190.8</v>
      </c>
      <c r="H20">
        <v>1.0614954000000001</v>
      </c>
      <c r="I20">
        <v>-6.1495479999999998E-2</v>
      </c>
      <c r="J20">
        <v>0.48508474000000001</v>
      </c>
      <c r="K20">
        <f xml:space="preserve"> -55.696 * _2026_04_17_16_25_21_23_high[[#This Row],[coeff]] + 79.57</f>
        <v>20.448952201599994</v>
      </c>
      <c r="L20">
        <f xml:space="preserve"> -55.696 * _2026_04_17_16_25_21_23_high[[#This Row],[coeff]] + 79.57</f>
        <v>20.448952201599994</v>
      </c>
    </row>
    <row r="21" spans="1:12" x14ac:dyDescent="0.3">
      <c r="A21">
        <v>19</v>
      </c>
      <c r="B21">
        <v>508</v>
      </c>
      <c r="C21" t="b">
        <v>1</v>
      </c>
      <c r="D21">
        <v>8048</v>
      </c>
      <c r="E21">
        <v>8093</v>
      </c>
      <c r="F21">
        <v>202.93333000000001</v>
      </c>
      <c r="G21">
        <v>190.4</v>
      </c>
      <c r="H21">
        <v>1.0658264</v>
      </c>
      <c r="I21">
        <v>-6.5826369999999995E-2</v>
      </c>
      <c r="J21">
        <v>0.48406779999999999</v>
      </c>
      <c r="K21">
        <f xml:space="preserve"> -55.696 * _2026_04_17_16_25_21_23_high[[#This Row],[coeff]] + 79.57</f>
        <v>20.207732825599997</v>
      </c>
      <c r="L21">
        <f xml:space="preserve"> -55.696 * _2026_04_17_16_25_21_23_high[[#This Row],[coeff]] + 79.57</f>
        <v>20.207732825599997</v>
      </c>
    </row>
    <row r="22" spans="1:12" x14ac:dyDescent="0.3">
      <c r="A22">
        <v>20</v>
      </c>
      <c r="B22">
        <v>539</v>
      </c>
      <c r="C22" t="b">
        <v>1</v>
      </c>
      <c r="D22">
        <v>8030</v>
      </c>
      <c r="E22">
        <v>8117</v>
      </c>
      <c r="F22">
        <v>203.33332999999999</v>
      </c>
      <c r="G22">
        <v>190.4</v>
      </c>
      <c r="H22">
        <v>1.0679270999999999</v>
      </c>
      <c r="I22">
        <v>-6.7927180000000004E-2</v>
      </c>
      <c r="J22">
        <v>0.48357600000000001</v>
      </c>
      <c r="K22">
        <f xml:space="preserve"> -55.696 * _2026_04_17_16_25_21_23_high[[#This Row],[coeff]] + 79.57</f>
        <v>20.090732238400001</v>
      </c>
      <c r="L22">
        <f xml:space="preserve"> -55.696 * _2026_04_17_16_25_21_23_high[[#This Row],[coeff]] + 79.57</f>
        <v>20.090732238400001</v>
      </c>
    </row>
    <row r="23" spans="1:12" x14ac:dyDescent="0.3">
      <c r="A23">
        <v>21</v>
      </c>
      <c r="B23">
        <v>571</v>
      </c>
      <c r="C23" t="b">
        <v>1</v>
      </c>
      <c r="D23">
        <v>8048</v>
      </c>
      <c r="E23">
        <v>8111</v>
      </c>
      <c r="F23">
        <v>203.73334</v>
      </c>
      <c r="G23">
        <v>190.4</v>
      </c>
      <c r="H23">
        <v>1.0700281</v>
      </c>
      <c r="I23">
        <v>-7.0028069999999998E-2</v>
      </c>
      <c r="J23">
        <v>0.48308524000000003</v>
      </c>
      <c r="K23">
        <f xml:space="preserve"> -55.696 * _2026_04_17_16_25_21_23_high[[#This Row],[coeff]] + 79.57</f>
        <v>19.973714942399994</v>
      </c>
      <c r="L23">
        <f xml:space="preserve"> -55.696 * _2026_04_17_16_25_21_23_high[[#This Row],[coeff]] + 79.57</f>
        <v>19.973714942399994</v>
      </c>
    </row>
    <row r="24" spans="1:12" x14ac:dyDescent="0.3">
      <c r="A24">
        <v>22</v>
      </c>
      <c r="B24">
        <v>603</v>
      </c>
      <c r="C24" t="b">
        <v>1</v>
      </c>
      <c r="D24">
        <v>8037</v>
      </c>
      <c r="E24">
        <v>8129</v>
      </c>
      <c r="F24">
        <v>204.46665999999999</v>
      </c>
      <c r="G24">
        <v>191.2</v>
      </c>
      <c r="H24">
        <v>1.0693864</v>
      </c>
      <c r="I24">
        <v>-6.9386310000000007E-2</v>
      </c>
      <c r="J24">
        <v>0.48323505999999999</v>
      </c>
      <c r="K24">
        <f xml:space="preserve"> -55.696 * _2026_04_17_16_25_21_23_high[[#This Row],[coeff]] + 79.57</f>
        <v>20.009455065600001</v>
      </c>
      <c r="L24">
        <f xml:space="preserve"> -55.696 * _2026_04_17_16_25_21_23_high[[#This Row],[coeff]] + 79.57</f>
        <v>20.009455065600001</v>
      </c>
    </row>
    <row r="25" spans="1:12" x14ac:dyDescent="0.3">
      <c r="A25">
        <v>23</v>
      </c>
      <c r="B25">
        <v>635</v>
      </c>
      <c r="C25" t="b">
        <v>1</v>
      </c>
      <c r="D25">
        <v>8042</v>
      </c>
      <c r="E25">
        <v>8111</v>
      </c>
      <c r="F25">
        <v>204.8</v>
      </c>
      <c r="G25">
        <v>192</v>
      </c>
      <c r="H25">
        <v>1.0666667000000001</v>
      </c>
      <c r="I25">
        <v>-6.6666685000000003E-2</v>
      </c>
      <c r="J25">
        <v>0.48387098000000001</v>
      </c>
      <c r="K25">
        <f xml:space="preserve"> -55.696 * _2026_04_17_16_25_21_23_high[[#This Row],[coeff]] + 79.57</f>
        <v>20.160931476799988</v>
      </c>
      <c r="L25">
        <f xml:space="preserve"> -55.696 * _2026_04_17_16_25_21_23_high[[#This Row],[coeff]] + 79.57</f>
        <v>20.160931476799988</v>
      </c>
    </row>
    <row r="26" spans="1:12" x14ac:dyDescent="0.3">
      <c r="A26">
        <v>24</v>
      </c>
      <c r="B26">
        <v>666</v>
      </c>
      <c r="C26" t="b">
        <v>1</v>
      </c>
      <c r="D26">
        <v>8042</v>
      </c>
      <c r="E26">
        <v>8111</v>
      </c>
      <c r="F26">
        <v>205.6</v>
      </c>
      <c r="G26">
        <v>192.4</v>
      </c>
      <c r="H26">
        <v>1.0686070999999999</v>
      </c>
      <c r="I26">
        <v>-6.8607139999999997E-2</v>
      </c>
      <c r="J26">
        <v>0.48341706000000001</v>
      </c>
      <c r="K26">
        <f xml:space="preserve"> -55.696 * _2026_04_17_16_25_21_23_high[[#This Row],[coeff]] + 79.57</f>
        <v>20.052858958400002</v>
      </c>
      <c r="L26">
        <f xml:space="preserve"> -55.696 * _2026_04_17_16_25_21_23_high[[#This Row],[coeff]] + 79.57</f>
        <v>20.052858958400002</v>
      </c>
    </row>
    <row r="27" spans="1:12" x14ac:dyDescent="0.3">
      <c r="A27">
        <v>25</v>
      </c>
      <c r="B27">
        <v>698</v>
      </c>
      <c r="C27" t="b">
        <v>1</v>
      </c>
      <c r="D27">
        <v>8030</v>
      </c>
      <c r="E27">
        <v>8129</v>
      </c>
      <c r="F27">
        <v>206.4</v>
      </c>
      <c r="G27">
        <v>192.8</v>
      </c>
      <c r="H27">
        <v>1.0705393999999999</v>
      </c>
      <c r="I27">
        <v>-7.0539370000000004E-2</v>
      </c>
      <c r="J27">
        <v>0.48296591999999999</v>
      </c>
      <c r="K27">
        <f xml:space="preserve"> -55.696 * _2026_04_17_16_25_21_23_high[[#This Row],[coeff]] + 79.57</f>
        <v>19.945237577599997</v>
      </c>
      <c r="L27">
        <f xml:space="preserve"> -55.696 * _2026_04_17_16_25_21_23_high[[#This Row],[coeff]] + 79.57</f>
        <v>19.945237577599997</v>
      </c>
    </row>
    <row r="28" spans="1:12" x14ac:dyDescent="0.3">
      <c r="A28">
        <v>26</v>
      </c>
      <c r="B28">
        <v>714</v>
      </c>
      <c r="C28" t="b">
        <v>1</v>
      </c>
      <c r="D28">
        <v>8048</v>
      </c>
      <c r="E28">
        <v>8111</v>
      </c>
      <c r="F28">
        <v>206</v>
      </c>
      <c r="G28">
        <v>193.2</v>
      </c>
      <c r="H28">
        <v>1.0662526000000001</v>
      </c>
      <c r="I28">
        <v>-6.6252604000000007E-2</v>
      </c>
      <c r="J28">
        <v>0.48396790000000001</v>
      </c>
      <c r="K28">
        <f xml:space="preserve"> -55.696 * _2026_04_17_16_25_21_23_high[[#This Row],[coeff]] + 79.57</f>
        <v>20.18399519039999</v>
      </c>
      <c r="L28">
        <f xml:space="preserve"> -55.696 * _2026_04_17_16_25_21_23_high[[#This Row],[coeff]] + 79.57</f>
        <v>20.18399519039999</v>
      </c>
    </row>
    <row r="29" spans="1:12" x14ac:dyDescent="0.3">
      <c r="A29">
        <v>27</v>
      </c>
      <c r="B29">
        <v>745</v>
      </c>
      <c r="C29" t="b">
        <v>1</v>
      </c>
      <c r="D29">
        <v>8048</v>
      </c>
      <c r="E29">
        <v>8140</v>
      </c>
      <c r="F29">
        <v>205.6</v>
      </c>
      <c r="G29">
        <v>193.2</v>
      </c>
      <c r="H29">
        <v>1.0641822999999999</v>
      </c>
      <c r="I29">
        <v>-6.4182243999999999E-2</v>
      </c>
      <c r="J29">
        <v>0.48445337999999999</v>
      </c>
      <c r="K29">
        <f xml:space="preserve"> -55.696 * _2026_04_17_16_25_21_23_high[[#This Row],[coeff]] + 79.57</f>
        <v>20.299302619199999</v>
      </c>
      <c r="L29">
        <f xml:space="preserve"> -55.696 * _2026_04_17_16_25_21_23_high[[#This Row],[coeff]] + 79.57</f>
        <v>20.299302619199999</v>
      </c>
    </row>
    <row r="30" spans="1:12" x14ac:dyDescent="0.3">
      <c r="A30">
        <v>28</v>
      </c>
      <c r="B30">
        <v>778</v>
      </c>
      <c r="C30" t="b">
        <v>1</v>
      </c>
      <c r="D30">
        <v>8037</v>
      </c>
      <c r="E30">
        <v>8129</v>
      </c>
      <c r="F30">
        <v>205.2</v>
      </c>
      <c r="G30">
        <v>194.4</v>
      </c>
      <c r="H30">
        <v>1.0555555999999999</v>
      </c>
      <c r="I30">
        <v>-5.5555575000000003E-2</v>
      </c>
      <c r="J30">
        <v>0.48648649999999999</v>
      </c>
      <c r="K30">
        <f xml:space="preserve"> -55.696 * _2026_04_17_16_25_21_23_high[[#This Row],[coeff]] + 79.57</f>
        <v>20.779775302399997</v>
      </c>
      <c r="L30">
        <f xml:space="preserve"> -55.696 * _2026_04_17_16_25_21_23_high[[#This Row],[coeff]] + 79.57</f>
        <v>20.779775302399997</v>
      </c>
    </row>
    <row r="31" spans="1:12" x14ac:dyDescent="0.3">
      <c r="A31">
        <v>29</v>
      </c>
      <c r="B31">
        <v>794</v>
      </c>
      <c r="C31" t="b">
        <v>1</v>
      </c>
      <c r="D31">
        <v>8037</v>
      </c>
      <c r="E31">
        <v>8140</v>
      </c>
      <c r="F31">
        <v>204.46665999999999</v>
      </c>
      <c r="G31">
        <v>195.6</v>
      </c>
      <c r="H31">
        <v>1.0453304999999999</v>
      </c>
      <c r="I31">
        <v>-4.5330540000000002E-2</v>
      </c>
      <c r="J31">
        <v>0.48891854000000001</v>
      </c>
      <c r="K31">
        <f xml:space="preserve"> -55.696 * _2026_04_17_16_25_21_23_high[[#This Row],[coeff]] + 79.57</f>
        <v>21.349272471999996</v>
      </c>
      <c r="L31">
        <f xml:space="preserve"> -55.696 * _2026_04_17_16_25_21_23_high[[#This Row],[coeff]] + 79.57</f>
        <v>21.349272471999996</v>
      </c>
    </row>
    <row r="32" spans="1:12" x14ac:dyDescent="0.3">
      <c r="A32">
        <v>30</v>
      </c>
      <c r="B32">
        <v>810</v>
      </c>
      <c r="C32" t="b">
        <v>1</v>
      </c>
      <c r="D32">
        <v>8037</v>
      </c>
      <c r="E32">
        <v>8123</v>
      </c>
      <c r="F32">
        <v>203.73334</v>
      </c>
      <c r="G32">
        <v>196.8</v>
      </c>
      <c r="H32">
        <v>1.0352304000000001</v>
      </c>
      <c r="I32">
        <v>-3.5230356999999997E-2</v>
      </c>
      <c r="J32">
        <v>0.49134489999999997</v>
      </c>
      <c r="K32">
        <f xml:space="preserve"> -55.696 * _2026_04_17_16_25_21_23_high[[#This Row],[coeff]] + 79.57</f>
        <v>21.911807641599992</v>
      </c>
      <c r="L32">
        <f xml:space="preserve"> -55.696 * _2026_04_17_16_25_21_23_high[[#This Row],[coeff]] + 79.57</f>
        <v>21.911807641599992</v>
      </c>
    </row>
    <row r="33" spans="1:12" x14ac:dyDescent="0.3">
      <c r="A33">
        <v>31</v>
      </c>
      <c r="B33">
        <v>825</v>
      </c>
      <c r="C33" t="b">
        <v>1</v>
      </c>
      <c r="D33">
        <v>8048</v>
      </c>
      <c r="E33">
        <v>8105</v>
      </c>
      <c r="F33">
        <v>203</v>
      </c>
      <c r="G33">
        <v>198</v>
      </c>
      <c r="H33">
        <v>1.0252526</v>
      </c>
      <c r="I33">
        <v>-2.5252525000000001E-2</v>
      </c>
      <c r="J33">
        <v>0.49376560000000003</v>
      </c>
      <c r="K33">
        <f xml:space="preserve"> -55.696 * _2026_04_17_16_25_21_23_high[[#This Row],[coeff]] + 79.57</f>
        <v>22.467531190399995</v>
      </c>
      <c r="L33">
        <f xml:space="preserve"> -55.696 * _2026_04_17_16_25_21_23_high[[#This Row],[coeff]] + 79.57</f>
        <v>22.467531190399995</v>
      </c>
    </row>
    <row r="34" spans="1:12" x14ac:dyDescent="0.3">
      <c r="A34">
        <v>32</v>
      </c>
      <c r="B34">
        <v>841</v>
      </c>
      <c r="C34" t="b">
        <v>1</v>
      </c>
      <c r="D34">
        <v>8037</v>
      </c>
      <c r="E34">
        <v>8093</v>
      </c>
      <c r="F34">
        <v>202.66667000000001</v>
      </c>
      <c r="G34">
        <v>199.2</v>
      </c>
      <c r="H34">
        <v>1.0174030000000001</v>
      </c>
      <c r="I34">
        <v>-1.7402985999999999E-2</v>
      </c>
      <c r="J34">
        <v>0.49568679999999998</v>
      </c>
      <c r="K34">
        <f xml:space="preserve"> -55.696 * _2026_04_17_16_25_21_23_high[[#This Row],[coeff]] + 79.57</f>
        <v>22.904722511999992</v>
      </c>
      <c r="L34">
        <f xml:space="preserve"> -55.696 * _2026_04_17_16_25_21_23_high[[#This Row],[coeff]] + 79.57</f>
        <v>22.904722511999992</v>
      </c>
    </row>
    <row r="35" spans="1:12" x14ac:dyDescent="0.3">
      <c r="A35">
        <v>33</v>
      </c>
      <c r="B35">
        <v>857</v>
      </c>
      <c r="C35" t="b">
        <v>1</v>
      </c>
      <c r="D35">
        <v>8048</v>
      </c>
      <c r="E35">
        <v>8105</v>
      </c>
      <c r="F35">
        <v>201.93333000000001</v>
      </c>
      <c r="G35">
        <v>199.2</v>
      </c>
      <c r="H35">
        <v>1.0137216</v>
      </c>
      <c r="I35">
        <v>-1.3721573000000001E-2</v>
      </c>
      <c r="J35">
        <v>0.49659297000000002</v>
      </c>
      <c r="K35">
        <f xml:space="preserve"> -55.696 * _2026_04_17_16_25_21_23_high[[#This Row],[coeff]] + 79.57</f>
        <v>23.109761766399998</v>
      </c>
      <c r="L35">
        <f xml:space="preserve"> -55.696 * _2026_04_17_16_25_21_23_high[[#This Row],[coeff]] + 79.57</f>
        <v>23.109761766399998</v>
      </c>
    </row>
    <row r="36" spans="1:12" x14ac:dyDescent="0.3">
      <c r="A36">
        <v>34</v>
      </c>
      <c r="B36">
        <v>889</v>
      </c>
      <c r="C36" t="b">
        <v>1</v>
      </c>
      <c r="D36">
        <v>8017</v>
      </c>
      <c r="E36">
        <v>8129</v>
      </c>
      <c r="F36">
        <v>201.2</v>
      </c>
      <c r="G36">
        <v>199.6</v>
      </c>
      <c r="H36">
        <v>1.008016</v>
      </c>
      <c r="I36">
        <v>-8.0159859999999993E-3</v>
      </c>
      <c r="J36">
        <v>0.49800401999999999</v>
      </c>
      <c r="K36">
        <f xml:space="preserve"> -55.696 * _2026_04_17_16_25_21_23_high[[#This Row],[coeff]] + 79.57</f>
        <v>23.427540863999994</v>
      </c>
      <c r="L36">
        <f xml:space="preserve"> -55.696 * _2026_04_17_16_25_21_23_high[[#This Row],[coeff]] + 79.57</f>
        <v>23.427540863999994</v>
      </c>
    </row>
    <row r="37" spans="1:12" x14ac:dyDescent="0.3">
      <c r="A37">
        <v>35</v>
      </c>
      <c r="B37">
        <v>921</v>
      </c>
      <c r="C37" t="b">
        <v>1</v>
      </c>
      <c r="D37">
        <v>8017</v>
      </c>
      <c r="E37">
        <v>8111</v>
      </c>
      <c r="F37">
        <v>200.46665999999999</v>
      </c>
      <c r="G37">
        <v>200</v>
      </c>
      <c r="H37">
        <v>1.0023333000000001</v>
      </c>
      <c r="I37">
        <v>-2.3332976E-3</v>
      </c>
      <c r="J37">
        <v>0.49941732999999999</v>
      </c>
      <c r="K37">
        <f xml:space="preserve"> -55.696 * _2026_04_17_16_25_21_23_high[[#This Row],[coeff]] + 79.57</f>
        <v>23.744044523199989</v>
      </c>
      <c r="L37">
        <f xml:space="preserve"> -55.696 * _2026_04_17_16_25_21_23_high[[#This Row],[coeff]] + 79.57</f>
        <v>23.744044523199989</v>
      </c>
    </row>
    <row r="38" spans="1:12" x14ac:dyDescent="0.3">
      <c r="A38">
        <v>36</v>
      </c>
      <c r="B38">
        <v>953</v>
      </c>
      <c r="C38" t="b">
        <v>1</v>
      </c>
      <c r="D38">
        <v>8042</v>
      </c>
      <c r="E38">
        <v>8117</v>
      </c>
      <c r="F38">
        <v>199.73334</v>
      </c>
      <c r="G38">
        <v>200.4</v>
      </c>
      <c r="H38">
        <v>0.99667335000000001</v>
      </c>
      <c r="I38">
        <v>3.3266292999999999E-3</v>
      </c>
      <c r="J38">
        <v>0.50083303000000001</v>
      </c>
      <c r="K38">
        <f xml:space="preserve"> -55.696 * _2026_04_17_16_25_21_23_high[[#This Row],[coeff]] + 79.57</f>
        <v>24.059281098399993</v>
      </c>
      <c r="L38">
        <f xml:space="preserve"> -55.696 * _2026_04_17_16_25_21_23_high[[#This Row],[coeff]] + 79.57</f>
        <v>24.059281098399993</v>
      </c>
    </row>
    <row r="39" spans="1:12" x14ac:dyDescent="0.3">
      <c r="A39">
        <v>37</v>
      </c>
      <c r="B39">
        <v>984</v>
      </c>
      <c r="C39" t="b">
        <v>1</v>
      </c>
      <c r="D39">
        <v>8037</v>
      </c>
      <c r="E39">
        <v>8111</v>
      </c>
      <c r="F39">
        <v>199</v>
      </c>
      <c r="G39">
        <v>200.4</v>
      </c>
      <c r="H39">
        <v>0.99301399999999995</v>
      </c>
      <c r="I39">
        <v>6.9859980000000002E-3</v>
      </c>
      <c r="J39">
        <v>0.50175259999999999</v>
      </c>
      <c r="K39">
        <f xml:space="preserve"> -55.696 * _2026_04_17_16_25_21_23_high[[#This Row],[coeff]] + 79.57</f>
        <v>24.263092256</v>
      </c>
      <c r="L39">
        <f xml:space="preserve"> -55.696 * _2026_04_17_16_25_21_23_high[[#This Row],[coeff]] + 79.57</f>
        <v>24.263092256</v>
      </c>
    </row>
    <row r="40" spans="1:12" x14ac:dyDescent="0.3">
      <c r="A40">
        <v>38</v>
      </c>
      <c r="B40">
        <v>1016</v>
      </c>
      <c r="C40" t="b">
        <v>1</v>
      </c>
      <c r="D40">
        <v>8023</v>
      </c>
      <c r="E40">
        <v>8093</v>
      </c>
      <c r="F40">
        <v>197.73334</v>
      </c>
      <c r="G40">
        <v>200.4</v>
      </c>
      <c r="H40">
        <v>0.9866933</v>
      </c>
      <c r="I40">
        <v>1.330667E-2</v>
      </c>
      <c r="J40">
        <v>0.50334895000000002</v>
      </c>
      <c r="K40">
        <f xml:space="preserve"> -55.696 * _2026_04_17_16_25_21_23_high[[#This Row],[coeff]] + 79.57</f>
        <v>24.615129963199998</v>
      </c>
      <c r="L40">
        <f xml:space="preserve"> -55.696 * _2026_04_17_16_25_21_23_high[[#This Row],[coeff]] + 79.57</f>
        <v>24.615129963199998</v>
      </c>
    </row>
    <row r="41" spans="1:12" x14ac:dyDescent="0.3">
      <c r="A41">
        <v>39</v>
      </c>
      <c r="B41">
        <v>1048</v>
      </c>
      <c r="C41" t="b">
        <v>1</v>
      </c>
      <c r="D41">
        <v>8037</v>
      </c>
      <c r="E41">
        <v>8105</v>
      </c>
      <c r="F41">
        <v>197.4</v>
      </c>
      <c r="G41">
        <v>200.4</v>
      </c>
      <c r="H41">
        <v>0.98502993999999999</v>
      </c>
      <c r="I41">
        <v>1.497006E-2</v>
      </c>
      <c r="J41">
        <v>0.50377077000000003</v>
      </c>
      <c r="K41">
        <f xml:space="preserve"> -55.696 * _2026_04_17_16_25_21_23_high[[#This Row],[coeff]] + 79.57</f>
        <v>24.707772461759994</v>
      </c>
      <c r="L41">
        <f xml:space="preserve"> -55.696 * _2026_04_17_16_25_21_23_high[[#This Row],[coeff]] + 79.57</f>
        <v>24.707772461759994</v>
      </c>
    </row>
    <row r="42" spans="1:12" x14ac:dyDescent="0.3">
      <c r="A42">
        <v>40</v>
      </c>
      <c r="B42">
        <v>1064</v>
      </c>
      <c r="C42" t="b">
        <v>1</v>
      </c>
      <c r="D42">
        <v>8042</v>
      </c>
      <c r="E42">
        <v>8111</v>
      </c>
      <c r="F42">
        <v>197.06666999999999</v>
      </c>
      <c r="G42">
        <v>200.4</v>
      </c>
      <c r="H42">
        <v>0.98336659999999998</v>
      </c>
      <c r="I42">
        <v>1.6633374999999999E-2</v>
      </c>
      <c r="J42">
        <v>0.50419320000000001</v>
      </c>
      <c r="K42">
        <f xml:space="preserve"> -55.696 * _2026_04_17_16_25_21_23_high[[#This Row],[coeff]] + 79.57</f>
        <v>24.800413846399998</v>
      </c>
      <c r="L42">
        <f xml:space="preserve"> -55.696 * _2026_04_17_16_25_21_23_high[[#This Row],[coeff]] + 79.57</f>
        <v>24.800413846399998</v>
      </c>
    </row>
    <row r="43" spans="1:12" x14ac:dyDescent="0.3">
      <c r="A43">
        <v>41</v>
      </c>
      <c r="B43">
        <v>1079</v>
      </c>
      <c r="C43" t="b">
        <v>1</v>
      </c>
      <c r="D43">
        <v>8023</v>
      </c>
      <c r="E43">
        <v>8105</v>
      </c>
      <c r="F43">
        <v>196.73334</v>
      </c>
      <c r="G43">
        <v>200</v>
      </c>
      <c r="H43">
        <v>0.98366666000000003</v>
      </c>
      <c r="I43">
        <v>1.6333314000000002E-2</v>
      </c>
      <c r="J43">
        <v>0.50411695000000001</v>
      </c>
      <c r="K43">
        <f xml:space="preserve"> -55.696 * _2026_04_17_16_25_21_23_high[[#This Row],[coeff]] + 79.57</f>
        <v>24.783701704639995</v>
      </c>
      <c r="L43">
        <f xml:space="preserve"> -55.696 * _2026_04_17_16_25_21_23_high[[#This Row],[coeff]] + 79.57</f>
        <v>24.783701704639995</v>
      </c>
    </row>
    <row r="44" spans="1:12" x14ac:dyDescent="0.3">
      <c r="A44">
        <v>42</v>
      </c>
      <c r="B44">
        <v>1095</v>
      </c>
      <c r="C44" t="b">
        <v>1</v>
      </c>
      <c r="D44">
        <v>8037</v>
      </c>
      <c r="E44">
        <v>8111</v>
      </c>
      <c r="F44">
        <v>196.4</v>
      </c>
      <c r="G44">
        <v>199.6</v>
      </c>
      <c r="H44">
        <v>0.98396790000000001</v>
      </c>
      <c r="I44">
        <v>1.6032123999999998E-2</v>
      </c>
      <c r="J44">
        <v>0.50404040000000006</v>
      </c>
      <c r="K44">
        <f xml:space="preserve"> -55.696 * _2026_04_17_16_25_21_23_high[[#This Row],[coeff]] + 79.57</f>
        <v>24.766923841599997</v>
      </c>
      <c r="L44">
        <f xml:space="preserve"> -55.696 * _2026_04_17_16_25_21_23_high[[#This Row],[coeff]] + 79.57</f>
        <v>24.766923841599997</v>
      </c>
    </row>
    <row r="45" spans="1:12" x14ac:dyDescent="0.3">
      <c r="A45">
        <v>43</v>
      </c>
      <c r="B45">
        <v>1111</v>
      </c>
      <c r="C45" t="b">
        <v>1</v>
      </c>
      <c r="D45">
        <v>8071</v>
      </c>
      <c r="E45">
        <v>8105</v>
      </c>
      <c r="F45">
        <v>196.06666999999999</v>
      </c>
      <c r="G45">
        <v>198</v>
      </c>
      <c r="H45">
        <v>0.99023570000000005</v>
      </c>
      <c r="I45">
        <v>9.7643150000000008E-3</v>
      </c>
      <c r="J45">
        <v>0.50245309999999999</v>
      </c>
      <c r="K45">
        <f xml:space="preserve"> -55.696 * _2026_04_17_16_25_21_23_high[[#This Row],[coeff]] + 79.57</f>
        <v>24.417832452799992</v>
      </c>
      <c r="L45">
        <f xml:space="preserve"> -55.696 * _2026_04_17_16_25_21_23_high[[#This Row],[coeff]] + 79.57</f>
        <v>24.417832452799992</v>
      </c>
    </row>
    <row r="46" spans="1:12" x14ac:dyDescent="0.3">
      <c r="A46">
        <v>44</v>
      </c>
      <c r="B46">
        <v>1127</v>
      </c>
      <c r="C46" t="b">
        <v>1</v>
      </c>
      <c r="D46">
        <v>8037</v>
      </c>
      <c r="E46">
        <v>8111</v>
      </c>
      <c r="F46">
        <v>196.06666999999999</v>
      </c>
      <c r="G46">
        <v>196.8</v>
      </c>
      <c r="H46">
        <v>0.99627370000000004</v>
      </c>
      <c r="I46">
        <v>3.7263078000000002E-3</v>
      </c>
      <c r="J46">
        <v>0.50093330000000003</v>
      </c>
      <c r="K46">
        <f xml:space="preserve"> -55.696 * _2026_04_17_16_25_21_23_high[[#This Row],[coeff]] + 79.57</f>
        <v>24.08154000479999</v>
      </c>
      <c r="L46">
        <f xml:space="preserve"> -55.696 * _2026_04_17_16_25_21_23_high[[#This Row],[coeff]] + 79.57</f>
        <v>24.08154000479999</v>
      </c>
    </row>
    <row r="47" spans="1:12" x14ac:dyDescent="0.3">
      <c r="A47">
        <v>45</v>
      </c>
      <c r="B47">
        <v>1143</v>
      </c>
      <c r="C47" t="b">
        <v>1</v>
      </c>
      <c r="D47">
        <v>8037</v>
      </c>
      <c r="E47">
        <v>8105</v>
      </c>
      <c r="F47">
        <v>196.06666999999999</v>
      </c>
      <c r="G47">
        <v>195.2</v>
      </c>
      <c r="H47">
        <v>1.00444</v>
      </c>
      <c r="I47">
        <v>-4.4399009999999996E-3</v>
      </c>
      <c r="J47">
        <v>0.49889250000000002</v>
      </c>
      <c r="K47">
        <f xml:space="preserve"> -55.696 * _2026_04_17_16_25_21_23_high[[#This Row],[coeff]] + 79.57</f>
        <v>23.626709759999997</v>
      </c>
      <c r="L47">
        <f xml:space="preserve"> -55.696 * _2026_04_17_16_25_21_23_high[[#This Row],[coeff]] + 79.57</f>
        <v>23.626709759999997</v>
      </c>
    </row>
    <row r="48" spans="1:12" x14ac:dyDescent="0.3">
      <c r="A48">
        <v>46</v>
      </c>
      <c r="B48">
        <v>1159</v>
      </c>
      <c r="C48" t="b">
        <v>1</v>
      </c>
      <c r="D48">
        <v>8042</v>
      </c>
      <c r="E48">
        <v>8087</v>
      </c>
      <c r="F48">
        <v>196.06666999999999</v>
      </c>
      <c r="G48">
        <v>193.6</v>
      </c>
      <c r="H48">
        <v>1.0127409999999999</v>
      </c>
      <c r="I48">
        <v>-1.2741010000000001E-2</v>
      </c>
      <c r="J48">
        <v>0.49683490000000002</v>
      </c>
      <c r="K48">
        <f xml:space="preserve"> -55.696 * _2026_04_17_16_25_21_23_high[[#This Row],[coeff]] + 79.57</f>
        <v>23.164377264000002</v>
      </c>
      <c r="L48">
        <f xml:space="preserve"> -55.696 * _2026_04_17_16_25_21_23_high[[#This Row],[coeff]] + 79.57</f>
        <v>23.164377264000002</v>
      </c>
    </row>
    <row r="49" spans="1:12" x14ac:dyDescent="0.3">
      <c r="A49">
        <v>47</v>
      </c>
      <c r="B49">
        <v>1175</v>
      </c>
      <c r="C49" t="b">
        <v>1</v>
      </c>
      <c r="D49">
        <v>8065</v>
      </c>
      <c r="E49">
        <v>8105</v>
      </c>
      <c r="F49">
        <v>196.4</v>
      </c>
      <c r="G49">
        <v>192.4</v>
      </c>
      <c r="H49">
        <v>1.0207900000000001</v>
      </c>
      <c r="I49">
        <v>-2.0790021999999998E-2</v>
      </c>
      <c r="J49">
        <v>0.49485596999999998</v>
      </c>
      <c r="K49">
        <f xml:space="preserve"> -55.696 * _2026_04_17_16_25_21_23_high[[#This Row],[coeff]] + 79.57</f>
        <v>22.71608015999999</v>
      </c>
      <c r="L49">
        <f xml:space="preserve"> -55.696 * _2026_04_17_16_25_21_23_high[[#This Row],[coeff]] + 79.57</f>
        <v>22.71608015999999</v>
      </c>
    </row>
    <row r="50" spans="1:12" x14ac:dyDescent="0.3">
      <c r="A50">
        <v>48</v>
      </c>
      <c r="B50">
        <v>1191</v>
      </c>
      <c r="C50" t="b">
        <v>1</v>
      </c>
      <c r="D50">
        <v>8054</v>
      </c>
      <c r="E50">
        <v>8093</v>
      </c>
      <c r="F50">
        <v>196.73334</v>
      </c>
      <c r="G50">
        <v>192.4</v>
      </c>
      <c r="H50">
        <v>1.0225226000000001</v>
      </c>
      <c r="I50">
        <v>-2.2522575999999999E-2</v>
      </c>
      <c r="J50">
        <v>0.49443206000000001</v>
      </c>
      <c r="K50">
        <f xml:space="preserve"> -55.696 * _2026_04_17_16_25_21_23_high[[#This Row],[coeff]] + 79.57</f>
        <v>22.619581270399991</v>
      </c>
      <c r="L50">
        <f xml:space="preserve"> -55.696 * _2026_04_17_16_25_21_23_high[[#This Row],[coeff]] + 79.57</f>
        <v>22.619581270399991</v>
      </c>
    </row>
    <row r="51" spans="1:12" x14ac:dyDescent="0.3">
      <c r="A51">
        <v>49</v>
      </c>
      <c r="B51">
        <v>1207</v>
      </c>
      <c r="C51" t="b">
        <v>1</v>
      </c>
      <c r="D51">
        <v>8037</v>
      </c>
      <c r="E51">
        <v>8111</v>
      </c>
      <c r="F51">
        <v>197.06666999999999</v>
      </c>
      <c r="G51">
        <v>192.4</v>
      </c>
      <c r="H51">
        <v>1.0242549999999999</v>
      </c>
      <c r="I51">
        <v>-2.4255051999999999E-2</v>
      </c>
      <c r="J51">
        <v>0.49400886999999999</v>
      </c>
      <c r="K51">
        <f xml:space="preserve"> -55.696 * _2026_04_17_16_25_21_23_high[[#This Row],[coeff]] + 79.57</f>
        <v>22.523093520000003</v>
      </c>
      <c r="L51">
        <f xml:space="preserve"> -55.696 * _2026_04_17_16_25_21_23_high[[#This Row],[coeff]] + 79.57</f>
        <v>22.523093520000003</v>
      </c>
    </row>
    <row r="52" spans="1:12" x14ac:dyDescent="0.3">
      <c r="A52">
        <v>50</v>
      </c>
      <c r="B52">
        <v>1222</v>
      </c>
      <c r="C52" t="b">
        <v>1</v>
      </c>
      <c r="D52">
        <v>8030</v>
      </c>
      <c r="E52">
        <v>8093</v>
      </c>
      <c r="F52">
        <v>197.4</v>
      </c>
      <c r="G52">
        <v>191.6</v>
      </c>
      <c r="H52">
        <v>1.0302712999999999</v>
      </c>
      <c r="I52">
        <v>-3.0271335E-2</v>
      </c>
      <c r="J52">
        <v>0.49254500000000001</v>
      </c>
      <c r="K52">
        <f xml:space="preserve"> -55.696 * _2026_04_17_16_25_21_23_high[[#This Row],[coeff]] + 79.57</f>
        <v>22.1880096752</v>
      </c>
      <c r="L52">
        <f xml:space="preserve"> -55.696 * _2026_04_17_16_25_21_23_high[[#This Row],[coeff]] + 79.57</f>
        <v>22.1880096752</v>
      </c>
    </row>
    <row r="53" spans="1:12" x14ac:dyDescent="0.3">
      <c r="A53">
        <v>51</v>
      </c>
      <c r="B53">
        <v>1239</v>
      </c>
      <c r="C53" t="b">
        <v>1</v>
      </c>
      <c r="D53">
        <v>8054</v>
      </c>
      <c r="E53">
        <v>8105</v>
      </c>
      <c r="F53">
        <v>198.53334000000001</v>
      </c>
      <c r="G53">
        <v>191.2</v>
      </c>
      <c r="H53">
        <v>1.0383543</v>
      </c>
      <c r="I53">
        <v>-3.8354306999999997E-2</v>
      </c>
      <c r="J53">
        <v>0.49059185</v>
      </c>
      <c r="K53">
        <f xml:space="preserve"> -55.696 * _2026_04_17_16_25_21_23_high[[#This Row],[coeff]] + 79.57</f>
        <v>21.737818907200001</v>
      </c>
      <c r="L53">
        <f xml:space="preserve"> -55.696 * _2026_04_17_16_25_21_23_high[[#This Row],[coeff]] + 79.57</f>
        <v>21.737818907200001</v>
      </c>
    </row>
    <row r="54" spans="1:12" x14ac:dyDescent="0.3">
      <c r="A54">
        <v>52</v>
      </c>
      <c r="B54">
        <v>1270</v>
      </c>
      <c r="C54" t="b">
        <v>1</v>
      </c>
      <c r="D54">
        <v>8054</v>
      </c>
      <c r="E54">
        <v>8117</v>
      </c>
      <c r="F54">
        <v>199.66667000000001</v>
      </c>
      <c r="G54">
        <v>190.8</v>
      </c>
      <c r="H54">
        <v>1.0464709999999999</v>
      </c>
      <c r="I54">
        <v>-4.647101E-2</v>
      </c>
      <c r="J54">
        <v>0.48864605999999999</v>
      </c>
      <c r="K54">
        <f xml:space="preserve"> -55.696 * _2026_04_17_16_25_21_23_high[[#This Row],[coeff]] + 79.57</f>
        <v>21.285751183999999</v>
      </c>
      <c r="L54">
        <f xml:space="preserve"> -55.696 * _2026_04_17_16_25_21_23_high[[#This Row],[coeff]] + 79.57</f>
        <v>21.285751183999999</v>
      </c>
    </row>
    <row r="55" spans="1:12" x14ac:dyDescent="0.3">
      <c r="A55">
        <v>53</v>
      </c>
      <c r="B55">
        <v>1301</v>
      </c>
      <c r="C55" t="b">
        <v>1</v>
      </c>
      <c r="D55">
        <v>8037</v>
      </c>
      <c r="E55">
        <v>8117</v>
      </c>
      <c r="F55">
        <v>200.6</v>
      </c>
      <c r="G55">
        <v>190.8</v>
      </c>
      <c r="H55">
        <v>1.0513627999999999</v>
      </c>
      <c r="I55">
        <v>-5.1362696999999999E-2</v>
      </c>
      <c r="J55">
        <v>0.48748081999999998</v>
      </c>
      <c r="K55">
        <f xml:space="preserve"> -55.696 * _2026_04_17_16_25_21_23_high[[#This Row],[coeff]] + 79.57</f>
        <v>21.013297491199999</v>
      </c>
      <c r="L55">
        <f xml:space="preserve"> -55.696 * _2026_04_17_16_25_21_23_high[[#This Row],[coeff]] + 79.57</f>
        <v>21.013297491199999</v>
      </c>
    </row>
    <row r="56" spans="1:12" x14ac:dyDescent="0.3">
      <c r="A56">
        <v>54</v>
      </c>
      <c r="B56">
        <v>1333</v>
      </c>
      <c r="C56" t="b">
        <v>1</v>
      </c>
      <c r="D56">
        <v>8037</v>
      </c>
      <c r="E56">
        <v>8099</v>
      </c>
      <c r="F56">
        <v>200.6</v>
      </c>
      <c r="G56">
        <v>190.4</v>
      </c>
      <c r="H56">
        <v>1.0535715000000001</v>
      </c>
      <c r="I56">
        <v>-5.3571496000000003E-2</v>
      </c>
      <c r="J56">
        <v>0.48695650000000001</v>
      </c>
      <c r="K56">
        <f xml:space="preserve"> -55.696 * _2026_04_17_16_25_21_23_high[[#This Row],[coeff]] + 79.57</f>
        <v>20.890281735999991</v>
      </c>
      <c r="L56">
        <f xml:space="preserve"> -55.696 * _2026_04_17_16_25_21_23_high[[#This Row],[coeff]] + 79.57</f>
        <v>20.890281735999991</v>
      </c>
    </row>
    <row r="57" spans="1:12" x14ac:dyDescent="0.3">
      <c r="A57">
        <v>55</v>
      </c>
      <c r="B57">
        <v>1365</v>
      </c>
      <c r="C57" t="b">
        <v>1</v>
      </c>
      <c r="D57">
        <v>8037</v>
      </c>
      <c r="E57">
        <v>8099</v>
      </c>
      <c r="F57">
        <v>200.6</v>
      </c>
      <c r="G57">
        <v>190</v>
      </c>
      <c r="H57">
        <v>1.0557894999999999</v>
      </c>
      <c r="I57">
        <v>-5.5789503999999997E-2</v>
      </c>
      <c r="J57">
        <v>0.48643111999999999</v>
      </c>
      <c r="K57">
        <f xml:space="preserve"> -55.696 * _2026_04_17_16_25_21_23_high[[#This Row],[coeff]] + 79.57</f>
        <v>20.766748008</v>
      </c>
      <c r="L57">
        <f xml:space="preserve"> -55.696 * _2026_04_17_16_25_21_23_high[[#This Row],[coeff]] + 79.57</f>
        <v>20.766748008</v>
      </c>
    </row>
    <row r="58" spans="1:12" x14ac:dyDescent="0.3">
      <c r="A58">
        <v>56</v>
      </c>
      <c r="B58">
        <v>1396</v>
      </c>
      <c r="C58" t="b">
        <v>1</v>
      </c>
      <c r="D58">
        <v>8048</v>
      </c>
      <c r="E58">
        <v>8099</v>
      </c>
      <c r="F58">
        <v>200.6</v>
      </c>
      <c r="G58">
        <v>189.6</v>
      </c>
      <c r="H58">
        <v>1.0580168999999999</v>
      </c>
      <c r="I58">
        <v>-5.8016878000000001E-2</v>
      </c>
      <c r="J58">
        <v>0.48590465999999999</v>
      </c>
      <c r="K58">
        <f xml:space="preserve"> -55.696 * _2026_04_17_16_25_21_23_high[[#This Row],[coeff]] + 79.57</f>
        <v>20.642690737599999</v>
      </c>
      <c r="L58">
        <f xml:space="preserve"> -55.696 * _2026_04_17_16_25_21_23_high[[#This Row],[coeff]] + 79.57</f>
        <v>20.642690737599999</v>
      </c>
    </row>
    <row r="59" spans="1:12" x14ac:dyDescent="0.3">
      <c r="A59">
        <v>57</v>
      </c>
      <c r="B59">
        <v>1427</v>
      </c>
      <c r="C59" t="b">
        <v>1</v>
      </c>
      <c r="D59">
        <v>8054</v>
      </c>
      <c r="E59">
        <v>8105</v>
      </c>
      <c r="F59">
        <v>200.6</v>
      </c>
      <c r="G59">
        <v>189.2</v>
      </c>
      <c r="H59">
        <v>1.0602537000000001</v>
      </c>
      <c r="I59">
        <v>-6.0253750000000002E-2</v>
      </c>
      <c r="J59">
        <v>0.48537712999999999</v>
      </c>
      <c r="K59">
        <f xml:space="preserve"> -55.696 * _2026_04_17_16_25_21_23_high[[#This Row],[coeff]] + 79.57</f>
        <v>20.518109924799994</v>
      </c>
      <c r="L59">
        <f xml:space="preserve"> -55.696 * _2026_04_17_16_25_21_23_high[[#This Row],[coeff]] + 79.57</f>
        <v>20.518109924799994</v>
      </c>
    </row>
    <row r="60" spans="1:12" x14ac:dyDescent="0.3">
      <c r="A60">
        <v>58</v>
      </c>
      <c r="B60">
        <v>1443</v>
      </c>
      <c r="C60" t="b">
        <v>1</v>
      </c>
      <c r="D60">
        <v>8037</v>
      </c>
      <c r="E60">
        <v>8111</v>
      </c>
      <c r="F60">
        <v>200.6</v>
      </c>
      <c r="G60">
        <v>188.8</v>
      </c>
      <c r="H60">
        <v>1.0625</v>
      </c>
      <c r="I60">
        <v>-6.2500015000000006E-2</v>
      </c>
      <c r="J60">
        <v>0.48484846999999998</v>
      </c>
      <c r="K60">
        <f xml:space="preserve"> -55.696 * _2026_04_17_16_25_21_23_high[[#This Row],[coeff]] + 79.57</f>
        <v>20.392999999999994</v>
      </c>
      <c r="L60">
        <f xml:space="preserve"> -55.696 * _2026_04_17_16_25_21_23_high[[#This Row],[coeff]] + 79.57</f>
        <v>20.392999999999994</v>
      </c>
    </row>
    <row r="61" spans="1:12" x14ac:dyDescent="0.3">
      <c r="A61">
        <v>59</v>
      </c>
      <c r="B61">
        <v>1474</v>
      </c>
      <c r="C61" t="b">
        <v>1</v>
      </c>
      <c r="D61">
        <v>8042</v>
      </c>
      <c r="E61">
        <v>8099</v>
      </c>
      <c r="F61">
        <v>200.93333000000001</v>
      </c>
      <c r="G61">
        <v>188</v>
      </c>
      <c r="H61">
        <v>1.0687944</v>
      </c>
      <c r="I61">
        <v>-6.8794330000000001E-2</v>
      </c>
      <c r="J61">
        <v>0.48337330000000001</v>
      </c>
      <c r="K61">
        <f xml:space="preserve"> -55.696 * _2026_04_17_16_25_21_23_high[[#This Row],[coeff]] + 79.57</f>
        <v>20.04242709759999</v>
      </c>
      <c r="L61">
        <f xml:space="preserve"> -55.696 * _2026_04_17_16_25_21_23_high[[#This Row],[coeff]] + 79.57</f>
        <v>20.04242709759999</v>
      </c>
    </row>
    <row r="62" spans="1:12" x14ac:dyDescent="0.3">
      <c r="A62">
        <v>60</v>
      </c>
      <c r="B62">
        <v>1490</v>
      </c>
      <c r="C62" t="b">
        <v>1</v>
      </c>
      <c r="D62">
        <v>8030</v>
      </c>
      <c r="E62">
        <v>8129</v>
      </c>
      <c r="F62">
        <v>201.26666</v>
      </c>
      <c r="G62">
        <v>188</v>
      </c>
      <c r="H62">
        <v>1.0705674000000001</v>
      </c>
      <c r="I62">
        <v>-7.0567354999999998E-2</v>
      </c>
      <c r="J62">
        <v>0.48295941999999997</v>
      </c>
      <c r="K62">
        <f xml:space="preserve"> -55.696 * _2026_04_17_16_25_21_23_high[[#This Row],[coeff]] + 79.57</f>
        <v>19.943678089599992</v>
      </c>
      <c r="L62">
        <f xml:space="preserve"> -55.696 * _2026_04_17_16_25_21_23_high[[#This Row],[coeff]] + 79.57</f>
        <v>19.943678089599992</v>
      </c>
    </row>
    <row r="63" spans="1:12" x14ac:dyDescent="0.3">
      <c r="A63">
        <v>61</v>
      </c>
      <c r="B63">
        <v>1506</v>
      </c>
      <c r="C63" t="b">
        <v>1</v>
      </c>
      <c r="D63">
        <v>8060</v>
      </c>
      <c r="E63">
        <v>8105</v>
      </c>
      <c r="F63">
        <v>201.6</v>
      </c>
      <c r="G63">
        <v>188</v>
      </c>
      <c r="H63">
        <v>1.0723404999999999</v>
      </c>
      <c r="I63">
        <v>-7.2340459999999995E-2</v>
      </c>
      <c r="J63">
        <v>0.48254617999999999</v>
      </c>
      <c r="K63">
        <f xml:space="preserve"> -55.696 * _2026_04_17_16_25_21_23_high[[#This Row],[coeff]] + 79.57</f>
        <v>19.844923512000001</v>
      </c>
      <c r="L63">
        <f xml:space="preserve"> -55.696 * _2026_04_17_16_25_21_23_high[[#This Row],[coeff]] + 79.57</f>
        <v>19.844923512000001</v>
      </c>
    </row>
    <row r="64" spans="1:12" x14ac:dyDescent="0.3">
      <c r="A64">
        <v>62</v>
      </c>
      <c r="B64">
        <v>1538</v>
      </c>
      <c r="C64" t="b">
        <v>1</v>
      </c>
      <c r="D64">
        <v>8042</v>
      </c>
      <c r="E64">
        <v>8099</v>
      </c>
      <c r="F64">
        <v>201.6</v>
      </c>
      <c r="G64">
        <v>188</v>
      </c>
      <c r="H64">
        <v>1.0723404999999999</v>
      </c>
      <c r="I64">
        <v>-7.2340459999999995E-2</v>
      </c>
      <c r="J64">
        <v>0.48254617999999999</v>
      </c>
      <c r="K64">
        <f xml:space="preserve"> -55.696 * _2026_04_17_16_25_21_23_high[[#This Row],[coeff]] + 79.57</f>
        <v>19.844923512000001</v>
      </c>
      <c r="L64">
        <f xml:space="preserve"> -55.696 * _2026_04_17_16_25_21_23_high[[#This Row],[coeff]] + 79.57</f>
        <v>19.844923512000001</v>
      </c>
    </row>
    <row r="65" spans="1:12" x14ac:dyDescent="0.3">
      <c r="A65">
        <v>63</v>
      </c>
      <c r="B65">
        <v>1554</v>
      </c>
      <c r="C65" t="b">
        <v>1</v>
      </c>
      <c r="D65">
        <v>8017</v>
      </c>
      <c r="E65">
        <v>8117</v>
      </c>
      <c r="F65">
        <v>201.6</v>
      </c>
      <c r="G65">
        <v>188</v>
      </c>
      <c r="H65">
        <v>1.0723404999999999</v>
      </c>
      <c r="I65">
        <v>-7.2340459999999995E-2</v>
      </c>
      <c r="J65">
        <v>0.48254617999999999</v>
      </c>
      <c r="K65">
        <f xml:space="preserve"> -55.696 * _2026_04_17_16_25_21_23_high[[#This Row],[coeff]] + 79.57</f>
        <v>19.844923512000001</v>
      </c>
      <c r="L65">
        <f xml:space="preserve"> -55.696 * _2026_04_17_16_25_21_23_high[[#This Row],[coeff]] + 79.57</f>
        <v>19.844923512000001</v>
      </c>
    </row>
    <row r="66" spans="1:12" x14ac:dyDescent="0.3">
      <c r="A66">
        <v>64</v>
      </c>
      <c r="B66">
        <v>1570</v>
      </c>
      <c r="C66" t="b">
        <v>1</v>
      </c>
      <c r="D66">
        <v>8037</v>
      </c>
      <c r="E66">
        <v>8099</v>
      </c>
      <c r="F66">
        <v>201.26666</v>
      </c>
      <c r="G66">
        <v>188</v>
      </c>
      <c r="H66">
        <v>1.0705674000000001</v>
      </c>
      <c r="I66">
        <v>-7.0567354999999998E-2</v>
      </c>
      <c r="J66">
        <v>0.48295941999999997</v>
      </c>
      <c r="K66">
        <f xml:space="preserve"> -55.696 * _2026_04_17_16_25_21_23_high[[#This Row],[coeff]] + 79.57</f>
        <v>19.943678089599992</v>
      </c>
      <c r="L66">
        <f xml:space="preserve"> -55.696 * _2026_04_17_16_25_21_23_high[[#This Row],[coeff]] + 79.57</f>
        <v>19.943678089599992</v>
      </c>
    </row>
    <row r="67" spans="1:12" x14ac:dyDescent="0.3">
      <c r="A67">
        <v>65</v>
      </c>
      <c r="B67">
        <v>1585</v>
      </c>
      <c r="C67" t="b">
        <v>1</v>
      </c>
      <c r="D67">
        <v>8030</v>
      </c>
      <c r="E67">
        <v>8117</v>
      </c>
      <c r="F67">
        <v>200.93333000000001</v>
      </c>
      <c r="G67">
        <v>188.8</v>
      </c>
      <c r="H67">
        <v>1.0642655000000001</v>
      </c>
      <c r="I67">
        <v>-6.4265530000000001E-2</v>
      </c>
      <c r="J67">
        <v>0.48443380000000003</v>
      </c>
      <c r="K67">
        <f xml:space="preserve"> -55.696 * _2026_04_17_16_25_21_23_high[[#This Row],[coeff]] + 79.57</f>
        <v>20.294668711999989</v>
      </c>
      <c r="L67">
        <f xml:space="preserve"> -55.696 * _2026_04_17_16_25_21_23_high[[#This Row],[coeff]] + 79.57</f>
        <v>20.294668711999989</v>
      </c>
    </row>
    <row r="68" spans="1:12" x14ac:dyDescent="0.3">
      <c r="A68">
        <v>66</v>
      </c>
      <c r="B68">
        <v>1617</v>
      </c>
      <c r="C68" t="b">
        <v>1</v>
      </c>
      <c r="D68">
        <v>8030</v>
      </c>
      <c r="E68">
        <v>8105</v>
      </c>
      <c r="F68">
        <v>199.33332999999999</v>
      </c>
      <c r="G68">
        <v>188.8</v>
      </c>
      <c r="H68">
        <v>1.0557909000000001</v>
      </c>
      <c r="I68">
        <v>-5.5790916000000003E-2</v>
      </c>
      <c r="J68">
        <v>0.4864308</v>
      </c>
      <c r="K68">
        <f xml:space="preserve"> -55.696 * _2026_04_17_16_25_21_23_high[[#This Row],[coeff]] + 79.57</f>
        <v>20.766670033599993</v>
      </c>
      <c r="L68">
        <f xml:space="preserve"> -55.696 * _2026_04_17_16_25_21_23_high[[#This Row],[coeff]] + 79.57</f>
        <v>20.766670033599993</v>
      </c>
    </row>
    <row r="69" spans="1:12" x14ac:dyDescent="0.3">
      <c r="A69">
        <v>67</v>
      </c>
      <c r="B69">
        <v>1632</v>
      </c>
      <c r="C69" t="b">
        <v>1</v>
      </c>
      <c r="D69">
        <v>8030</v>
      </c>
      <c r="E69">
        <v>8099</v>
      </c>
      <c r="F69">
        <v>197.73334</v>
      </c>
      <c r="G69">
        <v>188.8</v>
      </c>
      <c r="H69">
        <v>1.0473163999999999</v>
      </c>
      <c r="I69">
        <v>-4.7316387000000001E-2</v>
      </c>
      <c r="J69">
        <v>0.4884443</v>
      </c>
      <c r="K69">
        <f xml:space="preserve"> -55.696 * _2026_04_17_16_25_21_23_high[[#This Row],[coeff]] + 79.57</f>
        <v>21.238665785599999</v>
      </c>
      <c r="L69">
        <f xml:space="preserve"> -55.696 * _2026_04_17_16_25_21_23_high[[#This Row],[coeff]] + 79.57</f>
        <v>21.238665785599999</v>
      </c>
    </row>
    <row r="70" spans="1:12" x14ac:dyDescent="0.3">
      <c r="A70">
        <v>68</v>
      </c>
      <c r="B70">
        <v>1649</v>
      </c>
      <c r="C70" t="b">
        <v>1</v>
      </c>
      <c r="D70">
        <v>8023</v>
      </c>
      <c r="E70">
        <v>8099</v>
      </c>
      <c r="F70">
        <v>197.26666</v>
      </c>
      <c r="G70">
        <v>188</v>
      </c>
      <c r="H70">
        <v>1.0492908000000001</v>
      </c>
      <c r="I70">
        <v>-4.9290757999999997E-2</v>
      </c>
      <c r="J70">
        <v>0.48797370000000001</v>
      </c>
      <c r="K70">
        <f xml:space="preserve"> -55.696 * _2026_04_17_16_25_21_23_high[[#This Row],[coeff]] + 79.57</f>
        <v>21.128699603199991</v>
      </c>
      <c r="L70">
        <f xml:space="preserve"> -55.696 * _2026_04_17_16_25_21_23_high[[#This Row],[coeff]] + 79.57</f>
        <v>21.128699603199991</v>
      </c>
    </row>
    <row r="71" spans="1:12" x14ac:dyDescent="0.3">
      <c r="A71">
        <v>69</v>
      </c>
      <c r="B71">
        <v>1664</v>
      </c>
      <c r="C71" t="b">
        <v>1</v>
      </c>
      <c r="D71">
        <v>8042</v>
      </c>
      <c r="E71">
        <v>8123</v>
      </c>
      <c r="F71">
        <v>196.8</v>
      </c>
      <c r="G71">
        <v>188</v>
      </c>
      <c r="H71">
        <v>1.0468085</v>
      </c>
      <c r="I71">
        <v>-4.6808526000000003E-2</v>
      </c>
      <c r="J71">
        <v>0.48856549999999999</v>
      </c>
      <c r="K71">
        <f xml:space="preserve"> -55.696 * _2026_04_17_16_25_21_23_high[[#This Row],[coeff]] + 79.57</f>
        <v>21.266953783999995</v>
      </c>
      <c r="L71">
        <f xml:space="preserve"> -55.696 * _2026_04_17_16_25_21_23_high[[#This Row],[coeff]] + 79.57</f>
        <v>21.266953783999995</v>
      </c>
    </row>
    <row r="72" spans="1:12" x14ac:dyDescent="0.3">
      <c r="A72">
        <v>70</v>
      </c>
      <c r="B72">
        <v>1680</v>
      </c>
      <c r="C72" t="b">
        <v>1</v>
      </c>
      <c r="D72">
        <v>8030</v>
      </c>
      <c r="E72">
        <v>8093</v>
      </c>
      <c r="F72">
        <v>196.33332999999999</v>
      </c>
      <c r="G72">
        <v>187.6</v>
      </c>
      <c r="H72">
        <v>1.0465529</v>
      </c>
      <c r="I72">
        <v>-4.655289E-2</v>
      </c>
      <c r="J72">
        <v>0.48862647999999997</v>
      </c>
      <c r="K72">
        <f xml:space="preserve"> -55.696 * _2026_04_17_16_25_21_23_high[[#This Row],[coeff]] + 79.57</f>
        <v>21.281189681599997</v>
      </c>
      <c r="L72">
        <f xml:space="preserve"> -55.696 * _2026_04_17_16_25_21_23_high[[#This Row],[coeff]] + 79.57</f>
        <v>21.281189681599997</v>
      </c>
    </row>
    <row r="73" spans="1:12" x14ac:dyDescent="0.3">
      <c r="A73">
        <v>71</v>
      </c>
      <c r="B73">
        <v>1696</v>
      </c>
      <c r="C73" t="b">
        <v>1</v>
      </c>
      <c r="D73">
        <v>8023</v>
      </c>
      <c r="E73">
        <v>8146</v>
      </c>
      <c r="F73">
        <v>195.86667</v>
      </c>
      <c r="G73">
        <v>187.6</v>
      </c>
      <c r="H73">
        <v>1.0440654</v>
      </c>
      <c r="I73">
        <v>-4.4065364000000003E-2</v>
      </c>
      <c r="J73">
        <v>0.48922115999999999</v>
      </c>
      <c r="K73">
        <f xml:space="preserve"> -55.696 * _2026_04_17_16_25_21_23_high[[#This Row],[coeff]] + 79.57</f>
        <v>21.419733481599991</v>
      </c>
      <c r="L73">
        <f xml:space="preserve"> -55.696 * _2026_04_17_16_25_21_23_high[[#This Row],[coeff]] + 79.57</f>
        <v>21.419733481599991</v>
      </c>
    </row>
    <row r="74" spans="1:12" x14ac:dyDescent="0.3">
      <c r="A74">
        <v>72</v>
      </c>
      <c r="B74">
        <v>1712</v>
      </c>
      <c r="C74" t="b">
        <v>1</v>
      </c>
      <c r="D74">
        <v>8048</v>
      </c>
      <c r="E74">
        <v>8111</v>
      </c>
      <c r="F74">
        <v>195.4</v>
      </c>
      <c r="G74">
        <v>188.4</v>
      </c>
      <c r="H74">
        <v>1.037155</v>
      </c>
      <c r="I74">
        <v>-3.7154989999999999E-2</v>
      </c>
      <c r="J74">
        <v>0.49088067000000002</v>
      </c>
      <c r="K74">
        <f xml:space="preserve"> -55.696 * _2026_04_17_16_25_21_23_high[[#This Row],[coeff]] + 79.57</f>
        <v>21.804615119999994</v>
      </c>
      <c r="L74">
        <f xml:space="preserve"> -55.696 * _2026_04_17_16_25_21_23_high[[#This Row],[coeff]] + 79.57</f>
        <v>21.804615119999994</v>
      </c>
    </row>
    <row r="75" spans="1:12" x14ac:dyDescent="0.3">
      <c r="A75">
        <v>73</v>
      </c>
      <c r="B75">
        <v>1728</v>
      </c>
      <c r="C75" t="b">
        <v>1</v>
      </c>
      <c r="D75">
        <v>8042</v>
      </c>
      <c r="E75">
        <v>8099</v>
      </c>
      <c r="F75">
        <v>195.73334</v>
      </c>
      <c r="G75">
        <v>189.2</v>
      </c>
      <c r="H75">
        <v>1.0345314000000001</v>
      </c>
      <c r="I75">
        <v>-3.4531399999999997E-2</v>
      </c>
      <c r="J75">
        <v>0.49151363999999997</v>
      </c>
      <c r="K75">
        <f xml:space="preserve"> -55.696 * _2026_04_17_16_25_21_23_high[[#This Row],[coeff]] + 79.57</f>
        <v>21.950739145599989</v>
      </c>
      <c r="L75">
        <f xml:space="preserve"> -55.696 * _2026_04_17_16_25_21_23_high[[#This Row],[coeff]] + 79.57</f>
        <v>21.950739145599989</v>
      </c>
    </row>
    <row r="76" spans="1:12" x14ac:dyDescent="0.3">
      <c r="A76">
        <v>74</v>
      </c>
      <c r="B76">
        <v>1759</v>
      </c>
      <c r="C76" t="b">
        <v>1</v>
      </c>
      <c r="D76">
        <v>8030</v>
      </c>
      <c r="E76">
        <v>8117</v>
      </c>
      <c r="F76">
        <v>194.93333000000001</v>
      </c>
      <c r="G76">
        <v>190</v>
      </c>
      <c r="H76">
        <v>1.025965</v>
      </c>
      <c r="I76">
        <v>-2.5964918E-2</v>
      </c>
      <c r="J76">
        <v>0.49359193000000001</v>
      </c>
      <c r="K76">
        <f xml:space="preserve"> -55.696 * _2026_04_17_16_25_21_23_high[[#This Row],[coeff]] + 79.57</f>
        <v>22.427853359999993</v>
      </c>
      <c r="L76">
        <f xml:space="preserve"> -55.696 * _2026_04_17_16_25_21_23_high[[#This Row],[coeff]] + 79.57</f>
        <v>22.427853359999993</v>
      </c>
    </row>
    <row r="77" spans="1:12" x14ac:dyDescent="0.3">
      <c r="A77">
        <v>75</v>
      </c>
      <c r="B77">
        <v>1791</v>
      </c>
      <c r="C77" t="b">
        <v>1</v>
      </c>
      <c r="D77">
        <v>8030</v>
      </c>
      <c r="E77">
        <v>8093</v>
      </c>
      <c r="F77">
        <v>194.13333</v>
      </c>
      <c r="G77">
        <v>190.4</v>
      </c>
      <c r="H77">
        <v>1.0196079</v>
      </c>
      <c r="I77">
        <v>-1.9607863999999999E-2</v>
      </c>
      <c r="J77">
        <v>0.49514562000000001</v>
      </c>
      <c r="K77">
        <f xml:space="preserve"> -55.696 * _2026_04_17_16_25_21_23_high[[#This Row],[coeff]] + 79.57</f>
        <v>22.781918401599995</v>
      </c>
      <c r="L77">
        <f xml:space="preserve"> -55.696 * _2026_04_17_16_25_21_23_high[[#This Row],[coeff]] + 79.57</f>
        <v>22.781918401599995</v>
      </c>
    </row>
    <row r="78" spans="1:12" x14ac:dyDescent="0.3">
      <c r="A78">
        <v>76</v>
      </c>
      <c r="B78">
        <v>1807</v>
      </c>
      <c r="C78" t="b">
        <v>1</v>
      </c>
      <c r="D78">
        <v>8037</v>
      </c>
      <c r="E78">
        <v>8105</v>
      </c>
      <c r="F78">
        <v>193.8</v>
      </c>
      <c r="G78">
        <v>190.4</v>
      </c>
      <c r="H78">
        <v>1.0178571999999999</v>
      </c>
      <c r="I78">
        <v>-1.7857192000000001E-2</v>
      </c>
      <c r="J78">
        <v>0.49557519999999999</v>
      </c>
      <c r="K78">
        <f xml:space="preserve"> -55.696 * _2026_04_17_16_25_21_23_high[[#This Row],[coeff]] + 79.57</f>
        <v>22.879425388800001</v>
      </c>
      <c r="L78">
        <f xml:space="preserve"> -55.696 * _2026_04_17_16_25_21_23_high[[#This Row],[coeff]] + 79.57</f>
        <v>22.879425388800001</v>
      </c>
    </row>
    <row r="79" spans="1:12" x14ac:dyDescent="0.3">
      <c r="A79">
        <v>77</v>
      </c>
      <c r="B79">
        <v>1823</v>
      </c>
      <c r="C79" t="b">
        <v>1</v>
      </c>
      <c r="D79">
        <v>8054</v>
      </c>
      <c r="E79">
        <v>8105</v>
      </c>
      <c r="F79">
        <v>193.46665999999999</v>
      </c>
      <c r="G79">
        <v>190.4</v>
      </c>
      <c r="H79">
        <v>1.0161065</v>
      </c>
      <c r="I79">
        <v>-1.6106438000000001E-2</v>
      </c>
      <c r="J79">
        <v>0.49600556000000001</v>
      </c>
      <c r="K79">
        <f xml:space="preserve"> -55.696 * _2026_04_17_16_25_21_23_high[[#This Row],[coeff]] + 79.57</f>
        <v>22.976932375999993</v>
      </c>
      <c r="L79">
        <f xml:space="preserve"> -55.696 * _2026_04_17_16_25_21_23_high[[#This Row],[coeff]] + 79.57</f>
        <v>22.976932375999993</v>
      </c>
    </row>
    <row r="80" spans="1:12" x14ac:dyDescent="0.3">
      <c r="A80">
        <v>78</v>
      </c>
      <c r="B80">
        <v>1854</v>
      </c>
      <c r="C80" t="b">
        <v>1</v>
      </c>
      <c r="D80">
        <v>8054</v>
      </c>
      <c r="E80">
        <v>8099</v>
      </c>
      <c r="F80">
        <v>193.13333</v>
      </c>
      <c r="G80">
        <v>190.4</v>
      </c>
      <c r="H80">
        <v>1.0143557999999999</v>
      </c>
      <c r="I80">
        <v>-1.4355764E-2</v>
      </c>
      <c r="J80">
        <v>0.49643662999999999</v>
      </c>
      <c r="K80">
        <f xml:space="preserve"> -55.696 * _2026_04_17_16_25_21_23_high[[#This Row],[coeff]] + 79.57</f>
        <v>23.0744393632</v>
      </c>
      <c r="L80">
        <f xml:space="preserve"> -55.696 * _2026_04_17_16_25_21_23_high[[#This Row],[coeff]] + 79.57</f>
        <v>23.0744393632</v>
      </c>
    </row>
    <row r="81" spans="1:12" x14ac:dyDescent="0.3">
      <c r="A81">
        <v>79</v>
      </c>
      <c r="B81">
        <v>1886</v>
      </c>
      <c r="C81" t="b">
        <v>1</v>
      </c>
      <c r="D81">
        <v>8048</v>
      </c>
      <c r="E81">
        <v>8123</v>
      </c>
      <c r="F81">
        <v>193.86667</v>
      </c>
      <c r="G81">
        <v>190.4</v>
      </c>
      <c r="H81">
        <v>1.0182073</v>
      </c>
      <c r="I81">
        <v>-1.8207326999999999E-2</v>
      </c>
      <c r="J81">
        <v>0.49548924</v>
      </c>
      <c r="K81">
        <f xml:space="preserve"> -55.696 * _2026_04_17_16_25_21_23_high[[#This Row],[coeff]] + 79.57</f>
        <v>22.859926219199991</v>
      </c>
      <c r="L81">
        <f xml:space="preserve"> -55.696 * _2026_04_17_16_25_21_23_high[[#This Row],[coeff]] + 79.57</f>
        <v>22.859926219199991</v>
      </c>
    </row>
    <row r="82" spans="1:12" x14ac:dyDescent="0.3">
      <c r="A82">
        <v>80</v>
      </c>
      <c r="B82">
        <v>1917</v>
      </c>
      <c r="C82" t="b">
        <v>1</v>
      </c>
      <c r="D82">
        <v>8054</v>
      </c>
      <c r="E82">
        <v>8111</v>
      </c>
      <c r="F82">
        <v>195</v>
      </c>
      <c r="G82">
        <v>190.4</v>
      </c>
      <c r="H82">
        <v>1.0241597</v>
      </c>
      <c r="I82">
        <v>-2.4159696000000001E-2</v>
      </c>
      <c r="J82">
        <v>0.49403216999999999</v>
      </c>
      <c r="K82">
        <f xml:space="preserve"> -55.696 * _2026_04_17_16_25_21_23_high[[#This Row],[coeff]] + 79.57</f>
        <v>22.528401348799996</v>
      </c>
      <c r="L82">
        <f xml:space="preserve"> -55.696 * _2026_04_17_16_25_21_23_high[[#This Row],[coeff]] + 79.57</f>
        <v>22.528401348799996</v>
      </c>
    </row>
    <row r="83" spans="1:12" x14ac:dyDescent="0.3">
      <c r="A83">
        <v>81</v>
      </c>
      <c r="B83">
        <v>1948</v>
      </c>
      <c r="C83" t="b">
        <v>1</v>
      </c>
      <c r="D83">
        <v>8054</v>
      </c>
      <c r="E83">
        <v>8105</v>
      </c>
      <c r="F83">
        <v>196.6</v>
      </c>
      <c r="G83">
        <v>190.4</v>
      </c>
      <c r="H83">
        <v>1.0325631</v>
      </c>
      <c r="I83">
        <v>-3.2563090000000003E-2</v>
      </c>
      <c r="J83">
        <v>0.49198964000000001</v>
      </c>
      <c r="K83">
        <f xml:space="preserve"> -55.696 * _2026_04_17_16_25_21_23_high[[#This Row],[coeff]] + 79.57</f>
        <v>22.060365582399996</v>
      </c>
      <c r="L83">
        <f xml:space="preserve"> -55.696 * _2026_04_17_16_25_21_23_high[[#This Row],[coeff]] + 79.57</f>
        <v>22.060365582399996</v>
      </c>
    </row>
    <row r="84" spans="1:12" x14ac:dyDescent="0.3">
      <c r="A84">
        <v>82</v>
      </c>
      <c r="B84">
        <v>1980</v>
      </c>
      <c r="C84" t="b">
        <v>1</v>
      </c>
      <c r="D84">
        <v>8037</v>
      </c>
      <c r="E84">
        <v>8087</v>
      </c>
      <c r="F84">
        <v>198.2</v>
      </c>
      <c r="G84">
        <v>190.4</v>
      </c>
      <c r="H84">
        <v>1.0409664000000001</v>
      </c>
      <c r="I84">
        <v>-4.0966402999999998E-2</v>
      </c>
      <c r="J84">
        <v>0.48996398000000002</v>
      </c>
      <c r="K84">
        <f xml:space="preserve"> -55.696 * _2026_04_17_16_25_21_23_high[[#This Row],[coeff]] + 79.57</f>
        <v>21.592335385599995</v>
      </c>
      <c r="L84">
        <f xml:space="preserve"> -55.696 * _2026_04_17_16_25_21_23_high[[#This Row],[coeff]] + 79.57</f>
        <v>21.592335385599995</v>
      </c>
    </row>
    <row r="85" spans="1:12" x14ac:dyDescent="0.3">
      <c r="A85">
        <v>83</v>
      </c>
      <c r="B85">
        <v>2011</v>
      </c>
      <c r="C85" t="b">
        <v>1</v>
      </c>
      <c r="D85">
        <v>8037</v>
      </c>
      <c r="E85">
        <v>8111</v>
      </c>
      <c r="F85">
        <v>199.4</v>
      </c>
      <c r="G85">
        <v>191.2</v>
      </c>
      <c r="H85">
        <v>1.0428869999999999</v>
      </c>
      <c r="I85">
        <v>-4.2887013000000002E-2</v>
      </c>
      <c r="J85">
        <v>0.48950335</v>
      </c>
      <c r="K85">
        <f xml:space="preserve"> -55.696 * _2026_04_17_16_25_21_23_high[[#This Row],[coeff]] + 79.57</f>
        <v>21.485365647999998</v>
      </c>
      <c r="L85">
        <f xml:space="preserve"> -55.696 * _2026_04_17_16_25_21_23_high[[#This Row],[coeff]] + 79.57</f>
        <v>21.485365647999998</v>
      </c>
    </row>
    <row r="86" spans="1:12" x14ac:dyDescent="0.3">
      <c r="A86">
        <v>84</v>
      </c>
      <c r="B86">
        <v>2043</v>
      </c>
      <c r="C86" t="b">
        <v>1</v>
      </c>
      <c r="D86">
        <v>8042</v>
      </c>
      <c r="E86">
        <v>8123</v>
      </c>
      <c r="F86">
        <v>200.2</v>
      </c>
      <c r="G86">
        <v>191.6</v>
      </c>
      <c r="H86">
        <v>1.0448852</v>
      </c>
      <c r="I86">
        <v>-4.4885130000000002E-2</v>
      </c>
      <c r="J86">
        <v>0.48902506000000001</v>
      </c>
      <c r="K86">
        <f xml:space="preserve"> -55.696 * _2026_04_17_16_25_21_23_high[[#This Row],[coeff]] + 79.57</f>
        <v>21.374073900799999</v>
      </c>
      <c r="L86">
        <f xml:space="preserve"> -55.696 * _2026_04_17_16_25_21_23_high[[#This Row],[coeff]] + 79.57</f>
        <v>21.374073900799999</v>
      </c>
    </row>
    <row r="87" spans="1:12" x14ac:dyDescent="0.3">
      <c r="A87">
        <v>85</v>
      </c>
      <c r="B87">
        <v>2074</v>
      </c>
      <c r="C87" t="b">
        <v>1</v>
      </c>
      <c r="D87">
        <v>8054</v>
      </c>
      <c r="E87">
        <v>8123</v>
      </c>
      <c r="F87">
        <v>201</v>
      </c>
      <c r="G87">
        <v>192.4</v>
      </c>
      <c r="H87">
        <v>1.0446986</v>
      </c>
      <c r="I87">
        <v>-4.4698577000000003E-2</v>
      </c>
      <c r="J87">
        <v>0.48906964000000003</v>
      </c>
      <c r="K87">
        <f xml:space="preserve"> -55.696 * _2026_04_17_16_25_21_23_high[[#This Row],[coeff]] + 79.57</f>
        <v>21.384466774399996</v>
      </c>
      <c r="L87">
        <f xml:space="preserve"> -55.696 * _2026_04_17_16_25_21_23_high[[#This Row],[coeff]] + 79.57</f>
        <v>21.384466774399996</v>
      </c>
    </row>
    <row r="88" spans="1:12" x14ac:dyDescent="0.3">
      <c r="A88">
        <v>86</v>
      </c>
      <c r="B88">
        <v>2106</v>
      </c>
      <c r="C88" t="b">
        <v>1</v>
      </c>
      <c r="D88">
        <v>8060</v>
      </c>
      <c r="E88">
        <v>8093</v>
      </c>
      <c r="F88">
        <v>201.8</v>
      </c>
      <c r="G88">
        <v>193.2</v>
      </c>
      <c r="H88">
        <v>1.0445135000000001</v>
      </c>
      <c r="I88">
        <v>-4.4513490000000003E-2</v>
      </c>
      <c r="J88">
        <v>0.48911392999999997</v>
      </c>
      <c r="K88">
        <f xml:space="preserve"> -55.696 * _2026_04_17_16_25_21_23_high[[#This Row],[coeff]] + 79.57</f>
        <v>21.394776103999988</v>
      </c>
      <c r="L88">
        <f xml:space="preserve"> -55.696 * _2026_04_17_16_25_21_23_high[[#This Row],[coeff]] + 79.57</f>
        <v>21.394776103999988</v>
      </c>
    </row>
    <row r="89" spans="1:12" x14ac:dyDescent="0.3">
      <c r="A89">
        <v>87</v>
      </c>
      <c r="B89">
        <v>2137</v>
      </c>
      <c r="C89" t="b">
        <v>1</v>
      </c>
      <c r="D89">
        <v>8042</v>
      </c>
      <c r="E89">
        <v>8087</v>
      </c>
      <c r="F89">
        <v>202.6</v>
      </c>
      <c r="G89">
        <v>193.2</v>
      </c>
      <c r="H89">
        <v>1.0486542999999999</v>
      </c>
      <c r="I89">
        <v>-4.8654290000000003E-2</v>
      </c>
      <c r="J89">
        <v>0.48812531999999997</v>
      </c>
      <c r="K89">
        <f xml:space="preserve"> -55.696 * _2026_04_17_16_25_21_23_high[[#This Row],[coeff]] + 79.57</f>
        <v>21.164150107200001</v>
      </c>
      <c r="L89">
        <f xml:space="preserve"> -55.696 * _2026_04_17_16_25_21_23_high[[#This Row],[coeff]] + 79.57</f>
        <v>21.164150107200001</v>
      </c>
    </row>
    <row r="90" spans="1:12" x14ac:dyDescent="0.3">
      <c r="A90">
        <v>88</v>
      </c>
      <c r="B90">
        <v>2153</v>
      </c>
      <c r="C90" t="b">
        <v>1</v>
      </c>
      <c r="D90">
        <v>8054</v>
      </c>
      <c r="E90">
        <v>8087</v>
      </c>
      <c r="F90">
        <v>203.4</v>
      </c>
      <c r="G90">
        <v>192</v>
      </c>
      <c r="H90">
        <v>1.0593748999999999</v>
      </c>
      <c r="I90">
        <v>-5.9374969999999999E-2</v>
      </c>
      <c r="J90">
        <v>0.48558423000000001</v>
      </c>
      <c r="K90">
        <f xml:space="preserve"> -55.696 * _2026_04_17_16_25_21_23_high[[#This Row],[coeff]] + 79.57</f>
        <v>20.567055569600001</v>
      </c>
      <c r="L90">
        <f xml:space="preserve"> -55.696 * _2026_04_17_16_25_21_23_high[[#This Row],[coeff]] + 79.57</f>
        <v>20.567055569600001</v>
      </c>
    </row>
    <row r="91" spans="1:12" x14ac:dyDescent="0.3">
      <c r="A91">
        <v>89</v>
      </c>
      <c r="B91">
        <v>2185</v>
      </c>
      <c r="C91" t="b">
        <v>1</v>
      </c>
      <c r="D91">
        <v>8048</v>
      </c>
      <c r="E91">
        <v>8093</v>
      </c>
      <c r="F91">
        <v>205</v>
      </c>
      <c r="G91">
        <v>190.8</v>
      </c>
      <c r="H91">
        <v>1.0744233999999999</v>
      </c>
      <c r="I91">
        <v>-7.4423459999999997E-2</v>
      </c>
      <c r="J91">
        <v>0.48206167999999999</v>
      </c>
      <c r="K91">
        <f xml:space="preserve"> -55.696 * _2026_04_17_16_25_21_23_high[[#This Row],[coeff]] + 79.57</f>
        <v>19.728914313600001</v>
      </c>
      <c r="L91">
        <f xml:space="preserve"> -55.696 * _2026_04_17_16_25_21_23_high[[#This Row],[coeff]] + 79.57</f>
        <v>19.728914313600001</v>
      </c>
    </row>
    <row r="92" spans="1:12" x14ac:dyDescent="0.3">
      <c r="A92">
        <v>90</v>
      </c>
      <c r="B92">
        <v>2216</v>
      </c>
      <c r="C92" t="b">
        <v>1</v>
      </c>
      <c r="D92">
        <v>8048</v>
      </c>
      <c r="E92">
        <v>8123</v>
      </c>
      <c r="F92">
        <v>206.2</v>
      </c>
      <c r="G92">
        <v>189.6</v>
      </c>
      <c r="H92">
        <v>1.0875527</v>
      </c>
      <c r="I92">
        <v>-8.7552690000000002E-2</v>
      </c>
      <c r="J92">
        <v>0.47902982999999999</v>
      </c>
      <c r="K92">
        <f xml:space="preserve"> -55.696 * _2026_04_17_16_25_21_23_high[[#This Row],[coeff]] + 79.57</f>
        <v>18.99766482079999</v>
      </c>
      <c r="L92">
        <f xml:space="preserve"> -55.696 * _2026_04_17_16_25_21_23_high[[#This Row],[coeff]] + 79.57</f>
        <v>18.99766482079999</v>
      </c>
    </row>
    <row r="93" spans="1:12" x14ac:dyDescent="0.3">
      <c r="A93">
        <v>91</v>
      </c>
      <c r="B93">
        <v>2232</v>
      </c>
      <c r="C93" t="b">
        <v>1</v>
      </c>
      <c r="D93">
        <v>8054</v>
      </c>
      <c r="E93">
        <v>8105</v>
      </c>
      <c r="F93">
        <v>206.93333000000001</v>
      </c>
      <c r="G93">
        <v>188.8</v>
      </c>
      <c r="H93">
        <v>1.0960451</v>
      </c>
      <c r="I93">
        <v>-9.6045190000000003E-2</v>
      </c>
      <c r="J93">
        <v>0.47708896000000001</v>
      </c>
      <c r="K93">
        <f xml:space="preserve"> -55.696 * _2026_04_17_16_25_21_23_high[[#This Row],[coeff]] + 79.57</f>
        <v>18.524672110399997</v>
      </c>
      <c r="L93">
        <f xml:space="preserve"> -55.696 * _2026_04_17_16_25_21_23_high[[#This Row],[coeff]] + 79.57</f>
        <v>18.524672110399997</v>
      </c>
    </row>
    <row r="94" spans="1:12" x14ac:dyDescent="0.3">
      <c r="A94">
        <v>92</v>
      </c>
      <c r="B94">
        <v>2264</v>
      </c>
      <c r="C94" t="b">
        <v>1</v>
      </c>
      <c r="D94">
        <v>8030</v>
      </c>
      <c r="E94">
        <v>8111</v>
      </c>
      <c r="F94">
        <v>207.66667000000001</v>
      </c>
      <c r="G94">
        <v>188.8</v>
      </c>
      <c r="H94">
        <v>1.0999293000000001</v>
      </c>
      <c r="I94">
        <v>-9.9929384999999996E-2</v>
      </c>
      <c r="J94">
        <v>0.47620647999999999</v>
      </c>
      <c r="K94">
        <f xml:space="preserve"> -55.696 * _2026_04_17_16_25_21_23_high[[#This Row],[coeff]] + 79.57</f>
        <v>18.308337707199989</v>
      </c>
      <c r="L94">
        <f xml:space="preserve"> -55.696 * _2026_04_17_16_25_21_23_high[[#This Row],[coeff]] + 79.57</f>
        <v>18.308337707199989</v>
      </c>
    </row>
    <row r="95" spans="1:12" x14ac:dyDescent="0.3">
      <c r="A95">
        <v>93</v>
      </c>
      <c r="B95">
        <v>2280</v>
      </c>
      <c r="C95" t="b">
        <v>1</v>
      </c>
      <c r="D95">
        <v>8048</v>
      </c>
      <c r="E95">
        <v>8111</v>
      </c>
      <c r="F95">
        <v>208.4</v>
      </c>
      <c r="G95">
        <v>189.2</v>
      </c>
      <c r="H95">
        <v>1.1014799</v>
      </c>
      <c r="I95">
        <v>-0.1014799</v>
      </c>
      <c r="J95">
        <v>0.47585514000000001</v>
      </c>
      <c r="K95">
        <f xml:space="preserve"> -55.696 * _2026_04_17_16_25_21_23_high[[#This Row],[coeff]] + 79.57</f>
        <v>18.221975489599998</v>
      </c>
      <c r="L95">
        <f xml:space="preserve"> -55.696 * _2026_04_17_16_25_21_23_high[[#This Row],[coeff]] + 79.57</f>
        <v>18.221975489599998</v>
      </c>
    </row>
    <row r="96" spans="1:12" x14ac:dyDescent="0.3">
      <c r="A96">
        <v>94</v>
      </c>
      <c r="B96">
        <v>2296</v>
      </c>
      <c r="C96" t="b">
        <v>1</v>
      </c>
      <c r="D96">
        <v>8042</v>
      </c>
      <c r="E96">
        <v>8117</v>
      </c>
      <c r="F96">
        <v>208.4</v>
      </c>
      <c r="G96">
        <v>189.6</v>
      </c>
      <c r="H96">
        <v>1.099156</v>
      </c>
      <c r="I96">
        <v>-9.9156049999999996E-2</v>
      </c>
      <c r="J96">
        <v>0.47638193000000001</v>
      </c>
      <c r="K96">
        <f xml:space="preserve"> -55.696 * _2026_04_17_16_25_21_23_high[[#This Row],[coeff]] + 79.57</f>
        <v>18.351407423999994</v>
      </c>
      <c r="L96">
        <f xml:space="preserve"> -55.696 * _2026_04_17_16_25_21_23_high[[#This Row],[coeff]] + 79.57</f>
        <v>18.351407423999994</v>
      </c>
    </row>
    <row r="97" spans="1:12" x14ac:dyDescent="0.3">
      <c r="A97">
        <v>95</v>
      </c>
      <c r="B97">
        <v>2312</v>
      </c>
      <c r="C97" t="b">
        <v>1</v>
      </c>
      <c r="D97">
        <v>8037</v>
      </c>
      <c r="E97">
        <v>8117</v>
      </c>
      <c r="F97">
        <v>207.6</v>
      </c>
      <c r="G97">
        <v>190</v>
      </c>
      <c r="H97">
        <v>1.0926316</v>
      </c>
      <c r="I97">
        <v>-9.2631610000000003E-2</v>
      </c>
      <c r="J97">
        <v>0.47786719999999999</v>
      </c>
      <c r="K97">
        <f xml:space="preserve"> -55.696 * _2026_04_17_16_25_21_23_high[[#This Row],[coeff]] + 79.57</f>
        <v>18.714790406399992</v>
      </c>
      <c r="L97">
        <f xml:space="preserve"> -55.696 * _2026_04_17_16_25_21_23_high[[#This Row],[coeff]] + 79.57</f>
        <v>18.714790406399992</v>
      </c>
    </row>
    <row r="98" spans="1:12" x14ac:dyDescent="0.3">
      <c r="A98">
        <v>96</v>
      </c>
      <c r="B98">
        <v>2343</v>
      </c>
      <c r="C98" t="b">
        <v>1</v>
      </c>
      <c r="D98">
        <v>8042</v>
      </c>
      <c r="E98">
        <v>8134</v>
      </c>
      <c r="F98">
        <v>206.8</v>
      </c>
      <c r="G98">
        <v>190.8</v>
      </c>
      <c r="H98">
        <v>1.0838574000000001</v>
      </c>
      <c r="I98">
        <v>-8.3857440000000005E-2</v>
      </c>
      <c r="J98">
        <v>0.47987930000000001</v>
      </c>
      <c r="K98">
        <f xml:space="preserve"> -55.696 * _2026_04_17_16_25_21_23_high[[#This Row],[coeff]] + 79.57</f>
        <v>19.203478249599989</v>
      </c>
      <c r="L98">
        <f xml:space="preserve"> -55.696 * _2026_04_17_16_25_21_23_high[[#This Row],[coeff]] + 79.57</f>
        <v>19.203478249599989</v>
      </c>
    </row>
    <row r="99" spans="1:12" x14ac:dyDescent="0.3">
      <c r="A99">
        <v>97</v>
      </c>
      <c r="B99">
        <v>2359</v>
      </c>
      <c r="C99" t="b">
        <v>1</v>
      </c>
      <c r="D99">
        <v>8042</v>
      </c>
      <c r="E99">
        <v>8129</v>
      </c>
      <c r="F99">
        <v>206</v>
      </c>
      <c r="G99">
        <v>191.6</v>
      </c>
      <c r="H99">
        <v>1.0751565999999999</v>
      </c>
      <c r="I99">
        <v>-7.5156539999999994E-2</v>
      </c>
      <c r="J99">
        <v>0.48189135999999999</v>
      </c>
      <c r="K99">
        <f xml:space="preserve"> -55.696 * _2026_04_17_16_25_21_23_high[[#This Row],[coeff]] + 79.57</f>
        <v>19.688078006399998</v>
      </c>
      <c r="L99">
        <f xml:space="preserve"> -55.696 * _2026_04_17_16_25_21_23_high[[#This Row],[coeff]] + 79.57</f>
        <v>19.688078006399998</v>
      </c>
    </row>
    <row r="100" spans="1:12" x14ac:dyDescent="0.3">
      <c r="A100">
        <v>98</v>
      </c>
      <c r="B100">
        <v>2375</v>
      </c>
      <c r="C100" t="b">
        <v>1</v>
      </c>
      <c r="D100">
        <v>8023</v>
      </c>
      <c r="E100">
        <v>8105</v>
      </c>
      <c r="F100">
        <v>205.6</v>
      </c>
      <c r="G100">
        <v>192</v>
      </c>
      <c r="H100">
        <v>1.0708333000000001</v>
      </c>
      <c r="I100">
        <v>-7.0833359999999998E-2</v>
      </c>
      <c r="J100">
        <v>0.48289736999999999</v>
      </c>
      <c r="K100">
        <f xml:space="preserve"> -55.696 * _2026_04_17_16_25_21_23_high[[#This Row],[coeff]] + 79.57</f>
        <v>19.928868523199988</v>
      </c>
      <c r="L100">
        <f xml:space="preserve"> -55.696 * _2026_04_17_16_25_21_23_high[[#This Row],[coeff]] + 79.57</f>
        <v>19.928868523199988</v>
      </c>
    </row>
    <row r="101" spans="1:12" x14ac:dyDescent="0.3">
      <c r="A101">
        <v>99</v>
      </c>
      <c r="B101">
        <v>2391</v>
      </c>
      <c r="C101" t="b">
        <v>1</v>
      </c>
      <c r="D101">
        <v>8023</v>
      </c>
      <c r="E101">
        <v>8105</v>
      </c>
      <c r="F101">
        <v>205.26666</v>
      </c>
      <c r="G101">
        <v>192.4</v>
      </c>
      <c r="H101">
        <v>1.0668746</v>
      </c>
      <c r="I101">
        <v>-6.6874580000000003E-2</v>
      </c>
      <c r="J101">
        <v>0.48382229999999998</v>
      </c>
      <c r="K101">
        <f xml:space="preserve"> -55.696 * _2026_04_17_16_25_21_23_high[[#This Row],[coeff]] + 79.57</f>
        <v>20.149352278399995</v>
      </c>
      <c r="L101">
        <f xml:space="preserve"> -55.696 * _2026_04_17_16_25_21_23_high[[#This Row],[coeff]] + 79.57</f>
        <v>20.149352278399995</v>
      </c>
    </row>
    <row r="102" spans="1:12" x14ac:dyDescent="0.3">
      <c r="A102">
        <v>100</v>
      </c>
      <c r="B102">
        <v>2407</v>
      </c>
      <c r="C102" t="b">
        <v>1</v>
      </c>
      <c r="D102">
        <v>8042</v>
      </c>
      <c r="E102">
        <v>8093</v>
      </c>
      <c r="F102">
        <v>205.26666</v>
      </c>
      <c r="G102">
        <v>192</v>
      </c>
      <c r="H102">
        <v>1.0690972000000001</v>
      </c>
      <c r="I102">
        <v>-6.9097199999999998E-2</v>
      </c>
      <c r="J102">
        <v>0.48330255999999999</v>
      </c>
      <c r="K102">
        <f xml:space="preserve"> -55.696 * _2026_04_17_16_25_21_23_high[[#This Row],[coeff]] + 79.57</f>
        <v>20.025562348799994</v>
      </c>
      <c r="L102">
        <f xml:space="preserve"> -55.696 * _2026_04_17_16_25_21_23_high[[#This Row],[coeff]] + 79.57</f>
        <v>20.025562348799994</v>
      </c>
    </row>
    <row r="103" spans="1:12" x14ac:dyDescent="0.3">
      <c r="A103">
        <v>101</v>
      </c>
      <c r="B103">
        <v>2438</v>
      </c>
      <c r="C103" t="b">
        <v>1</v>
      </c>
      <c r="D103">
        <v>8023</v>
      </c>
      <c r="E103">
        <v>8117</v>
      </c>
      <c r="F103">
        <v>204</v>
      </c>
      <c r="G103">
        <v>191.6</v>
      </c>
      <c r="H103">
        <v>1.0647180999999999</v>
      </c>
      <c r="I103">
        <v>-6.4718129999999999E-2</v>
      </c>
      <c r="J103">
        <v>0.48432760000000002</v>
      </c>
      <c r="K103">
        <f xml:space="preserve"> -55.696 * _2026_04_17_16_25_21_23_high[[#This Row],[coeff]] + 79.57</f>
        <v>20.269460702400004</v>
      </c>
      <c r="L103">
        <f xml:space="preserve"> -55.696 * _2026_04_17_16_25_21_23_high[[#This Row],[coeff]] + 79.57</f>
        <v>20.269460702400004</v>
      </c>
    </row>
    <row r="104" spans="1:12" x14ac:dyDescent="0.3">
      <c r="A104">
        <v>102</v>
      </c>
      <c r="B104">
        <v>2454</v>
      </c>
      <c r="C104" t="b">
        <v>1</v>
      </c>
      <c r="D104">
        <v>8042</v>
      </c>
      <c r="E104">
        <v>8105</v>
      </c>
      <c r="F104">
        <v>202.73334</v>
      </c>
      <c r="G104">
        <v>191.2</v>
      </c>
      <c r="H104">
        <v>1.0603209</v>
      </c>
      <c r="I104">
        <v>-6.0320819999999997E-2</v>
      </c>
      <c r="J104">
        <v>0.48536128000000001</v>
      </c>
      <c r="K104">
        <f xml:space="preserve"> -55.696 * _2026_04_17_16_25_21_23_high[[#This Row],[coeff]] + 79.57</f>
        <v>20.514367153599991</v>
      </c>
      <c r="L104">
        <f xml:space="preserve"> -55.696 * _2026_04_17_16_25_21_23_high[[#This Row],[coeff]] + 79.57</f>
        <v>20.514367153599991</v>
      </c>
    </row>
    <row r="105" spans="1:12" x14ac:dyDescent="0.3">
      <c r="A105">
        <v>103</v>
      </c>
      <c r="B105">
        <v>2470</v>
      </c>
      <c r="C105" t="b">
        <v>1</v>
      </c>
      <c r="D105">
        <v>8048</v>
      </c>
      <c r="E105">
        <v>8117</v>
      </c>
      <c r="F105">
        <v>201.93333000000001</v>
      </c>
      <c r="G105">
        <v>192</v>
      </c>
      <c r="H105">
        <v>1.0517361000000001</v>
      </c>
      <c r="I105">
        <v>-5.1736115999999999E-2</v>
      </c>
      <c r="J105">
        <v>0.48739209999999999</v>
      </c>
      <c r="K105">
        <f xml:space="preserve"> -55.696 * _2026_04_17_16_25_21_23_high[[#This Row],[coeff]] + 79.57</f>
        <v>20.992506174399992</v>
      </c>
      <c r="L105">
        <f xml:space="preserve"> -55.696 * _2026_04_17_16_25_21_23_high[[#This Row],[coeff]] + 79.57</f>
        <v>20.992506174399992</v>
      </c>
    </row>
    <row r="106" spans="1:12" x14ac:dyDescent="0.3">
      <c r="A106">
        <v>104</v>
      </c>
      <c r="B106">
        <v>2503</v>
      </c>
      <c r="C106" t="b">
        <v>1</v>
      </c>
      <c r="D106">
        <v>8030</v>
      </c>
      <c r="E106">
        <v>8087</v>
      </c>
      <c r="F106">
        <v>201.13333</v>
      </c>
      <c r="G106">
        <v>192.8</v>
      </c>
      <c r="H106">
        <v>1.0432227000000001</v>
      </c>
      <c r="I106">
        <v>-4.3222654999999999E-2</v>
      </c>
      <c r="J106">
        <v>0.48942289999999999</v>
      </c>
      <c r="K106">
        <f xml:space="preserve"> -55.696 * _2026_04_17_16_25_21_23_high[[#This Row],[coeff]] + 79.57</f>
        <v>21.46666850079999</v>
      </c>
      <c r="L106">
        <f xml:space="preserve"> -55.696 * _2026_04_17_16_25_21_23_high[[#This Row],[coeff]] + 79.57</f>
        <v>21.46666850079999</v>
      </c>
    </row>
    <row r="107" spans="1:12" x14ac:dyDescent="0.3">
      <c r="A107">
        <v>105</v>
      </c>
      <c r="B107">
        <v>2534</v>
      </c>
      <c r="C107" t="b">
        <v>1</v>
      </c>
      <c r="D107">
        <v>8054</v>
      </c>
      <c r="E107">
        <v>8111</v>
      </c>
      <c r="F107">
        <v>200.73334</v>
      </c>
      <c r="G107">
        <v>194</v>
      </c>
      <c r="H107">
        <v>1.0347078999999999</v>
      </c>
      <c r="I107">
        <v>-3.4707926E-2</v>
      </c>
      <c r="J107">
        <v>0.49147101999999998</v>
      </c>
      <c r="K107">
        <f xml:space="preserve"> -55.696 * _2026_04_17_16_25_21_23_high[[#This Row],[coeff]] + 79.57</f>
        <v>21.940908801600003</v>
      </c>
      <c r="L107">
        <f xml:space="preserve"> -55.696 * _2026_04_17_16_25_21_23_high[[#This Row],[coeff]] + 79.57</f>
        <v>21.940908801600003</v>
      </c>
    </row>
    <row r="108" spans="1:12" x14ac:dyDescent="0.3">
      <c r="A108">
        <v>106</v>
      </c>
      <c r="B108">
        <v>2566</v>
      </c>
      <c r="C108" t="b">
        <v>1</v>
      </c>
      <c r="D108">
        <v>8030</v>
      </c>
      <c r="E108">
        <v>8111</v>
      </c>
      <c r="F108">
        <v>200.33332999999999</v>
      </c>
      <c r="G108">
        <v>195.2</v>
      </c>
      <c r="H108">
        <v>1.0262978</v>
      </c>
      <c r="I108">
        <v>-2.6297804000000001E-2</v>
      </c>
      <c r="J108">
        <v>0.49351086999999999</v>
      </c>
      <c r="K108">
        <f xml:space="preserve"> -55.696 * _2026_04_17_16_25_21_23_high[[#This Row],[coeff]] + 79.57</f>
        <v>22.409317731199991</v>
      </c>
      <c r="L108">
        <f xml:space="preserve"> -55.696 * _2026_04_17_16_25_21_23_high[[#This Row],[coeff]] + 79.57</f>
        <v>22.409317731199991</v>
      </c>
    </row>
    <row r="109" spans="1:12" x14ac:dyDescent="0.3">
      <c r="A109">
        <v>107</v>
      </c>
      <c r="B109">
        <v>2597</v>
      </c>
      <c r="C109" t="b">
        <v>1</v>
      </c>
      <c r="D109">
        <v>8048</v>
      </c>
      <c r="E109">
        <v>8105</v>
      </c>
      <c r="F109">
        <v>200.33332999999999</v>
      </c>
      <c r="G109">
        <v>195.6</v>
      </c>
      <c r="H109">
        <v>1.0241990000000001</v>
      </c>
      <c r="I109">
        <v>-2.4198988000000001E-2</v>
      </c>
      <c r="J109">
        <v>0.49402255</v>
      </c>
      <c r="K109">
        <f xml:space="preserve"> -55.696 * _2026_04_17_16_25_21_23_high[[#This Row],[coeff]] + 79.57</f>
        <v>22.526212495999992</v>
      </c>
      <c r="L109">
        <f xml:space="preserve"> -55.696 * _2026_04_17_16_25_21_23_high[[#This Row],[coeff]] + 79.57</f>
        <v>22.526212495999992</v>
      </c>
    </row>
    <row r="110" spans="1:12" x14ac:dyDescent="0.3">
      <c r="A110">
        <v>108</v>
      </c>
      <c r="B110">
        <v>2629</v>
      </c>
      <c r="C110" t="b">
        <v>1</v>
      </c>
      <c r="D110">
        <v>8048</v>
      </c>
      <c r="E110">
        <v>8111</v>
      </c>
      <c r="F110">
        <v>200.33332999999999</v>
      </c>
      <c r="G110">
        <v>195.6</v>
      </c>
      <c r="H110">
        <v>1.0241990000000001</v>
      </c>
      <c r="I110">
        <v>-2.4198988000000001E-2</v>
      </c>
      <c r="J110">
        <v>0.49402255</v>
      </c>
      <c r="K110">
        <f xml:space="preserve"> -55.696 * _2026_04_17_16_25_21_23_high[[#This Row],[coeff]] + 79.57</f>
        <v>22.526212495999992</v>
      </c>
      <c r="L110">
        <f xml:space="preserve"> -55.696 * _2026_04_17_16_25_21_23_high[[#This Row],[coeff]] + 79.57</f>
        <v>22.526212495999992</v>
      </c>
    </row>
    <row r="111" spans="1:12" x14ac:dyDescent="0.3">
      <c r="A111">
        <v>109</v>
      </c>
      <c r="B111">
        <v>2661</v>
      </c>
      <c r="C111" t="b">
        <v>1</v>
      </c>
      <c r="D111">
        <v>8030</v>
      </c>
      <c r="E111">
        <v>8105</v>
      </c>
      <c r="F111">
        <v>200.33332999999999</v>
      </c>
      <c r="G111">
        <v>195.6</v>
      </c>
      <c r="H111">
        <v>1.0241990000000001</v>
      </c>
      <c r="I111">
        <v>-2.4198988000000001E-2</v>
      </c>
      <c r="J111">
        <v>0.49402255</v>
      </c>
      <c r="K111">
        <f xml:space="preserve"> -55.696 * _2026_04_17_16_25_21_23_high[[#This Row],[coeff]] + 79.57</f>
        <v>22.526212495999992</v>
      </c>
      <c r="L111">
        <f xml:space="preserve"> -55.696 * _2026_04_17_16_25_21_23_high[[#This Row],[coeff]] + 79.57</f>
        <v>22.526212495999992</v>
      </c>
    </row>
    <row r="112" spans="1:12" x14ac:dyDescent="0.3">
      <c r="A112">
        <v>110</v>
      </c>
      <c r="B112">
        <v>2693</v>
      </c>
      <c r="C112" t="b">
        <v>1</v>
      </c>
      <c r="D112">
        <v>8048</v>
      </c>
      <c r="E112">
        <v>8099</v>
      </c>
      <c r="F112">
        <v>200.73334</v>
      </c>
      <c r="G112">
        <v>195.2</v>
      </c>
      <c r="H112">
        <v>1.0283469999999999</v>
      </c>
      <c r="I112">
        <v>-2.8347032000000001E-2</v>
      </c>
      <c r="J112">
        <v>0.49301224999999999</v>
      </c>
      <c r="K112">
        <f xml:space="preserve"> -55.696 * _2026_04_17_16_25_21_23_high[[#This Row],[coeff]] + 79.57</f>
        <v>22.295185488000001</v>
      </c>
      <c r="L112">
        <f xml:space="preserve"> -55.696 * _2026_04_17_16_25_21_23_high[[#This Row],[coeff]] + 79.57</f>
        <v>22.295185488000001</v>
      </c>
    </row>
    <row r="113" spans="1:12" x14ac:dyDescent="0.3">
      <c r="A113">
        <v>111</v>
      </c>
      <c r="B113">
        <v>2724</v>
      </c>
      <c r="C113" t="b">
        <v>1</v>
      </c>
      <c r="D113">
        <v>8037</v>
      </c>
      <c r="E113">
        <v>8117</v>
      </c>
      <c r="F113">
        <v>201.13333</v>
      </c>
      <c r="G113">
        <v>194.4</v>
      </c>
      <c r="H113">
        <v>1.0346365</v>
      </c>
      <c r="I113">
        <v>-3.4636510000000002E-2</v>
      </c>
      <c r="J113">
        <v>0.49148828</v>
      </c>
      <c r="K113">
        <f xml:space="preserve"> -55.696 * _2026_04_17_16_25_21_23_high[[#This Row],[coeff]] + 79.57</f>
        <v>21.944885495999998</v>
      </c>
      <c r="L113">
        <f xml:space="preserve"> -55.696 * _2026_04_17_16_25_21_23_high[[#This Row],[coeff]] + 79.57</f>
        <v>21.944885495999998</v>
      </c>
    </row>
    <row r="114" spans="1:12" x14ac:dyDescent="0.3">
      <c r="A114">
        <v>112</v>
      </c>
      <c r="B114">
        <v>2755</v>
      </c>
      <c r="C114" t="b">
        <v>1</v>
      </c>
      <c r="D114">
        <v>8037</v>
      </c>
      <c r="E114">
        <v>8129</v>
      </c>
      <c r="F114">
        <v>200.8</v>
      </c>
      <c r="G114">
        <v>194</v>
      </c>
      <c r="H114">
        <v>1.0350516000000001</v>
      </c>
      <c r="I114">
        <v>-3.5051562000000001E-2</v>
      </c>
      <c r="J114">
        <v>0.49138805000000002</v>
      </c>
      <c r="K114">
        <f xml:space="preserve"> -55.696 * _2026_04_17_16_25_21_23_high[[#This Row],[coeff]] + 79.57</f>
        <v>21.921766086399991</v>
      </c>
      <c r="L114">
        <f xml:space="preserve"> -55.696 * _2026_04_17_16_25_21_23_high[[#This Row],[coeff]] + 79.57</f>
        <v>21.921766086399991</v>
      </c>
    </row>
    <row r="115" spans="1:12" x14ac:dyDescent="0.3">
      <c r="A115">
        <v>113</v>
      </c>
      <c r="B115">
        <v>2787</v>
      </c>
      <c r="C115" t="b">
        <v>1</v>
      </c>
      <c r="D115">
        <v>8048</v>
      </c>
      <c r="E115">
        <v>8129</v>
      </c>
      <c r="F115">
        <v>200.46665999999999</v>
      </c>
      <c r="G115">
        <v>194</v>
      </c>
      <c r="H115">
        <v>1.0333333</v>
      </c>
      <c r="I115">
        <v>-3.3333297999999997E-2</v>
      </c>
      <c r="J115">
        <v>0.49180326000000002</v>
      </c>
      <c r="K115">
        <f xml:space="preserve"> -55.696 * _2026_04_17_16_25_21_23_high[[#This Row],[coeff]] + 79.57</f>
        <v>22.017468523199994</v>
      </c>
      <c r="L115">
        <f xml:space="preserve"> -55.696 * _2026_04_17_16_25_21_23_high[[#This Row],[coeff]] + 79.57</f>
        <v>22.017468523199994</v>
      </c>
    </row>
    <row r="116" spans="1:12" x14ac:dyDescent="0.3">
      <c r="A116">
        <v>114</v>
      </c>
      <c r="B116">
        <v>2819</v>
      </c>
      <c r="C116" t="b">
        <v>1</v>
      </c>
      <c r="D116">
        <v>8037</v>
      </c>
      <c r="E116">
        <v>8123</v>
      </c>
      <c r="F116">
        <v>200.46665999999999</v>
      </c>
      <c r="G116">
        <v>194.4</v>
      </c>
      <c r="H116">
        <v>1.0312071</v>
      </c>
      <c r="I116">
        <v>-3.120713E-2</v>
      </c>
      <c r="J116">
        <v>0.49231809999999998</v>
      </c>
      <c r="K116">
        <f xml:space="preserve"> -55.696 * _2026_04_17_16_25_21_23_high[[#This Row],[coeff]] + 79.57</f>
        <v>22.135889358399993</v>
      </c>
      <c r="L116">
        <f xml:space="preserve"> -55.696 * _2026_04_17_16_25_21_23_high[[#This Row],[coeff]] + 79.57</f>
        <v>22.135889358399993</v>
      </c>
    </row>
    <row r="117" spans="1:12" x14ac:dyDescent="0.3">
      <c r="A117">
        <v>115</v>
      </c>
      <c r="B117">
        <v>2851</v>
      </c>
      <c r="C117" t="b">
        <v>1</v>
      </c>
      <c r="D117">
        <v>8042</v>
      </c>
      <c r="E117">
        <v>8105</v>
      </c>
      <c r="F117">
        <v>200.13333</v>
      </c>
      <c r="G117">
        <v>195.6</v>
      </c>
      <c r="H117">
        <v>1.0231766</v>
      </c>
      <c r="I117">
        <v>-2.3176507999999998E-2</v>
      </c>
      <c r="J117">
        <v>0.49427226000000002</v>
      </c>
      <c r="K117">
        <f xml:space="preserve"> -55.696 * _2026_04_17_16_25_21_23_high[[#This Row],[coeff]] + 79.57</f>
        <v>22.583156086399995</v>
      </c>
      <c r="L117">
        <f xml:space="preserve"> -55.696 * _2026_04_17_16_25_21_23_high[[#This Row],[coeff]] + 79.57</f>
        <v>22.583156086399995</v>
      </c>
    </row>
    <row r="118" spans="1:12" x14ac:dyDescent="0.3">
      <c r="A118">
        <v>116</v>
      </c>
      <c r="B118">
        <v>2882</v>
      </c>
      <c r="C118" t="b">
        <v>1</v>
      </c>
      <c r="D118">
        <v>8042</v>
      </c>
      <c r="E118">
        <v>8099</v>
      </c>
      <c r="F118">
        <v>201.4</v>
      </c>
      <c r="G118">
        <v>196.8</v>
      </c>
      <c r="H118">
        <v>1.023374</v>
      </c>
      <c r="I118">
        <v>-2.3373937000000001E-2</v>
      </c>
      <c r="J118">
        <v>0.494224</v>
      </c>
      <c r="K118">
        <f xml:space="preserve"> -55.696 * _2026_04_17_16_25_21_23_high[[#This Row],[coeff]] + 79.57</f>
        <v>22.572161695999995</v>
      </c>
      <c r="L118">
        <f xml:space="preserve"> -55.696 * _2026_04_17_16_25_21_23_high[[#This Row],[coeff]] + 79.57</f>
        <v>22.572161695999995</v>
      </c>
    </row>
    <row r="119" spans="1:12" x14ac:dyDescent="0.3">
      <c r="A119">
        <v>117</v>
      </c>
      <c r="B119">
        <v>2914</v>
      </c>
      <c r="C119" t="b">
        <v>1</v>
      </c>
      <c r="D119">
        <v>8037</v>
      </c>
      <c r="E119">
        <v>8105</v>
      </c>
      <c r="F119">
        <v>202.66667000000001</v>
      </c>
      <c r="G119">
        <v>196.8</v>
      </c>
      <c r="H119">
        <v>1.0298103000000001</v>
      </c>
      <c r="I119">
        <v>-2.9810308000000001E-2</v>
      </c>
      <c r="J119">
        <v>0.49265690000000001</v>
      </c>
      <c r="K119">
        <f xml:space="preserve"> -55.696 * _2026_04_17_16_25_21_23_high[[#This Row],[coeff]] + 79.57</f>
        <v>22.213685531199992</v>
      </c>
      <c r="L119">
        <f xml:space="preserve"> -55.696 * _2026_04_17_16_25_21_23_high[[#This Row],[coeff]] + 79.57</f>
        <v>22.213685531199992</v>
      </c>
    </row>
    <row r="120" spans="1:12" x14ac:dyDescent="0.3">
      <c r="A120">
        <v>118</v>
      </c>
      <c r="B120">
        <v>2946</v>
      </c>
      <c r="C120" t="b">
        <v>1</v>
      </c>
      <c r="D120">
        <v>8054</v>
      </c>
      <c r="E120">
        <v>8117</v>
      </c>
      <c r="F120">
        <v>202.66667000000001</v>
      </c>
      <c r="G120">
        <v>196.8</v>
      </c>
      <c r="H120">
        <v>1.0298103000000001</v>
      </c>
      <c r="I120">
        <v>-2.9810308000000001E-2</v>
      </c>
      <c r="J120">
        <v>0.49265690000000001</v>
      </c>
      <c r="K120">
        <f xml:space="preserve"> -55.696 * _2026_04_17_16_25_21_23_high[[#This Row],[coeff]] + 79.57</f>
        <v>22.213685531199992</v>
      </c>
      <c r="L120">
        <f xml:space="preserve"> -55.696 * _2026_04_17_16_25_21_23_high[[#This Row],[coeff]] + 79.57</f>
        <v>22.213685531199992</v>
      </c>
    </row>
    <row r="121" spans="1:12" x14ac:dyDescent="0.3">
      <c r="A121">
        <v>119</v>
      </c>
      <c r="B121">
        <v>2977</v>
      </c>
      <c r="C121" t="b">
        <v>1</v>
      </c>
      <c r="D121">
        <v>8017</v>
      </c>
      <c r="E121">
        <v>8099</v>
      </c>
      <c r="F121">
        <v>202.66667000000001</v>
      </c>
      <c r="G121">
        <v>196.8</v>
      </c>
      <c r="H121">
        <v>1.0298103000000001</v>
      </c>
      <c r="I121">
        <v>-2.9810308000000001E-2</v>
      </c>
      <c r="J121">
        <v>0.49265690000000001</v>
      </c>
      <c r="K121">
        <f xml:space="preserve"> -55.696 * _2026_04_17_16_25_21_23_high[[#This Row],[coeff]] + 79.57</f>
        <v>22.213685531199992</v>
      </c>
      <c r="L121">
        <f xml:space="preserve"> -55.696 * _2026_04_17_16_25_21_23_high[[#This Row],[coeff]] + 79.57</f>
        <v>22.213685531199992</v>
      </c>
    </row>
    <row r="122" spans="1:12" x14ac:dyDescent="0.3">
      <c r="A122">
        <v>120</v>
      </c>
      <c r="B122">
        <v>2994</v>
      </c>
      <c r="C122" t="b">
        <v>1</v>
      </c>
      <c r="D122">
        <v>8030</v>
      </c>
      <c r="E122">
        <v>8105</v>
      </c>
      <c r="F122">
        <v>202.33332999999999</v>
      </c>
      <c r="G122">
        <v>196.4</v>
      </c>
      <c r="H122">
        <v>1.0302104999999999</v>
      </c>
      <c r="I122">
        <v>-3.0210461000000001E-2</v>
      </c>
      <c r="J122">
        <v>0.49255976000000001</v>
      </c>
      <c r="K122">
        <f xml:space="preserve"> -55.696 * _2026_04_17_16_25_21_23_high[[#This Row],[coeff]] + 79.57</f>
        <v>22.191395991999997</v>
      </c>
      <c r="L122">
        <f xml:space="preserve"> -55.696 * _2026_04_17_16_25_21_23_high[[#This Row],[coeff]] + 79.57</f>
        <v>22.191395991999997</v>
      </c>
    </row>
    <row r="123" spans="1:12" x14ac:dyDescent="0.3">
      <c r="A123">
        <v>121</v>
      </c>
      <c r="B123">
        <v>3009</v>
      </c>
      <c r="C123" t="b">
        <v>1</v>
      </c>
      <c r="D123">
        <v>8048</v>
      </c>
      <c r="E123">
        <v>8087</v>
      </c>
      <c r="F123">
        <v>202</v>
      </c>
      <c r="G123">
        <v>196</v>
      </c>
      <c r="H123">
        <v>1.0306122</v>
      </c>
      <c r="I123">
        <v>-3.0612245E-2</v>
      </c>
      <c r="J123">
        <v>0.49246230000000002</v>
      </c>
      <c r="K123">
        <f xml:space="preserve"> -55.696 * _2026_04_17_16_25_21_23_high[[#This Row],[coeff]] + 79.57</f>
        <v>22.169022908799995</v>
      </c>
      <c r="L123">
        <f xml:space="preserve"> -55.696 * _2026_04_17_16_25_21_23_high[[#This Row],[coeff]] + 79.57</f>
        <v>22.169022908799995</v>
      </c>
    </row>
    <row r="124" spans="1:12" x14ac:dyDescent="0.3">
      <c r="A124">
        <v>122</v>
      </c>
      <c r="B124">
        <v>3042</v>
      </c>
      <c r="C124" t="b">
        <v>1</v>
      </c>
      <c r="D124">
        <v>8030</v>
      </c>
      <c r="E124">
        <v>8105</v>
      </c>
      <c r="F124">
        <v>200.8</v>
      </c>
      <c r="G124">
        <v>195.6</v>
      </c>
      <c r="H124">
        <v>1.0265849</v>
      </c>
      <c r="I124">
        <v>-2.658485E-2</v>
      </c>
      <c r="J124">
        <v>0.49344095999999998</v>
      </c>
      <c r="K124">
        <f xml:space="preserve"> -55.696 * _2026_04_17_16_25_21_23_high[[#This Row],[coeff]] + 79.57</f>
        <v>22.393327409599991</v>
      </c>
      <c r="L124">
        <f xml:space="preserve"> -55.696 * _2026_04_17_16_25_21_23_high[[#This Row],[coeff]] + 79.57</f>
        <v>22.393327409599991</v>
      </c>
    </row>
    <row r="125" spans="1:12" x14ac:dyDescent="0.3">
      <c r="A125">
        <v>123</v>
      </c>
      <c r="B125">
        <v>3073</v>
      </c>
      <c r="C125" t="b">
        <v>1</v>
      </c>
      <c r="D125">
        <v>8037</v>
      </c>
      <c r="E125">
        <v>8099</v>
      </c>
      <c r="F125">
        <v>199.6</v>
      </c>
      <c r="G125">
        <v>194.8</v>
      </c>
      <c r="H125">
        <v>1.0246407</v>
      </c>
      <c r="I125">
        <v>-2.4640671999999999E-2</v>
      </c>
      <c r="J125">
        <v>0.49391478</v>
      </c>
      <c r="K125">
        <f xml:space="preserve"> -55.696 * _2026_04_17_16_25_21_23_high[[#This Row],[coeff]] + 79.57</f>
        <v>22.501611572799995</v>
      </c>
      <c r="L125">
        <f xml:space="preserve"> -55.696 * _2026_04_17_16_25_21_23_high[[#This Row],[coeff]] + 79.57</f>
        <v>22.501611572799995</v>
      </c>
    </row>
    <row r="126" spans="1:12" x14ac:dyDescent="0.3">
      <c r="A126">
        <v>124</v>
      </c>
      <c r="B126">
        <v>3089</v>
      </c>
      <c r="C126" t="b">
        <v>1</v>
      </c>
      <c r="D126">
        <v>8037</v>
      </c>
      <c r="E126">
        <v>8123</v>
      </c>
      <c r="F126">
        <v>198.86667</v>
      </c>
      <c r="G126">
        <v>194.4</v>
      </c>
      <c r="H126">
        <v>1.0229767999999999</v>
      </c>
      <c r="I126">
        <v>-2.2976723000000001E-2</v>
      </c>
      <c r="J126">
        <v>0.49432104999999998</v>
      </c>
      <c r="K126">
        <f xml:space="preserve"> -55.696 * _2026_04_17_16_25_21_23_high[[#This Row],[coeff]] + 79.57</f>
        <v>22.5942841472</v>
      </c>
      <c r="L126">
        <f xml:space="preserve"> -55.696 * _2026_04_17_16_25_21_23_high[[#This Row],[coeff]] + 79.57</f>
        <v>22.5942841472</v>
      </c>
    </row>
    <row r="127" spans="1:12" x14ac:dyDescent="0.3">
      <c r="A127">
        <v>125</v>
      </c>
      <c r="B127">
        <v>3121</v>
      </c>
      <c r="C127" t="b">
        <v>1</v>
      </c>
      <c r="D127">
        <v>8048</v>
      </c>
      <c r="E127">
        <v>8099</v>
      </c>
      <c r="F127">
        <v>198.13333</v>
      </c>
      <c r="G127">
        <v>194</v>
      </c>
      <c r="H127">
        <v>1.0213057999999999</v>
      </c>
      <c r="I127">
        <v>-2.1305831000000001E-2</v>
      </c>
      <c r="J127">
        <v>0.49472969999999999</v>
      </c>
      <c r="K127">
        <f xml:space="preserve"> -55.696 * _2026_04_17_16_25_21_23_high[[#This Row],[coeff]] + 79.57</f>
        <v>22.687352163199996</v>
      </c>
      <c r="L127">
        <f xml:space="preserve"> -55.696 * _2026_04_17_16_25_21_23_high[[#This Row],[coeff]] + 79.57</f>
        <v>22.687352163199996</v>
      </c>
    </row>
    <row r="128" spans="1:12" x14ac:dyDescent="0.3">
      <c r="A128">
        <v>126</v>
      </c>
      <c r="B128">
        <v>3152</v>
      </c>
      <c r="C128" t="b">
        <v>1</v>
      </c>
      <c r="D128">
        <v>8037</v>
      </c>
      <c r="E128">
        <v>8111</v>
      </c>
      <c r="F128">
        <v>197.4</v>
      </c>
      <c r="G128">
        <v>194</v>
      </c>
      <c r="H128">
        <v>1.0175258</v>
      </c>
      <c r="I128">
        <v>-1.7525742E-2</v>
      </c>
      <c r="J128">
        <v>0.49565663999999998</v>
      </c>
      <c r="K128">
        <f xml:space="preserve"> -55.696 * _2026_04_17_16_25_21_23_high[[#This Row],[coeff]] + 79.57</f>
        <v>22.897883043199997</v>
      </c>
      <c r="L128">
        <f xml:space="preserve"> -55.696 * _2026_04_17_16_25_21_23_high[[#This Row],[coeff]] + 79.57</f>
        <v>22.897883043199997</v>
      </c>
    </row>
    <row r="129" spans="1:12" x14ac:dyDescent="0.3">
      <c r="A129">
        <v>127</v>
      </c>
      <c r="B129">
        <v>3184</v>
      </c>
      <c r="C129" t="b">
        <v>1</v>
      </c>
      <c r="D129">
        <v>8065</v>
      </c>
      <c r="E129">
        <v>8117</v>
      </c>
      <c r="F129">
        <v>197.4</v>
      </c>
      <c r="G129">
        <v>194</v>
      </c>
      <c r="H129">
        <v>1.0175258</v>
      </c>
      <c r="I129">
        <v>-1.7525742E-2</v>
      </c>
      <c r="J129">
        <v>0.49565663999999998</v>
      </c>
      <c r="K129">
        <f xml:space="preserve"> -55.696 * _2026_04_17_16_25_21_23_high[[#This Row],[coeff]] + 79.57</f>
        <v>22.897883043199997</v>
      </c>
      <c r="L129">
        <f xml:space="preserve"> -55.696 * _2026_04_17_16_25_21_23_high[[#This Row],[coeff]] + 79.57</f>
        <v>22.897883043199997</v>
      </c>
    </row>
    <row r="130" spans="1:12" x14ac:dyDescent="0.3">
      <c r="A130">
        <v>128</v>
      </c>
      <c r="B130">
        <v>3216</v>
      </c>
      <c r="C130" t="b">
        <v>1</v>
      </c>
      <c r="D130">
        <v>8037</v>
      </c>
      <c r="E130">
        <v>8099</v>
      </c>
      <c r="F130">
        <v>197.4</v>
      </c>
      <c r="G130">
        <v>193.6</v>
      </c>
      <c r="H130">
        <v>1.019628</v>
      </c>
      <c r="I130">
        <v>-1.9628034999999999E-2</v>
      </c>
      <c r="J130">
        <v>0.49514067</v>
      </c>
      <c r="K130">
        <f xml:space="preserve"> -55.696 * _2026_04_17_16_25_21_23_high[[#This Row],[coeff]] + 79.57</f>
        <v>22.780798911999995</v>
      </c>
      <c r="L130">
        <f xml:space="preserve"> -55.696 * _2026_04_17_16_25_21_23_high[[#This Row],[coeff]] + 79.57</f>
        <v>22.780798911999995</v>
      </c>
    </row>
    <row r="131" spans="1:12" x14ac:dyDescent="0.3">
      <c r="A131">
        <v>129</v>
      </c>
      <c r="B131">
        <v>3249</v>
      </c>
      <c r="C131" t="b">
        <v>1</v>
      </c>
      <c r="D131">
        <v>8023</v>
      </c>
      <c r="E131">
        <v>8105</v>
      </c>
      <c r="F131">
        <v>197.4</v>
      </c>
      <c r="G131">
        <v>192.4</v>
      </c>
      <c r="H131">
        <v>1.0259875000000001</v>
      </c>
      <c r="I131">
        <v>-2.5987526E-2</v>
      </c>
      <c r="J131">
        <v>0.49358645000000001</v>
      </c>
      <c r="K131">
        <f xml:space="preserve"> -55.696 * _2026_04_17_16_25_21_23_high[[#This Row],[coeff]] + 79.57</f>
        <v>22.426600199999996</v>
      </c>
      <c r="L131">
        <f xml:space="preserve"> -55.696 * _2026_04_17_16_25_21_23_high[[#This Row],[coeff]] + 79.57</f>
        <v>22.426600199999996</v>
      </c>
    </row>
    <row r="132" spans="1:12" x14ac:dyDescent="0.3">
      <c r="A132">
        <v>130</v>
      </c>
      <c r="B132">
        <v>3280</v>
      </c>
      <c r="C132" t="b">
        <v>1</v>
      </c>
      <c r="D132">
        <v>8030</v>
      </c>
      <c r="E132">
        <v>8105</v>
      </c>
      <c r="F132">
        <v>197.4</v>
      </c>
      <c r="G132">
        <v>191.2</v>
      </c>
      <c r="H132">
        <v>1.0324267</v>
      </c>
      <c r="I132">
        <v>-3.2426762999999997E-2</v>
      </c>
      <c r="J132">
        <v>0.49202266</v>
      </c>
      <c r="K132">
        <f xml:space="preserve"> -55.696 * _2026_04_17_16_25_21_23_high[[#This Row],[coeff]] + 79.57</f>
        <v>22.067962516799994</v>
      </c>
      <c r="L132">
        <f xml:space="preserve"> -55.696 * _2026_04_17_16_25_21_23_high[[#This Row],[coeff]] + 79.57</f>
        <v>22.067962516799994</v>
      </c>
    </row>
    <row r="133" spans="1:12" x14ac:dyDescent="0.3">
      <c r="A133">
        <v>131</v>
      </c>
      <c r="B133">
        <v>3296</v>
      </c>
      <c r="C133" t="b">
        <v>1</v>
      </c>
      <c r="D133">
        <v>8065</v>
      </c>
      <c r="E133">
        <v>8111</v>
      </c>
      <c r="F133">
        <v>197.06666999999999</v>
      </c>
      <c r="G133">
        <v>190</v>
      </c>
      <c r="H133">
        <v>1.037193</v>
      </c>
      <c r="I133">
        <v>-3.7192978000000002E-2</v>
      </c>
      <c r="J133">
        <v>0.49087152000000001</v>
      </c>
      <c r="K133">
        <f xml:space="preserve"> -55.696 * _2026_04_17_16_25_21_23_high[[#This Row],[coeff]] + 79.57</f>
        <v>21.802498671999992</v>
      </c>
      <c r="L133">
        <f xml:space="preserve"> -55.696 * _2026_04_17_16_25_21_23_high[[#This Row],[coeff]] + 79.57</f>
        <v>21.802498671999992</v>
      </c>
    </row>
    <row r="134" spans="1:12" x14ac:dyDescent="0.3">
      <c r="A134">
        <v>132</v>
      </c>
      <c r="B134">
        <v>3312</v>
      </c>
      <c r="C134" t="b">
        <v>1</v>
      </c>
      <c r="D134">
        <v>8048</v>
      </c>
      <c r="E134">
        <v>8111</v>
      </c>
      <c r="F134">
        <v>196.73334</v>
      </c>
      <c r="G134">
        <v>190</v>
      </c>
      <c r="H134">
        <v>1.0354387</v>
      </c>
      <c r="I134">
        <v>-3.5438619999999997E-2</v>
      </c>
      <c r="J134">
        <v>0.49129460000000003</v>
      </c>
      <c r="K134">
        <f xml:space="preserve"> -55.696 * _2026_04_17_16_25_21_23_high[[#This Row],[coeff]] + 79.57</f>
        <v>21.900206164799989</v>
      </c>
      <c r="L134">
        <f xml:space="preserve"> -55.696 * _2026_04_17_16_25_21_23_high[[#This Row],[coeff]] + 79.57</f>
        <v>21.900206164799989</v>
      </c>
    </row>
    <row r="135" spans="1:12" x14ac:dyDescent="0.3">
      <c r="A135">
        <v>133</v>
      </c>
      <c r="B135">
        <v>3328</v>
      </c>
      <c r="C135" t="b">
        <v>1</v>
      </c>
      <c r="D135">
        <v>8048</v>
      </c>
      <c r="E135">
        <v>8111</v>
      </c>
      <c r="F135">
        <v>197.13333</v>
      </c>
      <c r="G135">
        <v>190.4</v>
      </c>
      <c r="H135">
        <v>1.0353642000000001</v>
      </c>
      <c r="I135">
        <v>-3.536417E-2</v>
      </c>
      <c r="J135">
        <v>0.49131256000000001</v>
      </c>
      <c r="K135">
        <f xml:space="preserve"> -55.696 * _2026_04_17_16_25_21_23_high[[#This Row],[coeff]] + 79.57</f>
        <v>21.904355516799988</v>
      </c>
      <c r="L135">
        <f xml:space="preserve"> -55.696 * _2026_04_17_16_25_21_23_high[[#This Row],[coeff]] + 79.57</f>
        <v>21.904355516799988</v>
      </c>
    </row>
    <row r="136" spans="1:12" x14ac:dyDescent="0.3">
      <c r="A136">
        <v>134</v>
      </c>
      <c r="B136">
        <v>3360</v>
      </c>
      <c r="C136" t="b">
        <v>1</v>
      </c>
      <c r="D136">
        <v>8054</v>
      </c>
      <c r="E136">
        <v>8111</v>
      </c>
      <c r="F136">
        <v>197.53334000000001</v>
      </c>
      <c r="G136">
        <v>190.8</v>
      </c>
      <c r="H136">
        <v>1.03529</v>
      </c>
      <c r="I136">
        <v>-3.529003E-2</v>
      </c>
      <c r="J136">
        <v>0.49133047000000002</v>
      </c>
      <c r="K136">
        <f xml:space="preserve"> -55.696 * _2026_04_17_16_25_21_23_high[[#This Row],[coeff]] + 79.57</f>
        <v>21.90848815999999</v>
      </c>
      <c r="L136">
        <f xml:space="preserve"> -55.696 * _2026_04_17_16_25_21_23_high[[#This Row],[coeff]] + 79.57</f>
        <v>21.90848815999999</v>
      </c>
    </row>
    <row r="137" spans="1:12" x14ac:dyDescent="0.3">
      <c r="A137">
        <v>135</v>
      </c>
      <c r="B137">
        <v>3376</v>
      </c>
      <c r="C137" t="b">
        <v>1</v>
      </c>
      <c r="D137">
        <v>8037</v>
      </c>
      <c r="E137">
        <v>8087</v>
      </c>
      <c r="F137">
        <v>198.26666</v>
      </c>
      <c r="G137">
        <v>191.2</v>
      </c>
      <c r="H137">
        <v>1.0369595</v>
      </c>
      <c r="I137">
        <v>-3.6959548000000002E-2</v>
      </c>
      <c r="J137">
        <v>0.49092775999999999</v>
      </c>
      <c r="K137">
        <f xml:space="preserve"> -55.696 * _2026_04_17_16_25_21_23_high[[#This Row],[coeff]] + 79.57</f>
        <v>21.815503687999993</v>
      </c>
      <c r="L137">
        <f xml:space="preserve"> -55.696 * _2026_04_17_16_25_21_23_high[[#This Row],[coeff]] + 79.57</f>
        <v>21.815503687999993</v>
      </c>
    </row>
    <row r="138" spans="1:12" x14ac:dyDescent="0.3">
      <c r="A138">
        <v>136</v>
      </c>
      <c r="B138">
        <v>3407</v>
      </c>
      <c r="C138" t="b">
        <v>1</v>
      </c>
      <c r="D138">
        <v>8042</v>
      </c>
      <c r="E138">
        <v>8117</v>
      </c>
      <c r="F138">
        <v>199</v>
      </c>
      <c r="G138">
        <v>191.6</v>
      </c>
      <c r="H138">
        <v>1.0386221</v>
      </c>
      <c r="I138">
        <v>-3.8622096000000002E-2</v>
      </c>
      <c r="J138">
        <v>0.4905274</v>
      </c>
      <c r="K138">
        <f xml:space="preserve"> -55.696 * _2026_04_17_16_25_21_23_high[[#This Row],[coeff]] + 79.57</f>
        <v>21.722903518399995</v>
      </c>
      <c r="L138">
        <f xml:space="preserve"> -55.696 * _2026_04_17_16_25_21_23_high[[#This Row],[coeff]] + 79.57</f>
        <v>21.722903518399995</v>
      </c>
    </row>
    <row r="139" spans="1:12" x14ac:dyDescent="0.3">
      <c r="A139">
        <v>137</v>
      </c>
      <c r="B139">
        <v>3439</v>
      </c>
      <c r="C139" t="b">
        <v>1</v>
      </c>
      <c r="D139">
        <v>8054</v>
      </c>
      <c r="E139">
        <v>8117</v>
      </c>
      <c r="F139">
        <v>200.2</v>
      </c>
      <c r="G139">
        <v>192</v>
      </c>
      <c r="H139">
        <v>1.0427082999999999</v>
      </c>
      <c r="I139">
        <v>-4.2708320000000001E-2</v>
      </c>
      <c r="J139">
        <v>0.48954611999999997</v>
      </c>
      <c r="K139">
        <f xml:space="preserve"> -55.696 * _2026_04_17_16_25_21_23_high[[#This Row],[coeff]] + 79.57</f>
        <v>21.495318523199998</v>
      </c>
      <c r="L139">
        <f xml:space="preserve"> -55.696 * _2026_04_17_16_25_21_23_high[[#This Row],[coeff]] + 79.57</f>
        <v>21.495318523199998</v>
      </c>
    </row>
    <row r="140" spans="1:12" x14ac:dyDescent="0.3">
      <c r="A140">
        <v>138</v>
      </c>
      <c r="B140">
        <v>3454</v>
      </c>
      <c r="C140" t="b">
        <v>1</v>
      </c>
      <c r="D140">
        <v>8042</v>
      </c>
      <c r="E140">
        <v>8129</v>
      </c>
      <c r="F140">
        <v>201</v>
      </c>
      <c r="G140">
        <v>193.2</v>
      </c>
      <c r="H140">
        <v>1.0403727</v>
      </c>
      <c r="I140">
        <v>-4.0372690000000003E-2</v>
      </c>
      <c r="J140">
        <v>0.49010651999999999</v>
      </c>
      <c r="K140">
        <f xml:space="preserve"> -55.696 * _2026_04_17_16_25_21_23_high[[#This Row],[coeff]] + 79.57</f>
        <v>21.625402100799995</v>
      </c>
      <c r="L140">
        <f xml:space="preserve"> -55.696 * _2026_04_17_16_25_21_23_high[[#This Row],[coeff]] + 79.57</f>
        <v>21.625402100799995</v>
      </c>
    </row>
    <row r="141" spans="1:12" x14ac:dyDescent="0.3">
      <c r="A141">
        <v>139</v>
      </c>
      <c r="B141">
        <v>3486</v>
      </c>
      <c r="C141" t="b">
        <v>1</v>
      </c>
      <c r="D141">
        <v>8065</v>
      </c>
      <c r="E141">
        <v>8093</v>
      </c>
      <c r="F141">
        <v>201.33332999999999</v>
      </c>
      <c r="G141">
        <v>194</v>
      </c>
      <c r="H141">
        <v>1.0378007</v>
      </c>
      <c r="I141">
        <v>-3.7800661999999999E-2</v>
      </c>
      <c r="J141">
        <v>0.49072515999999999</v>
      </c>
      <c r="K141">
        <f xml:space="preserve"> -55.696 * _2026_04_17_16_25_21_23_high[[#This Row],[coeff]] + 79.57</f>
        <v>21.768652212799992</v>
      </c>
      <c r="L141">
        <f xml:space="preserve"> -55.696 * _2026_04_17_16_25_21_23_high[[#This Row],[coeff]] + 79.57</f>
        <v>21.768652212799992</v>
      </c>
    </row>
    <row r="142" spans="1:12" x14ac:dyDescent="0.3">
      <c r="A142">
        <v>140</v>
      </c>
      <c r="B142">
        <v>3518</v>
      </c>
      <c r="C142" t="b">
        <v>1</v>
      </c>
      <c r="D142">
        <v>8060</v>
      </c>
      <c r="E142">
        <v>8099</v>
      </c>
      <c r="F142">
        <v>202.46665999999999</v>
      </c>
      <c r="G142">
        <v>195.2</v>
      </c>
      <c r="H142">
        <v>1.0372268</v>
      </c>
      <c r="I142">
        <v>-3.7226755E-2</v>
      </c>
      <c r="J142">
        <v>0.49086338000000002</v>
      </c>
      <c r="K142">
        <f xml:space="preserve"> -55.696 * _2026_04_17_16_25_21_23_high[[#This Row],[coeff]] + 79.57</f>
        <v>21.800616147199996</v>
      </c>
      <c r="L142">
        <f xml:space="preserve"> -55.696 * _2026_04_17_16_25_21_23_high[[#This Row],[coeff]] + 79.57</f>
        <v>21.800616147199996</v>
      </c>
    </row>
    <row r="143" spans="1:12" x14ac:dyDescent="0.3">
      <c r="A143">
        <v>141</v>
      </c>
      <c r="B143">
        <v>3550</v>
      </c>
      <c r="C143" t="b">
        <v>1</v>
      </c>
      <c r="D143">
        <v>8042</v>
      </c>
      <c r="E143">
        <v>8117</v>
      </c>
      <c r="F143">
        <v>203.6</v>
      </c>
      <c r="G143">
        <v>196</v>
      </c>
      <c r="H143">
        <v>1.0387755999999999</v>
      </c>
      <c r="I143">
        <v>-3.8775539999999997E-2</v>
      </c>
      <c r="J143">
        <v>0.4904905</v>
      </c>
      <c r="K143">
        <f xml:space="preserve"> -55.696 * _2026_04_17_16_25_21_23_high[[#This Row],[coeff]] + 79.57</f>
        <v>21.714354182400001</v>
      </c>
      <c r="L143">
        <f xml:space="preserve"> -55.696 * _2026_04_17_16_25_21_23_high[[#This Row],[coeff]] + 79.57</f>
        <v>21.714354182400001</v>
      </c>
    </row>
    <row r="144" spans="1:12" x14ac:dyDescent="0.3">
      <c r="A144">
        <v>142</v>
      </c>
      <c r="B144">
        <v>3581</v>
      </c>
      <c r="C144" t="b">
        <v>1</v>
      </c>
      <c r="D144">
        <v>8042</v>
      </c>
      <c r="E144">
        <v>8123</v>
      </c>
      <c r="F144">
        <v>203.93333000000001</v>
      </c>
      <c r="G144">
        <v>196.4</v>
      </c>
      <c r="H144">
        <v>1.0383571</v>
      </c>
      <c r="I144">
        <v>-3.8357130000000003E-2</v>
      </c>
      <c r="J144">
        <v>0.49059120000000001</v>
      </c>
      <c r="K144">
        <f xml:space="preserve"> -55.696 * _2026_04_17_16_25_21_23_high[[#This Row],[coeff]] + 79.57</f>
        <v>21.737662958399994</v>
      </c>
      <c r="L144">
        <f xml:space="preserve"> -55.696 * _2026_04_17_16_25_21_23_high[[#This Row],[coeff]] + 79.57</f>
        <v>21.737662958399994</v>
      </c>
    </row>
    <row r="145" spans="1:12" x14ac:dyDescent="0.3">
      <c r="A145">
        <v>143</v>
      </c>
      <c r="B145">
        <v>3597</v>
      </c>
      <c r="C145" t="b">
        <v>1</v>
      </c>
      <c r="D145">
        <v>8042</v>
      </c>
      <c r="E145">
        <v>8099</v>
      </c>
      <c r="F145">
        <v>204.26666</v>
      </c>
      <c r="G145">
        <v>195.6</v>
      </c>
      <c r="H145">
        <v>1.0443081000000001</v>
      </c>
      <c r="I145">
        <v>-4.4308060000000003E-2</v>
      </c>
      <c r="J145">
        <v>0.48916306999999998</v>
      </c>
      <c r="K145">
        <f xml:space="preserve"> -55.696 * _2026_04_17_16_25_21_23_high[[#This Row],[coeff]] + 79.57</f>
        <v>21.406216062399992</v>
      </c>
      <c r="L145">
        <f xml:space="preserve"> -55.696 * _2026_04_17_16_25_21_23_high[[#This Row],[coeff]] + 79.57</f>
        <v>21.406216062399992</v>
      </c>
    </row>
    <row r="146" spans="1:12" x14ac:dyDescent="0.3">
      <c r="A146">
        <v>144</v>
      </c>
      <c r="B146">
        <v>3613</v>
      </c>
      <c r="C146" t="b">
        <v>1</v>
      </c>
      <c r="D146">
        <v>8023</v>
      </c>
      <c r="E146">
        <v>8117</v>
      </c>
      <c r="F146">
        <v>204.6</v>
      </c>
      <c r="G146">
        <v>196.4</v>
      </c>
      <c r="H146">
        <v>1.0417516</v>
      </c>
      <c r="I146">
        <v>-4.1751589999999998E-2</v>
      </c>
      <c r="J146">
        <v>0.48977554000000001</v>
      </c>
      <c r="K146">
        <f xml:space="preserve"> -55.696 * _2026_04_17_16_25_21_23_high[[#This Row],[coeff]] + 79.57</f>
        <v>21.548602886399998</v>
      </c>
      <c r="L146">
        <f xml:space="preserve"> -55.696 * _2026_04_17_16_25_21_23_high[[#This Row],[coeff]] + 79.57</f>
        <v>21.548602886399998</v>
      </c>
    </row>
    <row r="147" spans="1:12" x14ac:dyDescent="0.3">
      <c r="A147">
        <v>145</v>
      </c>
      <c r="B147">
        <v>3645</v>
      </c>
      <c r="C147" t="b">
        <v>1</v>
      </c>
      <c r="D147">
        <v>8054</v>
      </c>
      <c r="E147">
        <v>8111</v>
      </c>
      <c r="F147">
        <v>204.93333000000001</v>
      </c>
      <c r="G147">
        <v>197.2</v>
      </c>
      <c r="H147">
        <v>1.0392157</v>
      </c>
      <c r="I147">
        <v>-3.9215706000000003E-2</v>
      </c>
      <c r="J147">
        <v>0.4903846</v>
      </c>
      <c r="K147">
        <f xml:space="preserve"> -55.696 * _2026_04_17_16_25_21_23_high[[#This Row],[coeff]] + 79.57</f>
        <v>21.689842372799994</v>
      </c>
      <c r="L147">
        <f xml:space="preserve"> -55.696 * _2026_04_17_16_25_21_23_high[[#This Row],[coeff]] + 79.57</f>
        <v>21.689842372799994</v>
      </c>
    </row>
    <row r="148" spans="1:12" x14ac:dyDescent="0.3">
      <c r="A148">
        <v>146</v>
      </c>
      <c r="B148">
        <v>3677</v>
      </c>
      <c r="C148" t="b">
        <v>1</v>
      </c>
      <c r="D148">
        <v>8060</v>
      </c>
      <c r="E148">
        <v>8117</v>
      </c>
      <c r="F148">
        <v>205.26666</v>
      </c>
      <c r="G148">
        <v>198</v>
      </c>
      <c r="H148">
        <v>1.0367004</v>
      </c>
      <c r="I148">
        <v>-3.6700315999999997E-2</v>
      </c>
      <c r="J148">
        <v>0.49099025000000002</v>
      </c>
      <c r="K148">
        <f xml:space="preserve"> -55.696 * _2026_04_17_16_25_21_23_high[[#This Row],[coeff]] + 79.57</f>
        <v>21.829934521599995</v>
      </c>
      <c r="L148">
        <f xml:space="preserve"> -55.696 * _2026_04_17_16_25_21_23_high[[#This Row],[coeff]] + 79.57</f>
        <v>21.829934521599995</v>
      </c>
    </row>
    <row r="149" spans="1:12" x14ac:dyDescent="0.3">
      <c r="A149">
        <v>147</v>
      </c>
      <c r="B149">
        <v>3709</v>
      </c>
      <c r="C149" t="b">
        <v>1</v>
      </c>
      <c r="D149">
        <v>8042</v>
      </c>
      <c r="E149">
        <v>8099</v>
      </c>
      <c r="F149">
        <v>205.6</v>
      </c>
      <c r="G149">
        <v>198.4</v>
      </c>
      <c r="H149">
        <v>1.0362903999999999</v>
      </c>
      <c r="I149">
        <v>-3.6290385000000001E-2</v>
      </c>
      <c r="J149">
        <v>0.4910891</v>
      </c>
      <c r="K149">
        <f xml:space="preserve"> -55.696 * _2026_04_17_16_25_21_23_high[[#This Row],[coeff]] + 79.57</f>
        <v>21.852769881599997</v>
      </c>
      <c r="L149">
        <f xml:space="preserve"> -55.696 * _2026_04_17_16_25_21_23_high[[#This Row],[coeff]] + 79.57</f>
        <v>21.852769881599997</v>
      </c>
    </row>
    <row r="150" spans="1:12" x14ac:dyDescent="0.3">
      <c r="A150">
        <v>148</v>
      </c>
      <c r="B150">
        <v>3740</v>
      </c>
      <c r="C150" t="b">
        <v>1</v>
      </c>
      <c r="D150">
        <v>8048</v>
      </c>
      <c r="E150">
        <v>8105</v>
      </c>
      <c r="F150">
        <v>205.6</v>
      </c>
      <c r="G150">
        <v>198.4</v>
      </c>
      <c r="H150">
        <v>1.0362903999999999</v>
      </c>
      <c r="I150">
        <v>-3.6290385000000001E-2</v>
      </c>
      <c r="J150">
        <v>0.4910891</v>
      </c>
      <c r="K150">
        <f xml:space="preserve"> -55.696 * _2026_04_17_16_25_21_23_high[[#This Row],[coeff]] + 79.57</f>
        <v>21.852769881599997</v>
      </c>
      <c r="L150">
        <f xml:space="preserve"> -55.696 * _2026_04_17_16_25_21_23_high[[#This Row],[coeff]] + 79.57</f>
        <v>21.852769881599997</v>
      </c>
    </row>
    <row r="151" spans="1:12" x14ac:dyDescent="0.3">
      <c r="A151">
        <v>149</v>
      </c>
      <c r="B151">
        <v>3772</v>
      </c>
      <c r="C151" t="b">
        <v>1</v>
      </c>
      <c r="D151">
        <v>8023</v>
      </c>
      <c r="E151">
        <v>8129</v>
      </c>
      <c r="F151">
        <v>205.6</v>
      </c>
      <c r="G151">
        <v>198.4</v>
      </c>
      <c r="H151">
        <v>1.0362903999999999</v>
      </c>
      <c r="I151">
        <v>-3.6290385000000001E-2</v>
      </c>
      <c r="J151">
        <v>0.4910891</v>
      </c>
      <c r="K151">
        <f xml:space="preserve"> -55.696 * _2026_04_17_16_25_21_23_high[[#This Row],[coeff]] + 79.57</f>
        <v>21.852769881599997</v>
      </c>
      <c r="L151">
        <f xml:space="preserve"> -55.696 * _2026_04_17_16_25_21_23_high[[#This Row],[coeff]] + 79.57</f>
        <v>21.852769881599997</v>
      </c>
    </row>
    <row r="152" spans="1:12" x14ac:dyDescent="0.3">
      <c r="A152">
        <v>150</v>
      </c>
      <c r="B152">
        <v>3788</v>
      </c>
      <c r="C152" t="b">
        <v>1</v>
      </c>
      <c r="D152">
        <v>8030</v>
      </c>
      <c r="E152">
        <v>8105</v>
      </c>
      <c r="F152">
        <v>205.2</v>
      </c>
      <c r="G152">
        <v>198</v>
      </c>
      <c r="H152">
        <v>1.0363636000000001</v>
      </c>
      <c r="I152">
        <v>-3.6363619999999999E-2</v>
      </c>
      <c r="J152">
        <v>0.49107139999999999</v>
      </c>
      <c r="K152">
        <f xml:space="preserve"> -55.696 * _2026_04_17_16_25_21_23_high[[#This Row],[coeff]] + 79.57</f>
        <v>21.848692934399992</v>
      </c>
      <c r="L152">
        <f xml:space="preserve"> -55.696 * _2026_04_17_16_25_21_23_high[[#This Row],[coeff]] + 79.57</f>
        <v>21.848692934399992</v>
      </c>
    </row>
    <row r="153" spans="1:12" x14ac:dyDescent="0.3">
      <c r="A153">
        <v>151</v>
      </c>
      <c r="B153">
        <v>3803</v>
      </c>
      <c r="C153" t="b">
        <v>1</v>
      </c>
      <c r="D153">
        <v>8048</v>
      </c>
      <c r="E153">
        <v>8105</v>
      </c>
      <c r="F153">
        <v>204.8</v>
      </c>
      <c r="G153">
        <v>197.6</v>
      </c>
      <c r="H153">
        <v>1.0364373</v>
      </c>
      <c r="I153">
        <v>-3.6437232E-2</v>
      </c>
      <c r="J153">
        <v>0.49105367</v>
      </c>
      <c r="K153">
        <f xml:space="preserve"> -55.696 * _2026_04_17_16_25_21_23_high[[#This Row],[coeff]] + 79.57</f>
        <v>21.844588139199992</v>
      </c>
      <c r="L153">
        <f xml:space="preserve"> -55.696 * _2026_04_17_16_25_21_23_high[[#This Row],[coeff]] + 79.57</f>
        <v>21.844588139199992</v>
      </c>
    </row>
    <row r="154" spans="1:12" x14ac:dyDescent="0.3">
      <c r="A154">
        <v>152</v>
      </c>
      <c r="B154">
        <v>3835</v>
      </c>
      <c r="C154" t="b">
        <v>1</v>
      </c>
      <c r="D154">
        <v>8048</v>
      </c>
      <c r="E154">
        <v>8111</v>
      </c>
      <c r="F154">
        <v>204.8</v>
      </c>
      <c r="G154">
        <v>197.2</v>
      </c>
      <c r="H154">
        <v>1.0385394999999999</v>
      </c>
      <c r="I154">
        <v>-3.8539585000000001E-2</v>
      </c>
      <c r="J154">
        <v>0.49054726999999998</v>
      </c>
      <c r="K154">
        <f xml:space="preserve"> -55.696 * _2026_04_17_16_25_21_23_high[[#This Row],[coeff]] + 79.57</f>
        <v>21.727504007999997</v>
      </c>
      <c r="L154">
        <f xml:space="preserve"> -55.696 * _2026_04_17_16_25_21_23_high[[#This Row],[coeff]] + 79.57</f>
        <v>21.727504007999997</v>
      </c>
    </row>
    <row r="155" spans="1:12" x14ac:dyDescent="0.3">
      <c r="A155">
        <v>153</v>
      </c>
      <c r="B155">
        <v>3867</v>
      </c>
      <c r="C155" t="b">
        <v>1</v>
      </c>
      <c r="D155">
        <v>8037</v>
      </c>
      <c r="E155">
        <v>8111</v>
      </c>
      <c r="F155">
        <v>204.46665999999999</v>
      </c>
      <c r="G155">
        <v>196.8</v>
      </c>
      <c r="H155">
        <v>1.0389565999999999</v>
      </c>
      <c r="I155">
        <v>-3.8956586000000001E-2</v>
      </c>
      <c r="J155">
        <v>0.49044693</v>
      </c>
      <c r="K155">
        <f xml:space="preserve"> -55.696 * _2026_04_17_16_25_21_23_high[[#This Row],[coeff]] + 79.57</f>
        <v>21.704273206400003</v>
      </c>
      <c r="L155">
        <f xml:space="preserve"> -55.696 * _2026_04_17_16_25_21_23_high[[#This Row],[coeff]] + 79.57</f>
        <v>21.704273206400003</v>
      </c>
    </row>
    <row r="156" spans="1:12" x14ac:dyDescent="0.3">
      <c r="A156">
        <v>154</v>
      </c>
      <c r="B156">
        <v>3899</v>
      </c>
      <c r="C156" t="b">
        <v>1</v>
      </c>
      <c r="D156">
        <v>8048</v>
      </c>
      <c r="E156">
        <v>8099</v>
      </c>
      <c r="F156">
        <v>204.86667</v>
      </c>
      <c r="G156">
        <v>196</v>
      </c>
      <c r="H156">
        <v>1.0452380999999999</v>
      </c>
      <c r="I156">
        <v>-4.5238107E-2</v>
      </c>
      <c r="J156">
        <v>0.48894062999999999</v>
      </c>
      <c r="K156">
        <f xml:space="preserve"> -55.696 * _2026_04_17_16_25_21_23_high[[#This Row],[coeff]] + 79.57</f>
        <v>21.354418782399996</v>
      </c>
      <c r="L156">
        <f xml:space="preserve"> -55.696 * _2026_04_17_16_25_21_23_high[[#This Row],[coeff]] + 79.57</f>
        <v>21.354418782399996</v>
      </c>
    </row>
    <row r="157" spans="1:12" x14ac:dyDescent="0.3">
      <c r="A157">
        <v>155</v>
      </c>
      <c r="B157">
        <v>3931</v>
      </c>
      <c r="C157" t="b">
        <v>1</v>
      </c>
      <c r="D157">
        <v>8060</v>
      </c>
      <c r="E157">
        <v>8099</v>
      </c>
      <c r="F157">
        <v>204.46665999999999</v>
      </c>
      <c r="G157">
        <v>195.2</v>
      </c>
      <c r="H157">
        <v>1.0474726999999999</v>
      </c>
      <c r="I157">
        <v>-4.7472656000000002E-2</v>
      </c>
      <c r="J157">
        <v>0.48840702000000003</v>
      </c>
      <c r="K157">
        <f xml:space="preserve"> -55.696 * _2026_04_17_16_25_21_23_high[[#This Row],[coeff]] + 79.57</f>
        <v>21.229960500799997</v>
      </c>
      <c r="L157">
        <f xml:space="preserve"> -55.696 * _2026_04_17_16_25_21_23_high[[#This Row],[coeff]] + 79.57</f>
        <v>21.229960500799997</v>
      </c>
    </row>
    <row r="158" spans="1:12" x14ac:dyDescent="0.3">
      <c r="A158">
        <v>156</v>
      </c>
      <c r="B158">
        <v>3947</v>
      </c>
      <c r="C158" t="b">
        <v>1</v>
      </c>
      <c r="D158">
        <v>8042</v>
      </c>
      <c r="E158">
        <v>8111</v>
      </c>
      <c r="F158">
        <v>204.06666999999999</v>
      </c>
      <c r="G158">
        <v>194.8</v>
      </c>
      <c r="H158">
        <v>1.0475700999999999</v>
      </c>
      <c r="I158">
        <v>-4.7570135E-2</v>
      </c>
      <c r="J158">
        <v>0.48838376999999999</v>
      </c>
      <c r="K158">
        <f xml:space="preserve"> -55.696 * _2026_04_17_16_25_21_23_high[[#This Row],[coeff]] + 79.57</f>
        <v>21.224535710399998</v>
      </c>
      <c r="L158">
        <f xml:space="preserve"> -55.696 * _2026_04_17_16_25_21_23_high[[#This Row],[coeff]] + 79.57</f>
        <v>21.224535710399998</v>
      </c>
    </row>
    <row r="159" spans="1:12" x14ac:dyDescent="0.3">
      <c r="A159">
        <v>157</v>
      </c>
      <c r="B159">
        <v>3979</v>
      </c>
      <c r="C159" t="b">
        <v>1</v>
      </c>
      <c r="D159">
        <v>8023</v>
      </c>
      <c r="E159">
        <v>8087</v>
      </c>
      <c r="F159">
        <v>204.06666999999999</v>
      </c>
      <c r="G159">
        <v>193.6</v>
      </c>
      <c r="H159">
        <v>1.0540632999999999</v>
      </c>
      <c r="I159">
        <v>-5.4063324000000003E-2</v>
      </c>
      <c r="J159">
        <v>0.48683989999999999</v>
      </c>
      <c r="K159">
        <f xml:space="preserve"> -55.696 * _2026_04_17_16_25_21_23_high[[#This Row],[coeff]] + 79.57</f>
        <v>20.862890443200001</v>
      </c>
      <c r="L159">
        <f xml:space="preserve"> -55.696 * _2026_04_17_16_25_21_23_high[[#This Row],[coeff]] + 79.57</f>
        <v>20.862890443200001</v>
      </c>
    </row>
    <row r="160" spans="1:12" x14ac:dyDescent="0.3">
      <c r="A160">
        <v>158</v>
      </c>
      <c r="B160">
        <v>3994</v>
      </c>
      <c r="C160" t="b">
        <v>1</v>
      </c>
      <c r="D160">
        <v>8042</v>
      </c>
      <c r="E160">
        <v>8105</v>
      </c>
      <c r="F160">
        <v>204.06666999999999</v>
      </c>
      <c r="G160">
        <v>193.6</v>
      </c>
      <c r="H160">
        <v>1.0540632999999999</v>
      </c>
      <c r="I160">
        <v>-5.4063324000000003E-2</v>
      </c>
      <c r="J160">
        <v>0.48683989999999999</v>
      </c>
      <c r="K160">
        <f xml:space="preserve"> -55.696 * _2026_04_17_16_25_21_23_high[[#This Row],[coeff]] + 79.57</f>
        <v>20.862890443200001</v>
      </c>
      <c r="L160">
        <f xml:space="preserve"> -55.696 * _2026_04_17_16_25_21_23_high[[#This Row],[coeff]] + 79.57</f>
        <v>20.862890443200001</v>
      </c>
    </row>
    <row r="161" spans="1:12" x14ac:dyDescent="0.3">
      <c r="A161">
        <v>159</v>
      </c>
      <c r="B161">
        <v>4010</v>
      </c>
      <c r="C161" t="b">
        <v>1</v>
      </c>
      <c r="D161">
        <v>8030</v>
      </c>
      <c r="E161">
        <v>8105</v>
      </c>
      <c r="F161">
        <v>204.06666999999999</v>
      </c>
      <c r="G161">
        <v>192.8</v>
      </c>
      <c r="H161">
        <v>1.0584370000000001</v>
      </c>
      <c r="I161">
        <v>-5.8437045999999999E-2</v>
      </c>
      <c r="J161">
        <v>0.48580548000000001</v>
      </c>
      <c r="K161">
        <f xml:space="preserve"> -55.696 * _2026_04_17_16_25_21_23_high[[#This Row],[coeff]] + 79.57</f>
        <v>20.619292847999994</v>
      </c>
      <c r="L161">
        <f xml:space="preserve"> -55.696 * _2026_04_17_16_25_21_23_high[[#This Row],[coeff]] + 79.57</f>
        <v>20.619292847999994</v>
      </c>
    </row>
    <row r="162" spans="1:12" x14ac:dyDescent="0.3">
      <c r="A162">
        <v>160</v>
      </c>
      <c r="B162">
        <v>4026</v>
      </c>
      <c r="C162" t="b">
        <v>1</v>
      </c>
      <c r="D162">
        <v>8037</v>
      </c>
      <c r="E162">
        <v>8105</v>
      </c>
      <c r="F162">
        <v>203.73334</v>
      </c>
      <c r="G162">
        <v>192</v>
      </c>
      <c r="H162">
        <v>1.0611111</v>
      </c>
      <c r="I162">
        <v>-6.1111133999999998E-2</v>
      </c>
      <c r="J162">
        <v>0.48517519999999997</v>
      </c>
      <c r="K162">
        <f xml:space="preserve"> -55.696 * _2026_04_17_16_25_21_23_high[[#This Row],[coeff]] + 79.57</f>
        <v>20.470356174399996</v>
      </c>
      <c r="L162">
        <f xml:space="preserve"> -55.696 * _2026_04_17_16_25_21_23_high[[#This Row],[coeff]] + 79.57</f>
        <v>20.470356174399996</v>
      </c>
    </row>
    <row r="163" spans="1:12" x14ac:dyDescent="0.3">
      <c r="A163">
        <v>161</v>
      </c>
      <c r="B163">
        <v>4059</v>
      </c>
      <c r="C163" t="b">
        <v>1</v>
      </c>
      <c r="D163">
        <v>8023</v>
      </c>
      <c r="E163">
        <v>8093</v>
      </c>
      <c r="F163">
        <v>202.93333000000001</v>
      </c>
      <c r="G163">
        <v>191.2</v>
      </c>
      <c r="H163">
        <v>1.0613668000000001</v>
      </c>
      <c r="I163">
        <v>-6.1366829999999997E-2</v>
      </c>
      <c r="J163">
        <v>0.48511502000000001</v>
      </c>
      <c r="K163">
        <f xml:space="preserve"> -55.696 * _2026_04_17_16_25_21_23_high[[#This Row],[coeff]] + 79.57</f>
        <v>20.456114707199994</v>
      </c>
      <c r="L163">
        <f xml:space="preserve"> -55.696 * _2026_04_17_16_25_21_23_high[[#This Row],[coeff]] + 79.57</f>
        <v>20.456114707199994</v>
      </c>
    </row>
    <row r="164" spans="1:12" x14ac:dyDescent="0.3">
      <c r="A164">
        <v>162</v>
      </c>
      <c r="B164">
        <v>4074</v>
      </c>
      <c r="C164" t="b">
        <v>1</v>
      </c>
      <c r="D164">
        <v>8042</v>
      </c>
      <c r="E164">
        <v>8105</v>
      </c>
      <c r="F164">
        <v>202.6</v>
      </c>
      <c r="G164">
        <v>190.8</v>
      </c>
      <c r="H164">
        <v>1.0618448</v>
      </c>
      <c r="I164">
        <v>-6.1844877999999999E-2</v>
      </c>
      <c r="J164">
        <v>0.48500251999999999</v>
      </c>
      <c r="K164">
        <f xml:space="preserve"> -55.696 * _2026_04_17_16_25_21_23_high[[#This Row],[coeff]] + 79.57</f>
        <v>20.429492019199991</v>
      </c>
      <c r="L164">
        <f xml:space="preserve"> -55.696 * _2026_04_17_16_25_21_23_high[[#This Row],[coeff]] + 79.57</f>
        <v>20.429492019199991</v>
      </c>
    </row>
    <row r="165" spans="1:12" x14ac:dyDescent="0.3">
      <c r="A165">
        <v>163</v>
      </c>
      <c r="B165">
        <v>4090</v>
      </c>
      <c r="C165" t="b">
        <v>1</v>
      </c>
      <c r="D165">
        <v>8023</v>
      </c>
      <c r="E165">
        <v>8099</v>
      </c>
      <c r="F165">
        <v>201.4</v>
      </c>
      <c r="G165">
        <v>190.4</v>
      </c>
      <c r="H165">
        <v>1.0577730999999999</v>
      </c>
      <c r="I165">
        <v>-5.7773110000000003E-2</v>
      </c>
      <c r="J165">
        <v>0.48596220000000001</v>
      </c>
      <c r="K165">
        <f xml:space="preserve"> -55.696 * _2026_04_17_16_25_21_23_high[[#This Row],[coeff]] + 79.57</f>
        <v>20.656269422400001</v>
      </c>
      <c r="L165">
        <f xml:space="preserve"> -55.696 * _2026_04_17_16_25_21_23_high[[#This Row],[coeff]] + 79.57</f>
        <v>20.656269422400001</v>
      </c>
    </row>
    <row r="166" spans="1:12" x14ac:dyDescent="0.3">
      <c r="A166">
        <v>164</v>
      </c>
      <c r="B166">
        <v>4121</v>
      </c>
      <c r="C166" t="b">
        <v>1</v>
      </c>
      <c r="D166">
        <v>8037</v>
      </c>
      <c r="E166">
        <v>8111</v>
      </c>
      <c r="F166">
        <v>200.66667000000001</v>
      </c>
      <c r="G166">
        <v>190</v>
      </c>
      <c r="H166">
        <v>1.0561404000000001</v>
      </c>
      <c r="I166">
        <v>-5.6140377999999998E-2</v>
      </c>
      <c r="J166">
        <v>0.48634810000000001</v>
      </c>
      <c r="K166">
        <f xml:space="preserve"> -55.696 * _2026_04_17_16_25_21_23_high[[#This Row],[coeff]] + 79.57</f>
        <v>20.747204281599991</v>
      </c>
      <c r="L166">
        <f xml:space="preserve"> -55.696 * _2026_04_17_16_25_21_23_high[[#This Row],[coeff]] + 79.57</f>
        <v>20.747204281599991</v>
      </c>
    </row>
    <row r="167" spans="1:12" x14ac:dyDescent="0.3">
      <c r="A167">
        <v>165</v>
      </c>
      <c r="B167">
        <v>4137</v>
      </c>
      <c r="C167" t="b">
        <v>1</v>
      </c>
      <c r="D167">
        <v>8030</v>
      </c>
      <c r="E167">
        <v>8099</v>
      </c>
      <c r="F167">
        <v>199.86667</v>
      </c>
      <c r="G167">
        <v>189.6</v>
      </c>
      <c r="H167">
        <v>1.054149</v>
      </c>
      <c r="I167">
        <v>-5.4149059999999999E-2</v>
      </c>
      <c r="J167">
        <v>0.48681960000000002</v>
      </c>
      <c r="K167">
        <f xml:space="preserve"> -55.696 * _2026_04_17_16_25_21_23_high[[#This Row],[coeff]] + 79.57</f>
        <v>20.858117295999996</v>
      </c>
      <c r="L167">
        <f xml:space="preserve"> -55.696 * _2026_04_17_16_25_21_23_high[[#This Row],[coeff]] + 79.57</f>
        <v>20.858117295999996</v>
      </c>
    </row>
    <row r="168" spans="1:12" x14ac:dyDescent="0.3">
      <c r="A168">
        <v>166</v>
      </c>
      <c r="B168">
        <v>4169</v>
      </c>
      <c r="C168" t="b">
        <v>1</v>
      </c>
      <c r="D168">
        <v>8030</v>
      </c>
      <c r="E168">
        <v>8099</v>
      </c>
      <c r="F168">
        <v>199.06666999999999</v>
      </c>
      <c r="G168">
        <v>189.2</v>
      </c>
      <c r="H168">
        <v>1.0521494</v>
      </c>
      <c r="I168">
        <v>-5.214941E-2</v>
      </c>
      <c r="J168">
        <v>0.48729396000000003</v>
      </c>
      <c r="K168">
        <f xml:space="preserve"> -55.696 * _2026_04_17_16_25_21_23_high[[#This Row],[coeff]] + 79.57</f>
        <v>20.969487017599995</v>
      </c>
      <c r="L168">
        <f xml:space="preserve"> -55.696 * _2026_04_17_16_25_21_23_high[[#This Row],[coeff]] + 79.57</f>
        <v>20.969487017599995</v>
      </c>
    </row>
    <row r="169" spans="1:12" x14ac:dyDescent="0.3">
      <c r="A169">
        <v>167</v>
      </c>
      <c r="B169">
        <v>4201</v>
      </c>
      <c r="C169" t="b">
        <v>1</v>
      </c>
      <c r="D169">
        <v>8042</v>
      </c>
      <c r="E169">
        <v>8111</v>
      </c>
      <c r="F169">
        <v>197.86667</v>
      </c>
      <c r="G169">
        <v>188.8</v>
      </c>
      <c r="H169">
        <v>1.0480225999999999</v>
      </c>
      <c r="I169">
        <v>-4.8022594000000002E-2</v>
      </c>
      <c r="J169">
        <v>0.48827586000000001</v>
      </c>
      <c r="K169">
        <f xml:space="preserve"> -55.696 * _2026_04_17_16_25_21_23_high[[#This Row],[coeff]] + 79.57</f>
        <v>21.199333270399997</v>
      </c>
      <c r="L169">
        <f xml:space="preserve"> -55.696 * _2026_04_17_16_25_21_23_high[[#This Row],[coeff]] + 79.57</f>
        <v>21.199333270399997</v>
      </c>
    </row>
    <row r="170" spans="1:12" x14ac:dyDescent="0.3">
      <c r="A170">
        <v>168</v>
      </c>
      <c r="B170">
        <v>4233</v>
      </c>
      <c r="C170" t="b">
        <v>1</v>
      </c>
      <c r="D170">
        <v>8060</v>
      </c>
      <c r="E170">
        <v>8099</v>
      </c>
      <c r="F170">
        <v>197.86667</v>
      </c>
      <c r="G170">
        <v>188</v>
      </c>
      <c r="H170">
        <v>1.0524822</v>
      </c>
      <c r="I170">
        <v>-5.2482279999999999E-2</v>
      </c>
      <c r="J170">
        <v>0.48721492</v>
      </c>
      <c r="K170">
        <f xml:space="preserve"> -55.696 * _2026_04_17_16_25_21_23_high[[#This Row],[coeff]] + 79.57</f>
        <v>20.950951388799993</v>
      </c>
      <c r="L170">
        <f xml:space="preserve"> -55.696 * _2026_04_17_16_25_21_23_high[[#This Row],[coeff]] + 79.57</f>
        <v>20.950951388799993</v>
      </c>
    </row>
    <row r="171" spans="1:12" x14ac:dyDescent="0.3">
      <c r="A171">
        <v>169</v>
      </c>
      <c r="B171">
        <v>4264</v>
      </c>
      <c r="C171" t="b">
        <v>1</v>
      </c>
      <c r="D171">
        <v>8030</v>
      </c>
      <c r="E171">
        <v>8099</v>
      </c>
      <c r="F171">
        <v>196.66667000000001</v>
      </c>
      <c r="G171">
        <v>187.6</v>
      </c>
      <c r="H171">
        <v>1.0483298000000001</v>
      </c>
      <c r="I171">
        <v>-4.8329773999999999E-2</v>
      </c>
      <c r="J171">
        <v>0.48820266000000001</v>
      </c>
      <c r="K171">
        <f xml:space="preserve"> -55.696 * _2026_04_17_16_25_21_23_high[[#This Row],[coeff]] + 79.57</f>
        <v>21.182223459199989</v>
      </c>
      <c r="L171">
        <f xml:space="preserve"> -55.696 * _2026_04_17_16_25_21_23_high[[#This Row],[coeff]] + 79.57</f>
        <v>21.182223459199989</v>
      </c>
    </row>
    <row r="172" spans="1:12" x14ac:dyDescent="0.3">
      <c r="A172">
        <v>170</v>
      </c>
      <c r="B172">
        <v>4280</v>
      </c>
      <c r="C172" t="b">
        <v>1</v>
      </c>
      <c r="D172">
        <v>8042</v>
      </c>
      <c r="E172">
        <v>8152</v>
      </c>
      <c r="F172">
        <v>196.26666</v>
      </c>
      <c r="G172">
        <v>187.2</v>
      </c>
      <c r="H172">
        <v>1.0484331</v>
      </c>
      <c r="I172">
        <v>-4.8433043000000002E-2</v>
      </c>
      <c r="J172">
        <v>0.488178</v>
      </c>
      <c r="K172">
        <f xml:space="preserve"> -55.696 * _2026_04_17_16_25_21_23_high[[#This Row],[coeff]] + 79.57</f>
        <v>21.176470062399993</v>
      </c>
      <c r="L172">
        <f xml:space="preserve"> -55.696 * _2026_04_17_16_25_21_23_high[[#This Row],[coeff]] + 79.57</f>
        <v>21.176470062399993</v>
      </c>
    </row>
    <row r="173" spans="1:12" x14ac:dyDescent="0.3">
      <c r="A173">
        <v>171</v>
      </c>
      <c r="B173">
        <v>4296</v>
      </c>
      <c r="C173" t="b">
        <v>1</v>
      </c>
      <c r="D173">
        <v>8037</v>
      </c>
      <c r="E173">
        <v>8111</v>
      </c>
      <c r="F173">
        <v>195.86667</v>
      </c>
      <c r="G173">
        <v>187.2</v>
      </c>
      <c r="H173">
        <v>1.0462963999999999</v>
      </c>
      <c r="I173">
        <v>-4.6296324999999999E-2</v>
      </c>
      <c r="J173">
        <v>0.48868778000000002</v>
      </c>
      <c r="K173">
        <f xml:space="preserve"> -55.696 * _2026_04_17_16_25_21_23_high[[#This Row],[coeff]] + 79.57</f>
        <v>21.295475705599998</v>
      </c>
      <c r="L173">
        <f xml:space="preserve"> -55.696 * _2026_04_17_16_25_21_23_high[[#This Row],[coeff]] + 79.57</f>
        <v>21.295475705599998</v>
      </c>
    </row>
    <row r="174" spans="1:12" x14ac:dyDescent="0.3">
      <c r="A174">
        <v>172</v>
      </c>
      <c r="B174">
        <v>4312</v>
      </c>
      <c r="C174" t="b">
        <v>1</v>
      </c>
      <c r="D174">
        <v>8037</v>
      </c>
      <c r="E174">
        <v>8117</v>
      </c>
      <c r="F174">
        <v>195.53334000000001</v>
      </c>
      <c r="G174">
        <v>188</v>
      </c>
      <c r="H174">
        <v>1.040071</v>
      </c>
      <c r="I174">
        <v>-4.0070960000000003E-2</v>
      </c>
      <c r="J174">
        <v>0.49017906</v>
      </c>
      <c r="K174">
        <f xml:space="preserve"> -55.696 * _2026_04_17_16_25_21_23_high[[#This Row],[coeff]] + 79.57</f>
        <v>21.642205583999996</v>
      </c>
      <c r="L174">
        <f xml:space="preserve"> -55.696 * _2026_04_17_16_25_21_23_high[[#This Row],[coeff]] + 79.57</f>
        <v>21.642205583999996</v>
      </c>
    </row>
    <row r="175" spans="1:12" x14ac:dyDescent="0.3">
      <c r="A175">
        <v>173</v>
      </c>
      <c r="B175">
        <v>4343</v>
      </c>
      <c r="C175" t="b">
        <v>1</v>
      </c>
      <c r="D175">
        <v>8023</v>
      </c>
      <c r="E175">
        <v>8105</v>
      </c>
      <c r="F175">
        <v>195.2</v>
      </c>
      <c r="G175">
        <v>188.8</v>
      </c>
      <c r="H175">
        <v>1.0338982000000001</v>
      </c>
      <c r="I175">
        <v>-3.3898270000000001E-2</v>
      </c>
      <c r="J175">
        <v>0.49166666999999997</v>
      </c>
      <c r="K175">
        <f xml:space="preserve"> -55.696 * _2026_04_17_16_25_21_23_high[[#This Row],[coeff]] + 79.57</f>
        <v>21.986005852799991</v>
      </c>
      <c r="L175">
        <f xml:space="preserve"> -55.696 * _2026_04_17_16_25_21_23_high[[#This Row],[coeff]] + 79.57</f>
        <v>21.986005852799991</v>
      </c>
    </row>
    <row r="176" spans="1:12" x14ac:dyDescent="0.3">
      <c r="A176">
        <v>174</v>
      </c>
      <c r="B176">
        <v>4375</v>
      </c>
      <c r="C176" t="b">
        <v>1</v>
      </c>
      <c r="D176">
        <v>8037</v>
      </c>
      <c r="E176">
        <v>8117</v>
      </c>
      <c r="F176">
        <v>194.86667</v>
      </c>
      <c r="G176">
        <v>189.6</v>
      </c>
      <c r="H176">
        <v>1.0277778</v>
      </c>
      <c r="I176">
        <v>-2.7777756000000001E-2</v>
      </c>
      <c r="J176">
        <v>0.49315068000000001</v>
      </c>
      <c r="K176">
        <f xml:space="preserve"> -55.696 * _2026_04_17_16_25_21_23_high[[#This Row],[coeff]] + 79.57</f>
        <v>22.326887651199996</v>
      </c>
      <c r="L176">
        <f xml:space="preserve"> -55.696 * _2026_04_17_16_25_21_23_high[[#This Row],[coeff]] + 79.57</f>
        <v>22.326887651199996</v>
      </c>
    </row>
    <row r="177" spans="1:12" x14ac:dyDescent="0.3">
      <c r="A177">
        <v>175</v>
      </c>
      <c r="B177">
        <v>4407</v>
      </c>
      <c r="C177" t="b">
        <v>1</v>
      </c>
      <c r="D177">
        <v>8030</v>
      </c>
      <c r="E177">
        <v>8105</v>
      </c>
      <c r="F177">
        <v>194.86667</v>
      </c>
      <c r="G177">
        <v>190</v>
      </c>
      <c r="H177">
        <v>1.025614</v>
      </c>
      <c r="I177">
        <v>-2.5614046000000001E-2</v>
      </c>
      <c r="J177">
        <v>0.49367747000000001</v>
      </c>
      <c r="K177">
        <f xml:space="preserve"> -55.696 * _2026_04_17_16_25_21_23_high[[#This Row],[coeff]] + 79.57</f>
        <v>22.447402655999994</v>
      </c>
      <c r="L177">
        <f xml:space="preserve"> -55.696 * _2026_04_17_16_25_21_23_high[[#This Row],[coeff]] + 79.57</f>
        <v>22.447402655999994</v>
      </c>
    </row>
    <row r="178" spans="1:12" x14ac:dyDescent="0.3">
      <c r="A178">
        <v>176</v>
      </c>
      <c r="B178">
        <v>4439</v>
      </c>
      <c r="C178" t="b">
        <v>1</v>
      </c>
      <c r="D178">
        <v>8030</v>
      </c>
      <c r="E178">
        <v>8105</v>
      </c>
      <c r="F178">
        <v>194.86667</v>
      </c>
      <c r="G178">
        <v>190</v>
      </c>
      <c r="H178">
        <v>1.025614</v>
      </c>
      <c r="I178">
        <v>-2.5614046000000001E-2</v>
      </c>
      <c r="J178">
        <v>0.49367747000000001</v>
      </c>
      <c r="K178">
        <f xml:space="preserve"> -55.696 * _2026_04_17_16_25_21_23_high[[#This Row],[coeff]] + 79.57</f>
        <v>22.447402655999994</v>
      </c>
      <c r="L178">
        <f xml:space="preserve"> -55.696 * _2026_04_17_16_25_21_23_high[[#This Row],[coeff]] + 79.57</f>
        <v>22.447402655999994</v>
      </c>
    </row>
    <row r="179" spans="1:12" x14ac:dyDescent="0.3">
      <c r="A179">
        <v>177</v>
      </c>
      <c r="B179">
        <v>4470</v>
      </c>
      <c r="C179" t="b">
        <v>1</v>
      </c>
      <c r="D179">
        <v>8054</v>
      </c>
      <c r="E179">
        <v>8105</v>
      </c>
      <c r="F179">
        <v>194.4</v>
      </c>
      <c r="G179">
        <v>190</v>
      </c>
      <c r="H179">
        <v>1.0231577999999999</v>
      </c>
      <c r="I179">
        <v>-2.3157863000000001E-2</v>
      </c>
      <c r="J179">
        <v>0.49427680000000002</v>
      </c>
      <c r="K179">
        <f xml:space="preserve"> -55.696 * _2026_04_17_16_25_21_23_high[[#This Row],[coeff]] + 79.57</f>
        <v>22.584203171200002</v>
      </c>
      <c r="L179">
        <f xml:space="preserve"> -55.696 * _2026_04_17_16_25_21_23_high[[#This Row],[coeff]] + 79.57</f>
        <v>22.584203171200002</v>
      </c>
    </row>
    <row r="180" spans="1:12" x14ac:dyDescent="0.3">
      <c r="A180">
        <v>178</v>
      </c>
      <c r="B180">
        <v>4486</v>
      </c>
      <c r="C180" t="b">
        <v>1</v>
      </c>
      <c r="D180">
        <v>8048</v>
      </c>
      <c r="E180">
        <v>8111</v>
      </c>
      <c r="F180">
        <v>194.86667</v>
      </c>
      <c r="G180">
        <v>190</v>
      </c>
      <c r="H180">
        <v>1.025614</v>
      </c>
      <c r="I180">
        <v>-2.5614046000000001E-2</v>
      </c>
      <c r="J180">
        <v>0.49367747000000001</v>
      </c>
      <c r="K180">
        <f xml:space="preserve"> -55.696 * _2026_04_17_16_25_21_23_high[[#This Row],[coeff]] + 79.57</f>
        <v>22.447402655999994</v>
      </c>
      <c r="L180">
        <f xml:space="preserve"> -55.696 * _2026_04_17_16_25_21_23_high[[#This Row],[coeff]] + 79.57</f>
        <v>22.447402655999994</v>
      </c>
    </row>
    <row r="181" spans="1:12" x14ac:dyDescent="0.3">
      <c r="A181">
        <v>179</v>
      </c>
      <c r="B181">
        <v>4518</v>
      </c>
      <c r="C181" t="b">
        <v>1</v>
      </c>
      <c r="D181">
        <v>8042</v>
      </c>
      <c r="E181">
        <v>8117</v>
      </c>
      <c r="F181">
        <v>195.2</v>
      </c>
      <c r="G181">
        <v>190</v>
      </c>
      <c r="H181">
        <v>1.0273684000000001</v>
      </c>
      <c r="I181">
        <v>-2.7368406000000001E-2</v>
      </c>
      <c r="J181">
        <v>0.49325025</v>
      </c>
      <c r="K181">
        <f xml:space="preserve"> -55.696 * _2026_04_17_16_25_21_23_high[[#This Row],[coeff]] + 79.57</f>
        <v>22.34968959359999</v>
      </c>
      <c r="L181">
        <f xml:space="preserve"> -55.696 * _2026_04_17_16_25_21_23_high[[#This Row],[coeff]] + 79.57</f>
        <v>22.34968959359999</v>
      </c>
    </row>
    <row r="182" spans="1:12" x14ac:dyDescent="0.3">
      <c r="A182">
        <v>180</v>
      </c>
      <c r="B182">
        <v>4550</v>
      </c>
      <c r="C182" t="b">
        <v>1</v>
      </c>
      <c r="D182">
        <v>8023</v>
      </c>
      <c r="E182">
        <v>8123</v>
      </c>
      <c r="F182">
        <v>196</v>
      </c>
      <c r="G182">
        <v>190.8</v>
      </c>
      <c r="H182">
        <v>1.0272536000000001</v>
      </c>
      <c r="I182">
        <v>-2.7253652E-2</v>
      </c>
      <c r="J182">
        <v>0.4932782</v>
      </c>
      <c r="K182">
        <f xml:space="preserve"> -55.696 * _2026_04_17_16_25_21_23_high[[#This Row],[coeff]] + 79.57</f>
        <v>22.356083494399989</v>
      </c>
      <c r="L182">
        <f xml:space="preserve"> -55.696 * _2026_04_17_16_25_21_23_high[[#This Row],[coeff]] + 79.57</f>
        <v>22.356083494399989</v>
      </c>
    </row>
    <row r="183" spans="1:12" x14ac:dyDescent="0.3">
      <c r="A183">
        <v>181</v>
      </c>
      <c r="B183">
        <v>4582</v>
      </c>
      <c r="C183" t="b">
        <v>1</v>
      </c>
      <c r="D183">
        <v>8054</v>
      </c>
      <c r="E183">
        <v>8140</v>
      </c>
      <c r="F183">
        <v>197.2</v>
      </c>
      <c r="G183">
        <v>192</v>
      </c>
      <c r="H183">
        <v>1.0270832999999999</v>
      </c>
      <c r="I183">
        <v>-2.7083316999999999E-2</v>
      </c>
      <c r="J183">
        <v>0.49331960000000002</v>
      </c>
      <c r="K183">
        <f xml:space="preserve"> -55.696 * _2026_04_17_16_25_21_23_high[[#This Row],[coeff]] + 79.57</f>
        <v>22.365568523199997</v>
      </c>
      <c r="L183">
        <f xml:space="preserve"> -55.696 * _2026_04_17_16_25_21_23_high[[#This Row],[coeff]] + 79.57</f>
        <v>22.365568523199997</v>
      </c>
    </row>
    <row r="184" spans="1:12" x14ac:dyDescent="0.3">
      <c r="A184">
        <v>182</v>
      </c>
      <c r="B184">
        <v>4613</v>
      </c>
      <c r="C184" t="b">
        <v>1</v>
      </c>
      <c r="D184">
        <v>8023</v>
      </c>
      <c r="E184">
        <v>8129</v>
      </c>
      <c r="F184">
        <v>198</v>
      </c>
      <c r="G184">
        <v>193.6</v>
      </c>
      <c r="H184">
        <v>1.0227272999999999</v>
      </c>
      <c r="I184">
        <v>-2.2727239999999999E-2</v>
      </c>
      <c r="J184">
        <v>0.49438201999999998</v>
      </c>
      <c r="K184">
        <f xml:space="preserve"> -55.696 * _2026_04_17_16_25_21_23_high[[#This Row],[coeff]] + 79.57</f>
        <v>22.608180299200001</v>
      </c>
      <c r="L184">
        <f xml:space="preserve"> -55.696 * _2026_04_17_16_25_21_23_high[[#This Row],[coeff]] + 79.57</f>
        <v>22.608180299200001</v>
      </c>
    </row>
    <row r="185" spans="1:12" x14ac:dyDescent="0.3">
      <c r="A185">
        <v>183</v>
      </c>
      <c r="B185">
        <v>4629</v>
      </c>
      <c r="C185" t="b">
        <v>1</v>
      </c>
      <c r="D185">
        <v>8037</v>
      </c>
      <c r="E185">
        <v>8117</v>
      </c>
      <c r="F185">
        <v>198</v>
      </c>
      <c r="G185">
        <v>195.2</v>
      </c>
      <c r="H185">
        <v>1.0143443000000001</v>
      </c>
      <c r="I185">
        <v>-1.4344278E-2</v>
      </c>
      <c r="J185">
        <v>0.49643946</v>
      </c>
      <c r="K185">
        <f xml:space="preserve"> -55.696 * _2026_04_17_16_25_21_23_high[[#This Row],[coeff]] + 79.57</f>
        <v>23.075079867199989</v>
      </c>
      <c r="L185">
        <f xml:space="preserve"> -55.696 * _2026_04_17_16_25_21_23_high[[#This Row],[coeff]] + 79.57</f>
        <v>23.075079867199989</v>
      </c>
    </row>
    <row r="186" spans="1:12" x14ac:dyDescent="0.3">
      <c r="A186">
        <v>184</v>
      </c>
      <c r="B186">
        <v>4645</v>
      </c>
      <c r="C186" t="b">
        <v>1</v>
      </c>
      <c r="D186">
        <v>8054</v>
      </c>
      <c r="E186">
        <v>8117</v>
      </c>
      <c r="F186">
        <v>198.46665999999999</v>
      </c>
      <c r="G186">
        <v>196.8</v>
      </c>
      <c r="H186">
        <v>1.0084687000000001</v>
      </c>
      <c r="I186">
        <v>-8.4687825000000008E-3</v>
      </c>
      <c r="J186">
        <v>0.49789171999999998</v>
      </c>
      <c r="K186">
        <f xml:space="preserve"> -55.696 * _2026_04_17_16_25_21_23_high[[#This Row],[coeff]] + 79.57</f>
        <v>23.402327284799988</v>
      </c>
      <c r="L186">
        <f xml:space="preserve"> -55.696 * _2026_04_17_16_25_21_23_high[[#This Row],[coeff]] + 79.57</f>
        <v>23.402327284799988</v>
      </c>
    </row>
    <row r="187" spans="1:12" x14ac:dyDescent="0.3">
      <c r="A187">
        <v>185</v>
      </c>
      <c r="B187">
        <v>4677</v>
      </c>
      <c r="C187" t="b">
        <v>1</v>
      </c>
      <c r="D187">
        <v>8030</v>
      </c>
      <c r="E187">
        <v>8129</v>
      </c>
      <c r="F187">
        <v>198.13333</v>
      </c>
      <c r="G187">
        <v>198.8</v>
      </c>
      <c r="H187">
        <v>0.99664649999999999</v>
      </c>
      <c r="I187">
        <v>3.3534796000000001E-3</v>
      </c>
      <c r="J187">
        <v>0.50083977000000002</v>
      </c>
      <c r="K187">
        <f xml:space="preserve"> -55.696 * _2026_04_17_16_25_21_23_high[[#This Row],[coeff]] + 79.57</f>
        <v>24.060776535999999</v>
      </c>
      <c r="L187">
        <f xml:space="preserve"> -55.696 * _2026_04_17_16_25_21_23_high[[#This Row],[coeff]] + 79.57</f>
        <v>24.060776535999999</v>
      </c>
    </row>
    <row r="188" spans="1:12" x14ac:dyDescent="0.3">
      <c r="A188">
        <v>186</v>
      </c>
      <c r="B188">
        <v>4693</v>
      </c>
      <c r="C188" t="b">
        <v>1</v>
      </c>
      <c r="D188">
        <v>8030</v>
      </c>
      <c r="E188">
        <v>8105</v>
      </c>
      <c r="F188">
        <v>197.33332999999999</v>
      </c>
      <c r="G188">
        <v>199.2</v>
      </c>
      <c r="H188">
        <v>0.99062919999999999</v>
      </c>
      <c r="I188">
        <v>9.370827E-3</v>
      </c>
      <c r="J188">
        <v>0.50235370000000001</v>
      </c>
      <c r="K188">
        <f xml:space="preserve"> -55.696 * _2026_04_17_16_25_21_23_high[[#This Row],[coeff]] + 79.57</f>
        <v>24.395916076799999</v>
      </c>
      <c r="L188">
        <f xml:space="preserve"> -55.696 * _2026_04_17_16_25_21_23_high[[#This Row],[coeff]] + 79.57</f>
        <v>24.395916076799999</v>
      </c>
    </row>
    <row r="189" spans="1:12" x14ac:dyDescent="0.3">
      <c r="A189">
        <v>187</v>
      </c>
      <c r="B189">
        <v>4709</v>
      </c>
      <c r="C189" t="b">
        <v>1</v>
      </c>
      <c r="D189">
        <v>8048</v>
      </c>
      <c r="E189">
        <v>8105</v>
      </c>
      <c r="F189">
        <v>197.33332999999999</v>
      </c>
      <c r="G189">
        <v>199.6</v>
      </c>
      <c r="H189">
        <v>0.98864390000000002</v>
      </c>
      <c r="I189">
        <v>1.1356101E-2</v>
      </c>
      <c r="J189">
        <v>0.50285524000000004</v>
      </c>
      <c r="K189">
        <f xml:space="preserve"> -55.696 * _2026_04_17_16_25_21_23_high[[#This Row],[coeff]] + 79.57</f>
        <v>24.506489345599995</v>
      </c>
      <c r="L189">
        <f xml:space="preserve"> -55.696 * _2026_04_17_16_25_21_23_high[[#This Row],[coeff]] + 79.57</f>
        <v>24.506489345599995</v>
      </c>
    </row>
    <row r="190" spans="1:12" x14ac:dyDescent="0.3">
      <c r="A190">
        <v>188</v>
      </c>
      <c r="B190">
        <v>4741</v>
      </c>
      <c r="C190" t="b">
        <v>1</v>
      </c>
      <c r="D190">
        <v>8048</v>
      </c>
      <c r="E190">
        <v>8111</v>
      </c>
      <c r="F190">
        <v>198.06666999999999</v>
      </c>
      <c r="G190">
        <v>199.6</v>
      </c>
      <c r="H190">
        <v>0.99231789999999997</v>
      </c>
      <c r="I190">
        <v>7.6820660000000004E-3</v>
      </c>
      <c r="J190">
        <v>0.50192789999999998</v>
      </c>
      <c r="K190">
        <f xml:space="preserve"> -55.696 * _2026_04_17_16_25_21_23_high[[#This Row],[coeff]] + 79.57</f>
        <v>24.301862241599999</v>
      </c>
      <c r="L190">
        <f xml:space="preserve"> -55.696 * _2026_04_17_16_25_21_23_high[[#This Row],[coeff]] + 79.57</f>
        <v>24.301862241599999</v>
      </c>
    </row>
    <row r="191" spans="1:12" x14ac:dyDescent="0.3">
      <c r="A191">
        <v>189</v>
      </c>
      <c r="B191">
        <v>4772</v>
      </c>
      <c r="C191" t="b">
        <v>1</v>
      </c>
      <c r="D191">
        <v>8037</v>
      </c>
      <c r="E191">
        <v>8087</v>
      </c>
      <c r="F191">
        <v>198.06666999999999</v>
      </c>
      <c r="G191">
        <v>198.8</v>
      </c>
      <c r="H191">
        <v>0.99631119999999995</v>
      </c>
      <c r="I191">
        <v>3.6888200000000002E-3</v>
      </c>
      <c r="J191">
        <v>0.50092393000000002</v>
      </c>
      <c r="K191">
        <f xml:space="preserve"> -55.696 * _2026_04_17_16_25_21_23_high[[#This Row],[coeff]] + 79.57</f>
        <v>24.079451404799997</v>
      </c>
      <c r="L191">
        <f xml:space="preserve"> -55.696 * _2026_04_17_16_25_21_23_high[[#This Row],[coeff]] + 79.57</f>
        <v>24.079451404799997</v>
      </c>
    </row>
    <row r="192" spans="1:12" x14ac:dyDescent="0.3">
      <c r="A192">
        <v>190</v>
      </c>
      <c r="B192">
        <v>4788</v>
      </c>
      <c r="C192" t="b">
        <v>1</v>
      </c>
      <c r="D192">
        <v>8042</v>
      </c>
      <c r="E192">
        <v>8087</v>
      </c>
      <c r="F192">
        <v>198.4</v>
      </c>
      <c r="G192">
        <v>198.4</v>
      </c>
      <c r="H192">
        <v>1</v>
      </c>
      <c r="I192">
        <v>0</v>
      </c>
      <c r="J192">
        <v>0.5</v>
      </c>
      <c r="K192">
        <f xml:space="preserve"> -55.696 * _2026_04_17_16_25_21_23_high[[#This Row],[coeff]] + 79.57</f>
        <v>23.873999999999995</v>
      </c>
      <c r="L192">
        <f xml:space="preserve"> -55.696 * _2026_04_17_16_25_21_23_high[[#This Row],[coeff]] + 79.57</f>
        <v>23.873999999999995</v>
      </c>
    </row>
    <row r="193" spans="1:12" x14ac:dyDescent="0.3">
      <c r="A193">
        <v>191</v>
      </c>
      <c r="B193">
        <v>4820</v>
      </c>
      <c r="C193" t="b">
        <v>1</v>
      </c>
      <c r="D193">
        <v>8042</v>
      </c>
      <c r="E193">
        <v>8093</v>
      </c>
      <c r="F193">
        <v>199.2</v>
      </c>
      <c r="G193">
        <v>197.6</v>
      </c>
      <c r="H193">
        <v>1.0080971999999999</v>
      </c>
      <c r="I193">
        <v>-8.0971199999999993E-3</v>
      </c>
      <c r="J193">
        <v>0.49798389999999998</v>
      </c>
      <c r="K193">
        <f xml:space="preserve"> -55.696 * _2026_04_17_16_25_21_23_high[[#This Row],[coeff]] + 79.57</f>
        <v>23.423018348799999</v>
      </c>
      <c r="L193">
        <f xml:space="preserve"> -55.696 * _2026_04_17_16_25_21_23_high[[#This Row],[coeff]] + 79.57</f>
        <v>23.423018348799999</v>
      </c>
    </row>
    <row r="194" spans="1:12" x14ac:dyDescent="0.3">
      <c r="A194">
        <v>192</v>
      </c>
      <c r="B194">
        <v>4836</v>
      </c>
      <c r="C194" t="b">
        <v>1</v>
      </c>
      <c r="D194">
        <v>8037</v>
      </c>
      <c r="E194">
        <v>8111</v>
      </c>
      <c r="F194">
        <v>200</v>
      </c>
      <c r="G194">
        <v>196.8</v>
      </c>
      <c r="H194">
        <v>1.0162601</v>
      </c>
      <c r="I194">
        <v>-1.6260146999999999E-2</v>
      </c>
      <c r="J194">
        <v>0.49596778000000002</v>
      </c>
      <c r="K194">
        <f xml:space="preserve"> -55.696 * _2026_04_17_16_25_21_23_high[[#This Row],[coeff]] + 79.57</f>
        <v>22.968377470399993</v>
      </c>
      <c r="L194">
        <f xml:space="preserve"> -55.696 * _2026_04_17_16_25_21_23_high[[#This Row],[coeff]] + 79.57</f>
        <v>22.968377470399993</v>
      </c>
    </row>
    <row r="195" spans="1:12" x14ac:dyDescent="0.3">
      <c r="A195">
        <v>193</v>
      </c>
      <c r="B195">
        <v>4852</v>
      </c>
      <c r="C195" t="b">
        <v>1</v>
      </c>
      <c r="D195">
        <v>8042</v>
      </c>
      <c r="E195">
        <v>8099</v>
      </c>
      <c r="F195">
        <v>200.33332999999999</v>
      </c>
      <c r="G195">
        <v>196</v>
      </c>
      <c r="H195">
        <v>1.0221088</v>
      </c>
      <c r="I195">
        <v>-2.2108816999999999E-2</v>
      </c>
      <c r="J195">
        <v>0.49453323999999999</v>
      </c>
      <c r="K195">
        <f xml:space="preserve"> -55.696 * _2026_04_17_16_25_21_23_high[[#This Row],[coeff]] + 79.57</f>
        <v>22.642628275199996</v>
      </c>
      <c r="L195">
        <f xml:space="preserve"> -55.696 * _2026_04_17_16_25_21_23_high[[#This Row],[coeff]] + 79.57</f>
        <v>22.642628275199996</v>
      </c>
    </row>
    <row r="196" spans="1:12" x14ac:dyDescent="0.3">
      <c r="A196">
        <v>194</v>
      </c>
      <c r="B196">
        <v>4883</v>
      </c>
      <c r="C196" t="b">
        <v>1</v>
      </c>
      <c r="D196">
        <v>8023</v>
      </c>
      <c r="E196">
        <v>8123</v>
      </c>
      <c r="F196">
        <v>200.33332999999999</v>
      </c>
      <c r="G196">
        <v>195.6</v>
      </c>
      <c r="H196">
        <v>1.0241990000000001</v>
      </c>
      <c r="I196">
        <v>-2.4198988000000001E-2</v>
      </c>
      <c r="J196">
        <v>0.49402255</v>
      </c>
      <c r="K196">
        <f xml:space="preserve"> -55.696 * _2026_04_17_16_25_21_23_high[[#This Row],[coeff]] + 79.57</f>
        <v>22.526212495999992</v>
      </c>
      <c r="L196">
        <f xml:space="preserve"> -55.696 * _2026_04_17_16_25_21_23_high[[#This Row],[coeff]] + 79.57</f>
        <v>22.526212495999992</v>
      </c>
    </row>
    <row r="197" spans="1:12" x14ac:dyDescent="0.3">
      <c r="A197">
        <v>195</v>
      </c>
      <c r="B197">
        <v>4915</v>
      </c>
      <c r="C197" t="b">
        <v>1</v>
      </c>
      <c r="D197">
        <v>8042</v>
      </c>
      <c r="E197">
        <v>8123</v>
      </c>
      <c r="F197">
        <v>200.33332999999999</v>
      </c>
      <c r="G197">
        <v>195.6</v>
      </c>
      <c r="H197">
        <v>1.0241990000000001</v>
      </c>
      <c r="I197">
        <v>-2.4198988000000001E-2</v>
      </c>
      <c r="J197">
        <v>0.49402255</v>
      </c>
      <c r="K197">
        <f xml:space="preserve"> -55.696 * _2026_04_17_16_25_21_23_high[[#This Row],[coeff]] + 79.57</f>
        <v>22.526212495999992</v>
      </c>
      <c r="L197">
        <f xml:space="preserve"> -55.696 * _2026_04_17_16_25_21_23_high[[#This Row],[coeff]] + 79.57</f>
        <v>22.526212495999992</v>
      </c>
    </row>
    <row r="198" spans="1:12" x14ac:dyDescent="0.3">
      <c r="A198">
        <v>196</v>
      </c>
      <c r="B198">
        <v>4947</v>
      </c>
      <c r="C198" t="b">
        <v>1</v>
      </c>
      <c r="D198">
        <v>8048</v>
      </c>
      <c r="E198">
        <v>8117</v>
      </c>
      <c r="F198">
        <v>199.93333000000001</v>
      </c>
      <c r="G198">
        <v>195.6</v>
      </c>
      <c r="H198">
        <v>1.022154</v>
      </c>
      <c r="I198">
        <v>-2.2154030000000002E-2</v>
      </c>
      <c r="J198">
        <v>0.49452217999999998</v>
      </c>
      <c r="K198">
        <f xml:space="preserve"> -55.696 * _2026_04_17_16_25_21_23_high[[#This Row],[coeff]] + 79.57</f>
        <v>22.640110815999996</v>
      </c>
      <c r="L198">
        <f xml:space="preserve"> -55.696 * _2026_04_17_16_25_21_23_high[[#This Row],[coeff]] + 79.57</f>
        <v>22.640110815999996</v>
      </c>
    </row>
    <row r="199" spans="1:12" x14ac:dyDescent="0.3">
      <c r="A199">
        <v>197</v>
      </c>
      <c r="B199">
        <v>4978</v>
      </c>
      <c r="C199" t="b">
        <v>1</v>
      </c>
      <c r="D199">
        <v>8030</v>
      </c>
      <c r="E199">
        <v>8111</v>
      </c>
      <c r="F199">
        <v>199.93333000000001</v>
      </c>
      <c r="G199">
        <v>195.2</v>
      </c>
      <c r="H199">
        <v>1.0242486</v>
      </c>
      <c r="I199">
        <v>-2.4248656E-2</v>
      </c>
      <c r="J199">
        <v>0.49401044999999999</v>
      </c>
      <c r="K199">
        <f xml:space="preserve"> -55.696 * _2026_04_17_16_25_21_23_high[[#This Row],[coeff]] + 79.57</f>
        <v>22.523449974399995</v>
      </c>
      <c r="L199">
        <f xml:space="preserve"> -55.696 * _2026_04_17_16_25_21_23_high[[#This Row],[coeff]] + 79.57</f>
        <v>22.523449974399995</v>
      </c>
    </row>
    <row r="200" spans="1:12" x14ac:dyDescent="0.3">
      <c r="A200">
        <v>198</v>
      </c>
      <c r="B200">
        <v>5010</v>
      </c>
      <c r="C200" t="b">
        <v>1</v>
      </c>
      <c r="D200">
        <v>8030</v>
      </c>
      <c r="E200">
        <v>8093</v>
      </c>
      <c r="F200">
        <v>199.46665999999999</v>
      </c>
      <c r="G200">
        <v>194.8</v>
      </c>
      <c r="H200">
        <v>1.0239562</v>
      </c>
      <c r="I200">
        <v>-2.3956142E-2</v>
      </c>
      <c r="J200">
        <v>0.49408184999999999</v>
      </c>
      <c r="K200">
        <f xml:space="preserve"> -55.696 * _2026_04_17_16_25_21_23_high[[#This Row],[coeff]] + 79.57</f>
        <v>22.539735484799998</v>
      </c>
      <c r="L200">
        <f xml:space="preserve"> -55.696 * _2026_04_17_16_25_21_23_high[[#This Row],[coeff]] + 79.57</f>
        <v>22.539735484799998</v>
      </c>
    </row>
    <row r="201" spans="1:12" x14ac:dyDescent="0.3">
      <c r="A201">
        <v>199</v>
      </c>
      <c r="B201">
        <v>5042</v>
      </c>
      <c r="C201" t="b">
        <v>1</v>
      </c>
      <c r="D201">
        <v>8048</v>
      </c>
      <c r="E201">
        <v>8117</v>
      </c>
      <c r="F201">
        <v>199.8</v>
      </c>
      <c r="G201">
        <v>194.4</v>
      </c>
      <c r="H201">
        <v>1.0277778</v>
      </c>
      <c r="I201">
        <v>-2.7777825999999999E-2</v>
      </c>
      <c r="J201">
        <v>0.49315065000000002</v>
      </c>
      <c r="K201">
        <f xml:space="preserve"> -55.696 * _2026_04_17_16_25_21_23_high[[#This Row],[coeff]] + 79.57</f>
        <v>22.326887651199996</v>
      </c>
      <c r="L201">
        <f xml:space="preserve"> -55.696 * _2026_04_17_16_25_21_23_high[[#This Row],[coeff]] + 79.57</f>
        <v>22.326887651199996</v>
      </c>
    </row>
    <row r="202" spans="1:12" x14ac:dyDescent="0.3">
      <c r="A202">
        <v>200</v>
      </c>
      <c r="B202">
        <v>5073</v>
      </c>
      <c r="C202" t="b">
        <v>1</v>
      </c>
      <c r="D202">
        <v>8023</v>
      </c>
      <c r="E202">
        <v>8111</v>
      </c>
      <c r="F202">
        <v>199.33332999999999</v>
      </c>
      <c r="G202">
        <v>193.2</v>
      </c>
      <c r="H202">
        <v>1.0317460000000001</v>
      </c>
      <c r="I202">
        <v>-3.1746021999999999E-2</v>
      </c>
      <c r="J202">
        <v>0.4921875</v>
      </c>
      <c r="K202">
        <f xml:space="preserve"> -55.696 * _2026_04_17_16_25_21_23_high[[#This Row],[coeff]] + 79.57</f>
        <v>22.105874783999994</v>
      </c>
      <c r="L202">
        <f xml:space="preserve"> -55.696 * _2026_04_17_16_25_21_23_high[[#This Row],[coeff]] + 79.57</f>
        <v>22.105874783999994</v>
      </c>
    </row>
    <row r="203" spans="1:12" x14ac:dyDescent="0.3">
      <c r="A203">
        <v>201</v>
      </c>
      <c r="B203">
        <v>5105</v>
      </c>
      <c r="C203" t="b">
        <v>1</v>
      </c>
      <c r="D203">
        <v>8048</v>
      </c>
      <c r="E203">
        <v>8099</v>
      </c>
      <c r="F203">
        <v>199.33332999999999</v>
      </c>
      <c r="G203">
        <v>192.8</v>
      </c>
      <c r="H203">
        <v>1.0338866</v>
      </c>
      <c r="I203">
        <v>-3.388654E-2</v>
      </c>
      <c r="J203">
        <v>0.49166949999999998</v>
      </c>
      <c r="K203">
        <f xml:space="preserve"> -55.696 * _2026_04_17_16_25_21_23_high[[#This Row],[coeff]] + 79.57</f>
        <v>21.986651926399993</v>
      </c>
      <c r="L203">
        <f xml:space="preserve"> -55.696 * _2026_04_17_16_25_21_23_high[[#This Row],[coeff]] + 79.57</f>
        <v>21.986651926399993</v>
      </c>
    </row>
    <row r="204" spans="1:12" x14ac:dyDescent="0.3">
      <c r="A204">
        <v>202</v>
      </c>
      <c r="B204">
        <v>5137</v>
      </c>
      <c r="C204" t="b">
        <v>1</v>
      </c>
      <c r="D204">
        <v>8048</v>
      </c>
      <c r="E204">
        <v>8129</v>
      </c>
      <c r="F204">
        <v>200.06666999999999</v>
      </c>
      <c r="G204">
        <v>192.4</v>
      </c>
      <c r="H204">
        <v>1.0398476000000001</v>
      </c>
      <c r="I204">
        <v>-3.9847568E-2</v>
      </c>
      <c r="J204">
        <v>0.49023267999999998</v>
      </c>
      <c r="K204">
        <f xml:space="preserve"> -55.696 * _2026_04_17_16_25_21_23_high[[#This Row],[coeff]] + 79.57</f>
        <v>21.654648070399993</v>
      </c>
      <c r="L204">
        <f xml:space="preserve"> -55.696 * _2026_04_17_16_25_21_23_high[[#This Row],[coeff]] + 79.57</f>
        <v>21.654648070399993</v>
      </c>
    </row>
    <row r="205" spans="1:12" x14ac:dyDescent="0.3">
      <c r="A205">
        <v>203</v>
      </c>
      <c r="B205">
        <v>5152</v>
      </c>
      <c r="C205" t="b">
        <v>1</v>
      </c>
      <c r="D205">
        <v>8023</v>
      </c>
      <c r="E205">
        <v>8140</v>
      </c>
      <c r="F205">
        <v>200.06666999999999</v>
      </c>
      <c r="G205">
        <v>192.8</v>
      </c>
      <c r="H205">
        <v>1.0376901999999999</v>
      </c>
      <c r="I205">
        <v>-3.769016E-2</v>
      </c>
      <c r="J205">
        <v>0.49075173999999999</v>
      </c>
      <c r="K205">
        <f xml:space="preserve"> -55.696 * _2026_04_17_16_25_21_23_high[[#This Row],[coeff]] + 79.57</f>
        <v>21.7748066208</v>
      </c>
      <c r="L205">
        <f xml:space="preserve"> -55.696 * _2026_04_17_16_25_21_23_high[[#This Row],[coeff]] + 79.57</f>
        <v>21.7748066208</v>
      </c>
    </row>
    <row r="206" spans="1:12" x14ac:dyDescent="0.3">
      <c r="A206">
        <v>204</v>
      </c>
      <c r="B206">
        <v>5184</v>
      </c>
      <c r="C206" t="b">
        <v>1</v>
      </c>
      <c r="D206">
        <v>8017</v>
      </c>
      <c r="E206">
        <v>8134</v>
      </c>
      <c r="F206">
        <v>199.13333</v>
      </c>
      <c r="G206">
        <v>194.4</v>
      </c>
      <c r="H206">
        <v>1.0243485000000001</v>
      </c>
      <c r="I206">
        <v>-2.4348443000000001E-2</v>
      </c>
      <c r="J206">
        <v>0.49398609999999998</v>
      </c>
      <c r="K206">
        <f xml:space="preserve"> -55.696 * _2026_04_17_16_25_21_23_high[[#This Row],[coeff]] + 79.57</f>
        <v>22.517885943999993</v>
      </c>
      <c r="L206">
        <f xml:space="preserve"> -55.696 * _2026_04_17_16_25_21_23_high[[#This Row],[coeff]] + 79.57</f>
        <v>22.517885943999993</v>
      </c>
    </row>
    <row r="207" spans="1:12" x14ac:dyDescent="0.3">
      <c r="A207">
        <v>205</v>
      </c>
      <c r="B207">
        <v>5216</v>
      </c>
      <c r="C207" t="b">
        <v>1</v>
      </c>
      <c r="D207">
        <v>8037</v>
      </c>
      <c r="E207">
        <v>8111</v>
      </c>
      <c r="F207">
        <v>198.8</v>
      </c>
      <c r="G207">
        <v>196</v>
      </c>
      <c r="H207">
        <v>1.0142857000000001</v>
      </c>
      <c r="I207">
        <v>-1.428573E-2</v>
      </c>
      <c r="J207">
        <v>0.4964539</v>
      </c>
      <c r="K207">
        <f xml:space="preserve"> -55.696 * _2026_04_17_16_25_21_23_high[[#This Row],[coeff]] + 79.57</f>
        <v>23.078343652799994</v>
      </c>
      <c r="L207">
        <f xml:space="preserve"> -55.696 * _2026_04_17_16_25_21_23_high[[#This Row],[coeff]] + 79.57</f>
        <v>23.078343652799994</v>
      </c>
    </row>
    <row r="208" spans="1:12" x14ac:dyDescent="0.3">
      <c r="A208">
        <v>206</v>
      </c>
      <c r="B208">
        <v>5248</v>
      </c>
      <c r="C208" t="b">
        <v>1</v>
      </c>
      <c r="D208">
        <v>8030</v>
      </c>
      <c r="E208">
        <v>8146</v>
      </c>
      <c r="F208">
        <v>198</v>
      </c>
      <c r="G208">
        <v>198.73334</v>
      </c>
      <c r="H208">
        <v>0.99630993999999995</v>
      </c>
      <c r="I208">
        <v>3.6900572000000001E-3</v>
      </c>
      <c r="J208">
        <v>0.50092420000000004</v>
      </c>
      <c r="K208">
        <f xml:space="preserve"> -55.696 * _2026_04_17_16_25_21_23_high[[#This Row],[coeff]] + 79.57</f>
        <v>24.079521581759998</v>
      </c>
      <c r="L208">
        <f xml:space="preserve"> -55.696 * _2026_04_17_16_25_21_23_high[[#This Row],[coeff]] + 79.57</f>
        <v>24.079521581759998</v>
      </c>
    </row>
    <row r="209" spans="1:12" x14ac:dyDescent="0.3">
      <c r="A209">
        <v>207</v>
      </c>
      <c r="B209">
        <v>5264</v>
      </c>
      <c r="C209" t="b">
        <v>1</v>
      </c>
      <c r="D209">
        <v>8042</v>
      </c>
      <c r="E209">
        <v>8134</v>
      </c>
      <c r="F209">
        <v>197.2</v>
      </c>
      <c r="G209">
        <v>201.46665999999999</v>
      </c>
      <c r="H209">
        <v>0.97882199999999997</v>
      </c>
      <c r="I209">
        <v>2.1178009000000001E-2</v>
      </c>
      <c r="J209">
        <v>0.5053512</v>
      </c>
      <c r="K209">
        <f xml:space="preserve"> -55.696 * _2026_04_17_16_25_21_23_high[[#This Row],[coeff]] + 79.57</f>
        <v>25.053529888</v>
      </c>
      <c r="L209">
        <f xml:space="preserve"> -55.696 * _2026_04_17_16_25_21_23_high[[#This Row],[coeff]] + 79.57</f>
        <v>25.053529888</v>
      </c>
    </row>
    <row r="210" spans="1:12" x14ac:dyDescent="0.3">
      <c r="A210">
        <v>208</v>
      </c>
      <c r="B210">
        <v>5295</v>
      </c>
      <c r="C210" t="b">
        <v>1</v>
      </c>
      <c r="D210">
        <v>8042</v>
      </c>
      <c r="E210">
        <v>8105</v>
      </c>
      <c r="F210">
        <v>196.86667</v>
      </c>
      <c r="G210">
        <v>204.2</v>
      </c>
      <c r="H210">
        <v>0.96408755000000002</v>
      </c>
      <c r="I210">
        <v>3.5912479999999997E-2</v>
      </c>
      <c r="J210">
        <v>0.50914230000000005</v>
      </c>
      <c r="K210">
        <f xml:space="preserve"> -55.696 * _2026_04_17_16_25_21_23_high[[#This Row],[coeff]] + 79.57</f>
        <v>25.874179815199994</v>
      </c>
      <c r="L210">
        <f xml:space="preserve"> -55.696 * _2026_04_17_16_25_21_23_high[[#This Row],[coeff]] + 79.57</f>
        <v>25.874179815199994</v>
      </c>
    </row>
    <row r="211" spans="1:12" x14ac:dyDescent="0.3">
      <c r="A211">
        <v>209</v>
      </c>
      <c r="B211">
        <v>5311</v>
      </c>
      <c r="C211" t="b">
        <v>1</v>
      </c>
      <c r="D211">
        <v>8054</v>
      </c>
      <c r="E211">
        <v>8134</v>
      </c>
      <c r="F211">
        <v>196.86667</v>
      </c>
      <c r="G211">
        <v>206.53334000000001</v>
      </c>
      <c r="H211">
        <v>0.95319560000000003</v>
      </c>
      <c r="I211">
        <v>4.6804413000000003E-2</v>
      </c>
      <c r="J211">
        <v>0.51198149999999998</v>
      </c>
      <c r="K211">
        <f xml:space="preserve"> -55.696 * _2026_04_17_16_25_21_23_high[[#This Row],[coeff]] + 79.57</f>
        <v>26.480817862399995</v>
      </c>
      <c r="L211">
        <f xml:space="preserve"> -55.696 * _2026_04_17_16_25_21_23_high[[#This Row],[coeff]] + 79.57</f>
        <v>26.480817862399995</v>
      </c>
    </row>
    <row r="212" spans="1:12" x14ac:dyDescent="0.3">
      <c r="A212">
        <v>210</v>
      </c>
      <c r="B212">
        <v>5343</v>
      </c>
      <c r="C212" t="b">
        <v>1</v>
      </c>
      <c r="D212">
        <v>8042</v>
      </c>
      <c r="E212">
        <v>8105</v>
      </c>
      <c r="F212">
        <v>196.86667</v>
      </c>
      <c r="G212">
        <v>208.06666999999999</v>
      </c>
      <c r="H212">
        <v>0.94617110000000004</v>
      </c>
      <c r="I212">
        <v>5.3828887999999998E-2</v>
      </c>
      <c r="J212">
        <v>0.51382939999999999</v>
      </c>
      <c r="K212">
        <f xml:space="preserve"> -55.696 * _2026_04_17_16_25_21_23_high[[#This Row],[coeff]] + 79.57</f>
        <v>26.87205441439999</v>
      </c>
      <c r="L212">
        <f xml:space="preserve"> -55.696 * _2026_04_17_16_25_21_23_high[[#This Row],[coeff]] + 79.57</f>
        <v>26.87205441439999</v>
      </c>
    </row>
    <row r="213" spans="1:12" x14ac:dyDescent="0.3">
      <c r="A213">
        <v>211</v>
      </c>
      <c r="B213">
        <v>5375</v>
      </c>
      <c r="C213" t="b">
        <v>1</v>
      </c>
      <c r="D213">
        <v>8048</v>
      </c>
      <c r="E213">
        <v>8111</v>
      </c>
      <c r="F213">
        <v>196.86667</v>
      </c>
      <c r="G213">
        <v>207.66667000000001</v>
      </c>
      <c r="H213">
        <v>0.94799359999999999</v>
      </c>
      <c r="I213">
        <v>5.2006434999999997E-2</v>
      </c>
      <c r="J213">
        <v>0.51334875999999996</v>
      </c>
      <c r="K213">
        <f xml:space="preserve"> -55.696 * _2026_04_17_16_25_21_23_high[[#This Row],[coeff]] + 79.57</f>
        <v>26.770548454399993</v>
      </c>
      <c r="L213">
        <f xml:space="preserve"> -55.696 * _2026_04_17_16_25_21_23_high[[#This Row],[coeff]] + 79.57</f>
        <v>26.770548454399993</v>
      </c>
    </row>
    <row r="214" spans="1:12" x14ac:dyDescent="0.3">
      <c r="A214">
        <v>212</v>
      </c>
      <c r="B214">
        <v>5406</v>
      </c>
      <c r="C214" t="b">
        <v>1</v>
      </c>
      <c r="D214">
        <v>8048</v>
      </c>
      <c r="E214">
        <v>8117</v>
      </c>
      <c r="F214">
        <v>197.26666</v>
      </c>
      <c r="G214">
        <v>207.26666</v>
      </c>
      <c r="H214">
        <v>0.95175295999999998</v>
      </c>
      <c r="I214">
        <v>4.8247023999999999E-2</v>
      </c>
      <c r="J214">
        <v>0.51235989999999998</v>
      </c>
      <c r="K214">
        <f xml:space="preserve"> -55.696 * _2026_04_17_16_25_21_23_high[[#This Row],[coeff]] + 79.57</f>
        <v>26.561167139839995</v>
      </c>
      <c r="L214">
        <f xml:space="preserve"> -55.696 * _2026_04_17_16_25_21_23_high[[#This Row],[coeff]] + 79.57</f>
        <v>26.561167139839995</v>
      </c>
    </row>
    <row r="215" spans="1:12" x14ac:dyDescent="0.3">
      <c r="A215">
        <v>213</v>
      </c>
      <c r="B215">
        <v>5438</v>
      </c>
      <c r="C215" t="b">
        <v>1</v>
      </c>
      <c r="D215">
        <v>8037</v>
      </c>
      <c r="E215">
        <v>8093</v>
      </c>
      <c r="F215">
        <v>198.46665999999999</v>
      </c>
      <c r="G215">
        <v>206.86667</v>
      </c>
      <c r="H215">
        <v>0.95939410000000003</v>
      </c>
      <c r="I215">
        <v>4.0605910000000002E-2</v>
      </c>
      <c r="J215">
        <v>0.51036185000000001</v>
      </c>
      <c r="K215">
        <f xml:space="preserve"> -55.696 * _2026_04_17_16_25_21_23_high[[#This Row],[coeff]] + 79.57</f>
        <v>26.135586206399992</v>
      </c>
      <c r="L215">
        <f xml:space="preserve"> -55.696 * _2026_04_17_16_25_21_23_high[[#This Row],[coeff]] + 79.57</f>
        <v>26.135586206399992</v>
      </c>
    </row>
    <row r="216" spans="1:12" x14ac:dyDescent="0.3">
      <c r="A216">
        <v>214</v>
      </c>
      <c r="B216">
        <v>5470</v>
      </c>
      <c r="C216" t="b">
        <v>1</v>
      </c>
      <c r="D216">
        <v>8048</v>
      </c>
      <c r="E216">
        <v>8129</v>
      </c>
      <c r="F216">
        <v>198.86667</v>
      </c>
      <c r="G216">
        <v>206.46665999999999</v>
      </c>
      <c r="H216">
        <v>0.9631902</v>
      </c>
      <c r="I216">
        <v>3.6809771999999998E-2</v>
      </c>
      <c r="J216">
        <v>0.50937504</v>
      </c>
      <c r="K216">
        <f xml:space="preserve"> -55.696 * _2026_04_17_16_25_21_23_high[[#This Row],[coeff]] + 79.57</f>
        <v>25.924158620799993</v>
      </c>
      <c r="L216">
        <f xml:space="preserve"> -55.696 * _2026_04_17_16_25_21_23_high[[#This Row],[coeff]] + 79.57</f>
        <v>25.924158620799993</v>
      </c>
    </row>
    <row r="217" spans="1:12" x14ac:dyDescent="0.3">
      <c r="A217">
        <v>215</v>
      </c>
      <c r="B217">
        <v>5501</v>
      </c>
      <c r="C217" t="b">
        <v>1</v>
      </c>
      <c r="D217">
        <v>8054</v>
      </c>
      <c r="E217">
        <v>8081</v>
      </c>
      <c r="F217">
        <v>200.06666999999999</v>
      </c>
      <c r="G217">
        <v>206.46665999999999</v>
      </c>
      <c r="H217">
        <v>0.96900229999999998</v>
      </c>
      <c r="I217">
        <v>3.0997712E-2</v>
      </c>
      <c r="J217">
        <v>0.50787145</v>
      </c>
      <c r="K217">
        <f xml:space="preserve"> -55.696 * _2026_04_17_16_25_21_23_high[[#This Row],[coeff]] + 79.57</f>
        <v>25.600447899199999</v>
      </c>
      <c r="L217">
        <f xml:space="preserve"> -55.696 * _2026_04_17_16_25_21_23_high[[#This Row],[coeff]] + 79.57</f>
        <v>25.600447899199999</v>
      </c>
    </row>
    <row r="218" spans="1:12" x14ac:dyDescent="0.3">
      <c r="A218">
        <v>216</v>
      </c>
      <c r="B218">
        <v>5533</v>
      </c>
      <c r="C218" t="b">
        <v>1</v>
      </c>
      <c r="D218">
        <v>8023</v>
      </c>
      <c r="E218">
        <v>8117</v>
      </c>
      <c r="F218">
        <v>201.26666</v>
      </c>
      <c r="G218">
        <v>206.86667</v>
      </c>
      <c r="H218">
        <v>0.97292940000000006</v>
      </c>
      <c r="I218">
        <v>2.7070606000000001E-2</v>
      </c>
      <c r="J218">
        <v>0.50686050000000005</v>
      </c>
      <c r="K218">
        <f xml:space="preserve"> -55.696 * _2026_04_17_16_25_21_23_high[[#This Row],[coeff]] + 79.57</f>
        <v>25.381724137599996</v>
      </c>
      <c r="L218">
        <f xml:space="preserve"> -55.696 * _2026_04_17_16_25_21_23_high[[#This Row],[coeff]] + 79.57</f>
        <v>25.381724137599996</v>
      </c>
    </row>
    <row r="219" spans="1:12" x14ac:dyDescent="0.3">
      <c r="A219">
        <v>217</v>
      </c>
      <c r="B219">
        <v>5564</v>
      </c>
      <c r="C219" t="b">
        <v>1</v>
      </c>
      <c r="D219">
        <v>8048</v>
      </c>
      <c r="E219">
        <v>8111</v>
      </c>
      <c r="F219">
        <v>201.26666</v>
      </c>
      <c r="G219">
        <v>206.86667</v>
      </c>
      <c r="H219">
        <v>0.97292940000000006</v>
      </c>
      <c r="I219">
        <v>2.7070606000000001E-2</v>
      </c>
      <c r="J219">
        <v>0.50686050000000005</v>
      </c>
      <c r="K219">
        <f xml:space="preserve"> -55.696 * _2026_04_17_16_25_21_23_high[[#This Row],[coeff]] + 79.57</f>
        <v>25.381724137599996</v>
      </c>
      <c r="L219">
        <f xml:space="preserve"> -55.696 * _2026_04_17_16_25_21_23_high[[#This Row],[coeff]] + 79.57</f>
        <v>25.381724137599996</v>
      </c>
    </row>
    <row r="220" spans="1:12" x14ac:dyDescent="0.3">
      <c r="A220">
        <v>218</v>
      </c>
      <c r="B220">
        <v>5580</v>
      </c>
      <c r="C220" t="b">
        <v>1</v>
      </c>
      <c r="D220">
        <v>8037</v>
      </c>
      <c r="E220">
        <v>8099</v>
      </c>
      <c r="F220">
        <v>201.26666</v>
      </c>
      <c r="G220">
        <v>206.46665999999999</v>
      </c>
      <c r="H220">
        <v>0.97481435999999999</v>
      </c>
      <c r="I220">
        <v>2.518565E-2</v>
      </c>
      <c r="J220">
        <v>0.50637670000000001</v>
      </c>
      <c r="K220">
        <f xml:space="preserve"> -55.696 * _2026_04_17_16_25_21_23_high[[#This Row],[coeff]] + 79.57</f>
        <v>25.276739405439997</v>
      </c>
      <c r="L220">
        <f xml:space="preserve"> -55.696 * _2026_04_17_16_25_21_23_high[[#This Row],[coeff]] + 79.57</f>
        <v>25.276739405439997</v>
      </c>
    </row>
    <row r="221" spans="1:12" x14ac:dyDescent="0.3">
      <c r="A221">
        <v>219</v>
      </c>
      <c r="B221">
        <v>5596</v>
      </c>
      <c r="C221" t="b">
        <v>1</v>
      </c>
      <c r="D221">
        <v>8037</v>
      </c>
      <c r="E221">
        <v>8111</v>
      </c>
      <c r="F221">
        <v>202.2</v>
      </c>
      <c r="G221">
        <v>205.26666</v>
      </c>
      <c r="H221">
        <v>0.98506009999999999</v>
      </c>
      <c r="I221">
        <v>1.4939911E-2</v>
      </c>
      <c r="J221">
        <v>0.50376310000000002</v>
      </c>
      <c r="K221">
        <f xml:space="preserve"> -55.696 * _2026_04_17_16_25_21_23_high[[#This Row],[coeff]] + 79.57</f>
        <v>24.706092670399997</v>
      </c>
      <c r="L221">
        <f xml:space="preserve"> -55.696 * _2026_04_17_16_25_21_23_high[[#This Row],[coeff]] + 79.57</f>
        <v>24.706092670399997</v>
      </c>
    </row>
    <row r="222" spans="1:12" x14ac:dyDescent="0.3">
      <c r="A222">
        <v>220</v>
      </c>
      <c r="B222">
        <v>5627</v>
      </c>
      <c r="C222" t="b">
        <v>1</v>
      </c>
      <c r="D222">
        <v>8048</v>
      </c>
      <c r="E222">
        <v>8123</v>
      </c>
      <c r="F222">
        <v>202.2</v>
      </c>
      <c r="G222">
        <v>204.06666999999999</v>
      </c>
      <c r="H222">
        <v>0.99085265</v>
      </c>
      <c r="I222">
        <v>9.1473479999999996E-3</v>
      </c>
      <c r="J222">
        <v>0.50229734000000004</v>
      </c>
      <c r="K222">
        <f xml:space="preserve"> -55.696 * _2026_04_17_16_25_21_23_high[[#This Row],[coeff]] + 79.57</f>
        <v>24.383470805599998</v>
      </c>
      <c r="L222">
        <f xml:space="preserve"> -55.696 * _2026_04_17_16_25_21_23_high[[#This Row],[coeff]] + 79.57</f>
        <v>24.383470805599998</v>
      </c>
    </row>
    <row r="223" spans="1:12" x14ac:dyDescent="0.3">
      <c r="A223">
        <v>221</v>
      </c>
      <c r="B223">
        <v>5643</v>
      </c>
      <c r="C223" t="b">
        <v>1</v>
      </c>
      <c r="D223">
        <v>8030</v>
      </c>
      <c r="E223">
        <v>8111</v>
      </c>
      <c r="F223">
        <v>202.66667000000001</v>
      </c>
      <c r="G223">
        <v>202.53334000000001</v>
      </c>
      <c r="H223">
        <v>1.0006583</v>
      </c>
      <c r="I223">
        <v>-6.5831775999999995E-4</v>
      </c>
      <c r="J223">
        <v>0.49983546000000001</v>
      </c>
      <c r="K223">
        <f xml:space="preserve"> -55.696 * _2026_04_17_16_25_21_23_high[[#This Row],[coeff]] + 79.57</f>
        <v>23.837335323199994</v>
      </c>
      <c r="L223">
        <f xml:space="preserve"> -55.696 * _2026_04_17_16_25_21_23_high[[#This Row],[coeff]] + 79.57</f>
        <v>23.837335323199994</v>
      </c>
    </row>
    <row r="224" spans="1:12" x14ac:dyDescent="0.3">
      <c r="A224">
        <v>222</v>
      </c>
      <c r="B224">
        <v>5659</v>
      </c>
      <c r="C224" t="b">
        <v>1</v>
      </c>
      <c r="D224">
        <v>8042</v>
      </c>
      <c r="E224">
        <v>8105</v>
      </c>
      <c r="F224">
        <v>203.13333</v>
      </c>
      <c r="G224">
        <v>201</v>
      </c>
      <c r="H224">
        <v>1.0106135999999999</v>
      </c>
      <c r="I224">
        <v>-1.0613589E-2</v>
      </c>
      <c r="J224">
        <v>0.49736061999999998</v>
      </c>
      <c r="K224">
        <f xml:space="preserve"> -55.696 * _2026_04_17_16_25_21_23_high[[#This Row],[coeff]] + 79.57</f>
        <v>23.282864934400003</v>
      </c>
      <c r="L224">
        <f xml:space="preserve"> -55.696 * _2026_04_17_16_25_21_23_high[[#This Row],[coeff]] + 79.57</f>
        <v>23.282864934400003</v>
      </c>
    </row>
    <row r="225" spans="1:12" x14ac:dyDescent="0.3">
      <c r="A225">
        <v>223</v>
      </c>
      <c r="B225">
        <v>5675</v>
      </c>
      <c r="C225" t="b">
        <v>1</v>
      </c>
      <c r="D225">
        <v>8060</v>
      </c>
      <c r="E225">
        <v>8099</v>
      </c>
      <c r="F225">
        <v>203.46665999999999</v>
      </c>
      <c r="G225">
        <v>199.46665999999999</v>
      </c>
      <c r="H225">
        <v>1.0200534999999999</v>
      </c>
      <c r="I225">
        <v>-2.0053476000000001E-2</v>
      </c>
      <c r="J225">
        <v>0.49503639999999999</v>
      </c>
      <c r="K225">
        <f xml:space="preserve"> -55.696 * _2026_04_17_16_25_21_23_high[[#This Row],[coeff]] + 79.57</f>
        <v>22.757100264000002</v>
      </c>
      <c r="L225">
        <f xml:space="preserve"> -55.696 * _2026_04_17_16_25_21_23_high[[#This Row],[coeff]] + 79.57</f>
        <v>22.757100264000002</v>
      </c>
    </row>
    <row r="226" spans="1:12" x14ac:dyDescent="0.3">
      <c r="A226">
        <v>224</v>
      </c>
      <c r="B226">
        <v>5691</v>
      </c>
      <c r="C226" t="b">
        <v>1</v>
      </c>
      <c r="D226">
        <v>8037</v>
      </c>
      <c r="E226">
        <v>8111</v>
      </c>
      <c r="F226">
        <v>203.46665999999999</v>
      </c>
      <c r="G226">
        <v>197.93333000000001</v>
      </c>
      <c r="H226">
        <v>1.0279555</v>
      </c>
      <c r="I226">
        <v>-2.7955499000000002E-2</v>
      </c>
      <c r="J226">
        <v>0.49310746999999999</v>
      </c>
      <c r="K226">
        <f xml:space="preserve"> -55.696 * _2026_04_17_16_25_21_23_high[[#This Row],[coeff]] + 79.57</f>
        <v>22.316990471999993</v>
      </c>
      <c r="L226">
        <f xml:space="preserve"> -55.696 * _2026_04_17_16_25_21_23_high[[#This Row],[coeff]] + 79.57</f>
        <v>22.316990471999993</v>
      </c>
    </row>
    <row r="227" spans="1:12" x14ac:dyDescent="0.3">
      <c r="A227">
        <v>225</v>
      </c>
      <c r="B227">
        <v>5707</v>
      </c>
      <c r="C227" t="b">
        <v>1</v>
      </c>
      <c r="D227">
        <v>8030</v>
      </c>
      <c r="E227">
        <v>8105</v>
      </c>
      <c r="F227">
        <v>203.13333</v>
      </c>
      <c r="G227">
        <v>196</v>
      </c>
      <c r="H227">
        <v>1.0363945999999999</v>
      </c>
      <c r="I227">
        <v>-3.6394547999999999E-2</v>
      </c>
      <c r="J227">
        <v>0.49106398000000001</v>
      </c>
      <c r="K227">
        <f xml:space="preserve"> -55.696 * _2026_04_17_16_25_21_23_high[[#This Row],[coeff]] + 79.57</f>
        <v>21.846966358399996</v>
      </c>
      <c r="L227">
        <f xml:space="preserve"> -55.696 * _2026_04_17_16_25_21_23_high[[#This Row],[coeff]] + 79.57</f>
        <v>21.846966358399996</v>
      </c>
    </row>
    <row r="228" spans="1:12" x14ac:dyDescent="0.3">
      <c r="A228">
        <v>226</v>
      </c>
      <c r="B228">
        <v>5739</v>
      </c>
      <c r="C228" t="b">
        <v>1</v>
      </c>
      <c r="D228">
        <v>8017</v>
      </c>
      <c r="E228">
        <v>8140</v>
      </c>
      <c r="F228">
        <v>202.8</v>
      </c>
      <c r="G228">
        <v>195.6</v>
      </c>
      <c r="H228">
        <v>1.0368097999999999</v>
      </c>
      <c r="I228">
        <v>-3.6809799999999997E-2</v>
      </c>
      <c r="J228">
        <v>0.49096384999999998</v>
      </c>
      <c r="K228">
        <f xml:space="preserve"> -55.696 * _2026_04_17_16_25_21_23_high[[#This Row],[coeff]] + 79.57</f>
        <v>21.823841379200005</v>
      </c>
      <c r="L228">
        <f xml:space="preserve"> -55.696 * _2026_04_17_16_25_21_23_high[[#This Row],[coeff]] + 79.57</f>
        <v>21.823841379200005</v>
      </c>
    </row>
    <row r="229" spans="1:12" x14ac:dyDescent="0.3">
      <c r="A229">
        <v>227</v>
      </c>
      <c r="B229">
        <v>5755</v>
      </c>
      <c r="C229" t="b">
        <v>1</v>
      </c>
      <c r="D229">
        <v>8048</v>
      </c>
      <c r="E229">
        <v>8105</v>
      </c>
      <c r="F229">
        <v>202.06666999999999</v>
      </c>
      <c r="G229">
        <v>195.2</v>
      </c>
      <c r="H229">
        <v>1.0351775999999999</v>
      </c>
      <c r="I229">
        <v>-3.5177607E-2</v>
      </c>
      <c r="J229">
        <v>0.49135760000000001</v>
      </c>
      <c r="K229">
        <f xml:space="preserve"> -55.696 * _2026_04_17_16_25_21_23_high[[#This Row],[coeff]] + 79.57</f>
        <v>21.9147483904</v>
      </c>
      <c r="L229">
        <f xml:space="preserve"> -55.696 * _2026_04_17_16_25_21_23_high[[#This Row],[coeff]] + 79.57</f>
        <v>21.9147483904</v>
      </c>
    </row>
    <row r="230" spans="1:12" x14ac:dyDescent="0.3">
      <c r="A230">
        <v>228</v>
      </c>
      <c r="B230">
        <v>5786</v>
      </c>
      <c r="C230" t="b">
        <v>1</v>
      </c>
      <c r="D230">
        <v>8054</v>
      </c>
      <c r="E230">
        <v>8099</v>
      </c>
      <c r="F230">
        <v>201.33332999999999</v>
      </c>
      <c r="G230">
        <v>194.8</v>
      </c>
      <c r="H230">
        <v>1.0335386</v>
      </c>
      <c r="I230">
        <v>-3.353863E-2</v>
      </c>
      <c r="J230">
        <v>0.49175363999999999</v>
      </c>
      <c r="K230">
        <f xml:space="preserve"> -55.696 * _2026_04_17_16_25_21_23_high[[#This Row],[coeff]] + 79.57</f>
        <v>22.006034134399997</v>
      </c>
      <c r="L230">
        <f xml:space="preserve"> -55.696 * _2026_04_17_16_25_21_23_high[[#This Row],[coeff]] + 79.57</f>
        <v>22.006034134399997</v>
      </c>
    </row>
    <row r="231" spans="1:12" x14ac:dyDescent="0.3">
      <c r="A231">
        <v>229</v>
      </c>
      <c r="B231">
        <v>5818</v>
      </c>
      <c r="C231" t="b">
        <v>1</v>
      </c>
      <c r="D231">
        <v>8030</v>
      </c>
      <c r="E231">
        <v>8099</v>
      </c>
      <c r="F231">
        <v>200.13333</v>
      </c>
      <c r="G231">
        <v>194.4</v>
      </c>
      <c r="H231">
        <v>1.0294924999999999</v>
      </c>
      <c r="I231">
        <v>-2.9492477E-2</v>
      </c>
      <c r="J231">
        <v>0.49273401</v>
      </c>
      <c r="K231">
        <f xml:space="preserve"> -55.696 * _2026_04_17_16_25_21_23_high[[#This Row],[coeff]] + 79.57</f>
        <v>22.231385719999999</v>
      </c>
      <c r="L231">
        <f xml:space="preserve"> -55.696 * _2026_04_17_16_25_21_23_high[[#This Row],[coeff]] + 79.57</f>
        <v>22.231385719999999</v>
      </c>
    </row>
    <row r="232" spans="1:12" x14ac:dyDescent="0.3">
      <c r="A232">
        <v>230</v>
      </c>
      <c r="B232">
        <v>5851</v>
      </c>
      <c r="C232" t="b">
        <v>1</v>
      </c>
      <c r="D232">
        <v>8048</v>
      </c>
      <c r="E232">
        <v>8099</v>
      </c>
      <c r="F232">
        <v>200.13333</v>
      </c>
      <c r="G232">
        <v>193.6</v>
      </c>
      <c r="H232">
        <v>1.0337464999999999</v>
      </c>
      <c r="I232">
        <v>-3.3746513999999998E-2</v>
      </c>
      <c r="J232">
        <v>0.49170335999999998</v>
      </c>
      <c r="K232">
        <f xml:space="preserve"> -55.696 * _2026_04_17_16_25_21_23_high[[#This Row],[coeff]] + 79.57</f>
        <v>21.994454936000004</v>
      </c>
      <c r="L232">
        <f xml:space="preserve"> -55.696 * _2026_04_17_16_25_21_23_high[[#This Row],[coeff]] + 79.57</f>
        <v>21.994454936000004</v>
      </c>
    </row>
    <row r="233" spans="1:12" x14ac:dyDescent="0.3">
      <c r="A233">
        <v>231</v>
      </c>
      <c r="B233">
        <v>5890</v>
      </c>
      <c r="C233" t="b">
        <v>1</v>
      </c>
      <c r="D233">
        <v>8042</v>
      </c>
      <c r="E233">
        <v>8129</v>
      </c>
      <c r="F233">
        <v>200.13333</v>
      </c>
      <c r="G233">
        <v>192.4</v>
      </c>
      <c r="H233">
        <v>1.0401940000000001</v>
      </c>
      <c r="I233">
        <v>-4.0194064000000002E-2</v>
      </c>
      <c r="J233">
        <v>0.49014943999999999</v>
      </c>
      <c r="K233">
        <f xml:space="preserve"> -55.696 * _2026_04_17_16_25_21_23_high[[#This Row],[coeff]] + 79.57</f>
        <v>21.635354975999995</v>
      </c>
      <c r="L233">
        <f xml:space="preserve"> -55.696 * _2026_04_17_16_25_21_23_high[[#This Row],[coeff]] + 79.57</f>
        <v>21.635354975999995</v>
      </c>
    </row>
    <row r="234" spans="1:12" x14ac:dyDescent="0.3">
      <c r="A234">
        <v>232</v>
      </c>
      <c r="B234">
        <v>5922</v>
      </c>
      <c r="C234" t="b">
        <v>1</v>
      </c>
      <c r="D234">
        <v>8042</v>
      </c>
      <c r="E234">
        <v>8093</v>
      </c>
      <c r="F234">
        <v>199.73334</v>
      </c>
      <c r="G234">
        <v>191.6</v>
      </c>
      <c r="H234">
        <v>1.0424496000000001</v>
      </c>
      <c r="I234">
        <v>-4.2449533999999997E-2</v>
      </c>
      <c r="J234">
        <v>0.48960817000000001</v>
      </c>
      <c r="K234">
        <f xml:space="preserve"> -55.696 * _2026_04_17_16_25_21_23_high[[#This Row],[coeff]] + 79.57</f>
        <v>21.50972707839999</v>
      </c>
      <c r="L234">
        <f xml:space="preserve"> -55.696 * _2026_04_17_16_25_21_23_high[[#This Row],[coeff]] + 79.57</f>
        <v>21.50972707839999</v>
      </c>
    </row>
    <row r="235" spans="1:12" x14ac:dyDescent="0.3">
      <c r="A235">
        <v>233</v>
      </c>
      <c r="B235">
        <v>5954</v>
      </c>
      <c r="C235" t="b">
        <v>1</v>
      </c>
      <c r="D235">
        <v>8042</v>
      </c>
      <c r="E235">
        <v>8105</v>
      </c>
      <c r="F235">
        <v>199.33332999999999</v>
      </c>
      <c r="G235">
        <v>190.8</v>
      </c>
      <c r="H235">
        <v>1.0447238999999999</v>
      </c>
      <c r="I235">
        <v>-4.4723923999999998E-2</v>
      </c>
      <c r="J235">
        <v>0.48906359999999999</v>
      </c>
      <c r="K235">
        <f xml:space="preserve"> -55.696 * _2026_04_17_16_25_21_23_high[[#This Row],[coeff]] + 79.57</f>
        <v>21.383057665599999</v>
      </c>
      <c r="L235">
        <f xml:space="preserve"> -55.696 * _2026_04_17_16_25_21_23_high[[#This Row],[coeff]] + 79.57</f>
        <v>21.383057665599999</v>
      </c>
    </row>
    <row r="236" spans="1:12" x14ac:dyDescent="0.3">
      <c r="A236">
        <v>234</v>
      </c>
      <c r="B236">
        <v>5986</v>
      </c>
      <c r="C236" t="b">
        <v>1</v>
      </c>
      <c r="D236">
        <v>8037</v>
      </c>
      <c r="E236">
        <v>8105</v>
      </c>
      <c r="F236">
        <v>199.66667000000001</v>
      </c>
      <c r="G236">
        <v>190.4</v>
      </c>
      <c r="H236">
        <v>1.0486696</v>
      </c>
      <c r="I236">
        <v>-4.8669530000000003E-2</v>
      </c>
      <c r="J236">
        <v>0.48812169999999999</v>
      </c>
      <c r="K236">
        <f xml:space="preserve"> -55.696 * _2026_04_17_16_25_21_23_high[[#This Row],[coeff]] + 79.57</f>
        <v>21.163297958399994</v>
      </c>
      <c r="L236">
        <f xml:space="preserve"> -55.696 * _2026_04_17_16_25_21_23_high[[#This Row],[coeff]] + 79.57</f>
        <v>21.163297958399994</v>
      </c>
    </row>
    <row r="237" spans="1:12" x14ac:dyDescent="0.3">
      <c r="A237">
        <v>235</v>
      </c>
      <c r="B237">
        <v>6019</v>
      </c>
      <c r="C237" t="b">
        <v>1</v>
      </c>
      <c r="D237">
        <v>8042</v>
      </c>
      <c r="E237">
        <v>8099</v>
      </c>
      <c r="F237">
        <v>200</v>
      </c>
      <c r="G237">
        <v>190</v>
      </c>
      <c r="H237">
        <v>1.0526316</v>
      </c>
      <c r="I237">
        <v>-5.2631579999999997E-2</v>
      </c>
      <c r="J237">
        <v>0.48717949999999999</v>
      </c>
      <c r="K237">
        <f xml:space="preserve"> -55.696 * _2026_04_17_16_25_21_23_high[[#This Row],[coeff]] + 79.57</f>
        <v>20.942630406399992</v>
      </c>
      <c r="L237">
        <f xml:space="preserve"> -55.696 * _2026_04_17_16_25_21_23_high[[#This Row],[coeff]] + 79.57</f>
        <v>20.942630406399992</v>
      </c>
    </row>
    <row r="238" spans="1:12" x14ac:dyDescent="0.3">
      <c r="A238">
        <v>236</v>
      </c>
      <c r="B238">
        <v>6049</v>
      </c>
      <c r="C238" t="b">
        <v>1</v>
      </c>
      <c r="D238">
        <v>8054</v>
      </c>
      <c r="E238">
        <v>8105</v>
      </c>
      <c r="F238">
        <v>200.33332999999999</v>
      </c>
      <c r="G238">
        <v>189.6</v>
      </c>
      <c r="H238">
        <v>1.0566103</v>
      </c>
      <c r="I238">
        <v>-5.6610345999999999E-2</v>
      </c>
      <c r="J238">
        <v>0.48623696</v>
      </c>
      <c r="K238">
        <f xml:space="preserve"> -55.696 * _2026_04_17_16_25_21_23_high[[#This Row],[coeff]] + 79.57</f>
        <v>20.721032731199998</v>
      </c>
      <c r="L238">
        <f xml:space="preserve"> -55.696 * _2026_04_17_16_25_21_23_high[[#This Row],[coeff]] + 79.57</f>
        <v>20.721032731199998</v>
      </c>
    </row>
    <row r="239" spans="1:12" x14ac:dyDescent="0.3">
      <c r="A239">
        <v>237</v>
      </c>
      <c r="B239">
        <v>6081</v>
      </c>
      <c r="C239" t="b">
        <v>1</v>
      </c>
      <c r="D239">
        <v>8023</v>
      </c>
      <c r="E239">
        <v>8111</v>
      </c>
      <c r="F239">
        <v>200.66667000000001</v>
      </c>
      <c r="G239">
        <v>189.2</v>
      </c>
      <c r="H239">
        <v>1.0606061</v>
      </c>
      <c r="I239">
        <v>-6.0606103000000001E-2</v>
      </c>
      <c r="J239">
        <v>0.48529410000000001</v>
      </c>
      <c r="K239">
        <f xml:space="preserve"> -55.696 * _2026_04_17_16_25_21_23_high[[#This Row],[coeff]] + 79.57</f>
        <v>20.498482654399993</v>
      </c>
      <c r="L239">
        <f xml:space="preserve"> -55.696 * _2026_04_17_16_25_21_23_high[[#This Row],[coeff]] + 79.57</f>
        <v>20.498482654399993</v>
      </c>
    </row>
    <row r="240" spans="1:12" x14ac:dyDescent="0.3">
      <c r="A240">
        <v>238</v>
      </c>
      <c r="B240">
        <v>6112</v>
      </c>
      <c r="C240" t="b">
        <v>1</v>
      </c>
      <c r="D240">
        <v>8048</v>
      </c>
      <c r="E240">
        <v>8129</v>
      </c>
      <c r="F240">
        <v>200.66667000000001</v>
      </c>
      <c r="G240">
        <v>188.8</v>
      </c>
      <c r="H240">
        <v>1.0628531000000001</v>
      </c>
      <c r="I240">
        <v>-6.2853119999999998E-2</v>
      </c>
      <c r="J240">
        <v>0.48476550000000002</v>
      </c>
      <c r="K240">
        <f xml:space="preserve"> -55.696 * _2026_04_17_16_25_21_23_high[[#This Row],[coeff]] + 79.57</f>
        <v>20.373333742399993</v>
      </c>
      <c r="L240">
        <f xml:space="preserve"> -55.696 * _2026_04_17_16_25_21_23_high[[#This Row],[coeff]] + 79.57</f>
        <v>20.373333742399993</v>
      </c>
    </row>
    <row r="241" spans="1:12" x14ac:dyDescent="0.3">
      <c r="A241">
        <v>239</v>
      </c>
      <c r="B241">
        <v>6128</v>
      </c>
      <c r="C241" t="b">
        <v>1</v>
      </c>
      <c r="D241">
        <v>8037</v>
      </c>
      <c r="E241">
        <v>8093</v>
      </c>
      <c r="F241">
        <v>200.66667000000001</v>
      </c>
      <c r="G241">
        <v>188.4</v>
      </c>
      <c r="H241">
        <v>1.0651097</v>
      </c>
      <c r="I241">
        <v>-6.5109760000000003E-2</v>
      </c>
      <c r="J241">
        <v>0.48423579999999999</v>
      </c>
      <c r="K241">
        <f xml:space="preserve"> -55.696 * _2026_04_17_16_25_21_23_high[[#This Row],[coeff]] + 79.57</f>
        <v>20.247650148799991</v>
      </c>
      <c r="L241">
        <f xml:space="preserve"> -55.696 * _2026_04_17_16_25_21_23_high[[#This Row],[coeff]] + 79.57</f>
        <v>20.247650148799991</v>
      </c>
    </row>
    <row r="242" spans="1:12" x14ac:dyDescent="0.3">
      <c r="A242">
        <v>240</v>
      </c>
      <c r="B242">
        <v>6159</v>
      </c>
      <c r="C242" t="b">
        <v>1</v>
      </c>
      <c r="D242">
        <v>8037</v>
      </c>
      <c r="E242">
        <v>8105</v>
      </c>
      <c r="F242">
        <v>200.66667000000001</v>
      </c>
      <c r="G242">
        <v>188.4</v>
      </c>
      <c r="H242">
        <v>1.0651097</v>
      </c>
      <c r="I242">
        <v>-6.5109760000000003E-2</v>
      </c>
      <c r="J242">
        <v>0.48423579999999999</v>
      </c>
      <c r="K242">
        <f xml:space="preserve"> -55.696 * _2026_04_17_16_25_21_23_high[[#This Row],[coeff]] + 79.57</f>
        <v>20.247650148799991</v>
      </c>
      <c r="L242">
        <f xml:space="preserve"> -55.696 * _2026_04_17_16_25_21_23_high[[#This Row],[coeff]] + 79.57</f>
        <v>20.247650148799991</v>
      </c>
    </row>
    <row r="243" spans="1:12" x14ac:dyDescent="0.3">
      <c r="A243">
        <v>241</v>
      </c>
      <c r="B243">
        <v>6191</v>
      </c>
      <c r="C243" t="b">
        <v>1</v>
      </c>
      <c r="D243">
        <v>8054</v>
      </c>
      <c r="E243">
        <v>8105</v>
      </c>
      <c r="F243">
        <v>200.66667000000001</v>
      </c>
      <c r="G243">
        <v>188.4</v>
      </c>
      <c r="H243">
        <v>1.0651097</v>
      </c>
      <c r="I243">
        <v>-6.5109760000000003E-2</v>
      </c>
      <c r="J243">
        <v>0.48423579999999999</v>
      </c>
      <c r="K243">
        <f xml:space="preserve"> -55.696 * _2026_04_17_16_25_21_23_high[[#This Row],[coeff]] + 79.57</f>
        <v>20.247650148799991</v>
      </c>
      <c r="L243">
        <f xml:space="preserve"> -55.696 * _2026_04_17_16_25_21_23_high[[#This Row],[coeff]] + 79.57</f>
        <v>20.247650148799991</v>
      </c>
    </row>
    <row r="244" spans="1:12" x14ac:dyDescent="0.3">
      <c r="A244">
        <v>242</v>
      </c>
      <c r="B244">
        <v>6222</v>
      </c>
      <c r="C244" t="b">
        <v>1</v>
      </c>
      <c r="D244">
        <v>8037</v>
      </c>
      <c r="E244">
        <v>8117</v>
      </c>
      <c r="F244">
        <v>200.66667000000001</v>
      </c>
      <c r="G244">
        <v>188.4</v>
      </c>
      <c r="H244">
        <v>1.0651097</v>
      </c>
      <c r="I244">
        <v>-6.5109760000000003E-2</v>
      </c>
      <c r="J244">
        <v>0.48423579999999999</v>
      </c>
      <c r="K244">
        <f xml:space="preserve"> -55.696 * _2026_04_17_16_25_21_23_high[[#This Row],[coeff]] + 79.57</f>
        <v>20.247650148799991</v>
      </c>
      <c r="L244">
        <f xml:space="preserve"> -55.696 * _2026_04_17_16_25_21_23_high[[#This Row],[coeff]] + 79.57</f>
        <v>20.247650148799991</v>
      </c>
    </row>
    <row r="245" spans="1:12" x14ac:dyDescent="0.3">
      <c r="A245">
        <v>243</v>
      </c>
      <c r="B245">
        <v>6255</v>
      </c>
      <c r="C245" t="b">
        <v>1</v>
      </c>
      <c r="D245">
        <v>8030</v>
      </c>
      <c r="E245">
        <v>8111</v>
      </c>
      <c r="F245">
        <v>200.66667000000001</v>
      </c>
      <c r="G245">
        <v>188.4</v>
      </c>
      <c r="H245">
        <v>1.0651097</v>
      </c>
      <c r="I245">
        <v>-6.5109760000000003E-2</v>
      </c>
      <c r="J245">
        <v>0.48423579999999999</v>
      </c>
      <c r="K245">
        <f xml:space="preserve"> -55.696 * _2026_04_17_16_25_21_23_high[[#This Row],[coeff]] + 79.57</f>
        <v>20.247650148799991</v>
      </c>
      <c r="L245">
        <f xml:space="preserve"> -55.696 * _2026_04_17_16_25_21_23_high[[#This Row],[coeff]] + 79.57</f>
        <v>20.247650148799991</v>
      </c>
    </row>
    <row r="246" spans="1:12" x14ac:dyDescent="0.3">
      <c r="A246">
        <v>244</v>
      </c>
      <c r="B246">
        <v>6270</v>
      </c>
      <c r="C246" t="b">
        <v>1</v>
      </c>
      <c r="D246">
        <v>8037</v>
      </c>
      <c r="E246">
        <v>8099</v>
      </c>
      <c r="F246">
        <v>201.13333</v>
      </c>
      <c r="G246">
        <v>188.4</v>
      </c>
      <c r="H246">
        <v>1.0675867000000001</v>
      </c>
      <c r="I246">
        <v>-6.7586720000000003E-2</v>
      </c>
      <c r="J246">
        <v>0.48365565999999999</v>
      </c>
      <c r="K246">
        <f xml:space="preserve"> -55.696 * _2026_04_17_16_25_21_23_high[[#This Row],[coeff]] + 79.57</f>
        <v>20.10969115679999</v>
      </c>
      <c r="L246">
        <f xml:space="preserve"> -55.696 * _2026_04_17_16_25_21_23_high[[#This Row],[coeff]] + 79.57</f>
        <v>20.10969115679999</v>
      </c>
    </row>
    <row r="247" spans="1:12" x14ac:dyDescent="0.3">
      <c r="A247">
        <v>245</v>
      </c>
      <c r="B247">
        <v>6302</v>
      </c>
      <c r="C247" t="b">
        <v>1</v>
      </c>
      <c r="D247">
        <v>8054</v>
      </c>
      <c r="E247">
        <v>8093</v>
      </c>
      <c r="F247">
        <v>200.4</v>
      </c>
      <c r="G247">
        <v>188.8</v>
      </c>
      <c r="H247">
        <v>1.0614406000000001</v>
      </c>
      <c r="I247">
        <v>-6.1440627999999997E-2</v>
      </c>
      <c r="J247">
        <v>0.48509762000000001</v>
      </c>
      <c r="K247">
        <f xml:space="preserve"> -55.696 * _2026_04_17_16_25_21_23_high[[#This Row],[coeff]] + 79.57</f>
        <v>20.452004342399995</v>
      </c>
      <c r="L247">
        <f xml:space="preserve"> -55.696 * _2026_04_17_16_25_21_23_high[[#This Row],[coeff]] + 79.57</f>
        <v>20.452004342399995</v>
      </c>
    </row>
    <row r="248" spans="1:12" x14ac:dyDescent="0.3">
      <c r="A248">
        <v>246</v>
      </c>
      <c r="B248">
        <v>6319</v>
      </c>
      <c r="C248" t="b">
        <v>1</v>
      </c>
      <c r="D248">
        <v>8042</v>
      </c>
      <c r="E248">
        <v>8111</v>
      </c>
      <c r="F248">
        <v>199.66667000000001</v>
      </c>
      <c r="G248">
        <v>189.6</v>
      </c>
      <c r="H248">
        <v>1.0530942999999999</v>
      </c>
      <c r="I248">
        <v>-5.3094227000000001E-2</v>
      </c>
      <c r="J248">
        <v>0.48706972999999998</v>
      </c>
      <c r="K248">
        <f xml:space="preserve"> -55.696 * _2026_04_17_16_25_21_23_high[[#This Row],[coeff]] + 79.57</f>
        <v>20.916859867199996</v>
      </c>
      <c r="L248">
        <f xml:space="preserve"> -55.696 * _2026_04_17_16_25_21_23_high[[#This Row],[coeff]] + 79.57</f>
        <v>20.916859867199996</v>
      </c>
    </row>
    <row r="249" spans="1:12" x14ac:dyDescent="0.3">
      <c r="A249">
        <v>247</v>
      </c>
      <c r="B249">
        <v>6350</v>
      </c>
      <c r="C249" t="b">
        <v>1</v>
      </c>
      <c r="D249">
        <v>8037</v>
      </c>
      <c r="E249">
        <v>8117</v>
      </c>
      <c r="F249">
        <v>199.33332999999999</v>
      </c>
      <c r="G249">
        <v>190.4</v>
      </c>
      <c r="H249">
        <v>1.0469187</v>
      </c>
      <c r="I249">
        <v>-4.6918776000000002E-2</v>
      </c>
      <c r="J249">
        <v>0.48853915999999997</v>
      </c>
      <c r="K249">
        <f xml:space="preserve"> -55.696 * _2026_04_17_16_25_21_23_high[[#This Row],[coeff]] + 79.57</f>
        <v>21.260816084799998</v>
      </c>
      <c r="L249">
        <f xml:space="preserve"> -55.696 * _2026_04_17_16_25_21_23_high[[#This Row],[coeff]] + 79.57</f>
        <v>21.260816084799998</v>
      </c>
    </row>
    <row r="250" spans="1:12" x14ac:dyDescent="0.3">
      <c r="A250">
        <v>248</v>
      </c>
      <c r="B250">
        <v>6382</v>
      </c>
      <c r="C250" t="b">
        <v>1</v>
      </c>
      <c r="D250">
        <v>8054</v>
      </c>
      <c r="E250">
        <v>8099</v>
      </c>
      <c r="F250">
        <v>199.33332999999999</v>
      </c>
      <c r="G250">
        <v>190.4</v>
      </c>
      <c r="H250">
        <v>1.0469187</v>
      </c>
      <c r="I250">
        <v>-4.6918776000000002E-2</v>
      </c>
      <c r="J250">
        <v>0.48853915999999997</v>
      </c>
      <c r="K250">
        <f xml:space="preserve"> -55.696 * _2026_04_17_16_25_21_23_high[[#This Row],[coeff]] + 79.57</f>
        <v>21.260816084799998</v>
      </c>
      <c r="L250">
        <f xml:space="preserve"> -55.696 * _2026_04_17_16_25_21_23_high[[#This Row],[coeff]] + 79.57</f>
        <v>21.260816084799998</v>
      </c>
    </row>
    <row r="251" spans="1:12" x14ac:dyDescent="0.3">
      <c r="A251">
        <v>249</v>
      </c>
      <c r="B251">
        <v>6413</v>
      </c>
      <c r="C251" t="b">
        <v>1</v>
      </c>
      <c r="D251">
        <v>8037</v>
      </c>
      <c r="E251">
        <v>8111</v>
      </c>
      <c r="F251">
        <v>199.33332999999999</v>
      </c>
      <c r="G251">
        <v>190.8</v>
      </c>
      <c r="H251">
        <v>1.0447238999999999</v>
      </c>
      <c r="I251">
        <v>-4.4723923999999998E-2</v>
      </c>
      <c r="J251">
        <v>0.48906359999999999</v>
      </c>
      <c r="K251">
        <f xml:space="preserve"> -55.696 * _2026_04_17_16_25_21_23_high[[#This Row],[coeff]] + 79.57</f>
        <v>21.383057665599999</v>
      </c>
      <c r="L251">
        <f xml:space="preserve"> -55.696 * _2026_04_17_16_25_21_23_high[[#This Row],[coeff]] + 79.57</f>
        <v>21.383057665599999</v>
      </c>
    </row>
    <row r="252" spans="1:12" x14ac:dyDescent="0.3">
      <c r="A252">
        <v>250</v>
      </c>
      <c r="B252">
        <v>6429</v>
      </c>
      <c r="C252" t="b">
        <v>1</v>
      </c>
      <c r="D252">
        <v>8037</v>
      </c>
      <c r="E252">
        <v>8105</v>
      </c>
      <c r="F252">
        <v>199</v>
      </c>
      <c r="G252">
        <v>191.2</v>
      </c>
      <c r="H252">
        <v>1.0407949999999999</v>
      </c>
      <c r="I252">
        <v>-4.0794995000000001E-2</v>
      </c>
      <c r="J252">
        <v>0.49000510000000003</v>
      </c>
      <c r="K252">
        <f xml:space="preserve"> -55.696 * _2026_04_17_16_25_21_23_high[[#This Row],[coeff]] + 79.57</f>
        <v>21.601881679999998</v>
      </c>
      <c r="L252">
        <f xml:space="preserve"> -55.696 * _2026_04_17_16_25_21_23_high[[#This Row],[coeff]] + 79.57</f>
        <v>21.601881679999998</v>
      </c>
    </row>
    <row r="253" spans="1:12" x14ac:dyDescent="0.3">
      <c r="A253">
        <v>251</v>
      </c>
      <c r="B253">
        <v>6445</v>
      </c>
      <c r="C253" t="b">
        <v>1</v>
      </c>
      <c r="D253">
        <v>8054</v>
      </c>
      <c r="E253">
        <v>8105</v>
      </c>
      <c r="F253">
        <v>198.66667000000001</v>
      </c>
      <c r="G253">
        <v>191.2</v>
      </c>
      <c r="H253">
        <v>1.0390516999999999</v>
      </c>
      <c r="I253">
        <v>-3.905165E-2</v>
      </c>
      <c r="J253">
        <v>0.49042406999999999</v>
      </c>
      <c r="K253">
        <f xml:space="preserve"> -55.696 * _2026_04_17_16_25_21_23_high[[#This Row],[coeff]] + 79.57</f>
        <v>21.698976516800002</v>
      </c>
      <c r="L253">
        <f xml:space="preserve"> -55.696 * _2026_04_17_16_25_21_23_high[[#This Row],[coeff]] + 79.57</f>
        <v>21.698976516800002</v>
      </c>
    </row>
    <row r="254" spans="1:12" x14ac:dyDescent="0.3">
      <c r="A254">
        <v>252</v>
      </c>
      <c r="B254">
        <v>6477</v>
      </c>
      <c r="C254" t="b">
        <v>1</v>
      </c>
      <c r="D254">
        <v>8042</v>
      </c>
      <c r="E254">
        <v>8099</v>
      </c>
      <c r="F254">
        <v>198.66667000000001</v>
      </c>
      <c r="G254">
        <v>191.2</v>
      </c>
      <c r="H254">
        <v>1.0390516999999999</v>
      </c>
      <c r="I254">
        <v>-3.905165E-2</v>
      </c>
      <c r="J254">
        <v>0.49042406999999999</v>
      </c>
      <c r="K254">
        <f xml:space="preserve"> -55.696 * _2026_04_17_16_25_21_23_high[[#This Row],[coeff]] + 79.57</f>
        <v>21.698976516800002</v>
      </c>
      <c r="L254">
        <f xml:space="preserve"> -55.696 * _2026_04_17_16_25_21_23_high[[#This Row],[coeff]] + 79.57</f>
        <v>21.698976516800002</v>
      </c>
    </row>
    <row r="255" spans="1:12" x14ac:dyDescent="0.3">
      <c r="A255">
        <v>253</v>
      </c>
      <c r="B255">
        <v>6509</v>
      </c>
      <c r="C255" t="b">
        <v>1</v>
      </c>
      <c r="D255">
        <v>8030</v>
      </c>
      <c r="E255">
        <v>8117</v>
      </c>
      <c r="F255">
        <v>198.33332999999999</v>
      </c>
      <c r="G255">
        <v>191.2</v>
      </c>
      <c r="H255">
        <v>1.0373082</v>
      </c>
      <c r="I255">
        <v>-3.7308220000000003E-2</v>
      </c>
      <c r="J255">
        <v>0.49084373999999997</v>
      </c>
      <c r="K255">
        <f xml:space="preserve"> -55.696 * _2026_04_17_16_25_21_23_high[[#This Row],[coeff]] + 79.57</f>
        <v>21.796082492799997</v>
      </c>
      <c r="L255">
        <f xml:space="preserve"> -55.696 * _2026_04_17_16_25_21_23_high[[#This Row],[coeff]] + 79.57</f>
        <v>21.796082492799997</v>
      </c>
    </row>
    <row r="256" spans="1:12" x14ac:dyDescent="0.3">
      <c r="A256">
        <v>254</v>
      </c>
      <c r="B256">
        <v>6541</v>
      </c>
      <c r="C256" t="b">
        <v>1</v>
      </c>
      <c r="D256">
        <v>8048</v>
      </c>
      <c r="E256">
        <v>8117</v>
      </c>
      <c r="F256">
        <v>198.33332999999999</v>
      </c>
      <c r="G256">
        <v>191.2</v>
      </c>
      <c r="H256">
        <v>1.0373082</v>
      </c>
      <c r="I256">
        <v>-3.7308220000000003E-2</v>
      </c>
      <c r="J256">
        <v>0.49084373999999997</v>
      </c>
      <c r="K256">
        <f xml:space="preserve"> -55.696 * _2026_04_17_16_25_21_23_high[[#This Row],[coeff]] + 79.57</f>
        <v>21.796082492799997</v>
      </c>
      <c r="L256">
        <f xml:space="preserve"> -55.696 * _2026_04_17_16_25_21_23_high[[#This Row],[coeff]] + 79.57</f>
        <v>21.796082492799997</v>
      </c>
    </row>
    <row r="257" spans="1:12" x14ac:dyDescent="0.3">
      <c r="A257">
        <v>255</v>
      </c>
      <c r="B257">
        <v>6572</v>
      </c>
      <c r="C257" t="b">
        <v>1</v>
      </c>
      <c r="D257">
        <v>8037</v>
      </c>
      <c r="E257">
        <v>8111</v>
      </c>
      <c r="F257">
        <v>198.66667000000001</v>
      </c>
      <c r="G257">
        <v>191.6</v>
      </c>
      <c r="H257">
        <v>1.0368824000000001</v>
      </c>
      <c r="I257">
        <v>-3.6882386000000003E-2</v>
      </c>
      <c r="J257">
        <v>0.49094638000000002</v>
      </c>
      <c r="K257">
        <f xml:space="preserve"> -55.696 * _2026_04_17_16_25_21_23_high[[#This Row],[coeff]] + 79.57</f>
        <v>21.819797849599993</v>
      </c>
      <c r="L257">
        <f xml:space="preserve"> -55.696 * _2026_04_17_16_25_21_23_high[[#This Row],[coeff]] + 79.57</f>
        <v>21.819797849599993</v>
      </c>
    </row>
    <row r="258" spans="1:12" x14ac:dyDescent="0.3">
      <c r="A258">
        <v>256</v>
      </c>
      <c r="B258">
        <v>6588</v>
      </c>
      <c r="C258" t="b">
        <v>1</v>
      </c>
      <c r="D258">
        <v>8042</v>
      </c>
      <c r="E258">
        <v>8105</v>
      </c>
      <c r="F258">
        <v>199</v>
      </c>
      <c r="G258">
        <v>192</v>
      </c>
      <c r="H258">
        <v>1.0364583999999999</v>
      </c>
      <c r="I258">
        <v>-3.6458332000000003E-2</v>
      </c>
      <c r="J258">
        <v>0.4910486</v>
      </c>
      <c r="K258">
        <f xml:space="preserve"> -55.696 * _2026_04_17_16_25_21_23_high[[#This Row],[coeff]] + 79.57</f>
        <v>21.843412953600001</v>
      </c>
      <c r="L258">
        <f xml:space="preserve"> -55.696 * _2026_04_17_16_25_21_23_high[[#This Row],[coeff]] + 79.57</f>
        <v>21.843412953600001</v>
      </c>
    </row>
    <row r="259" spans="1:12" x14ac:dyDescent="0.3">
      <c r="A259">
        <v>257</v>
      </c>
      <c r="B259">
        <v>6604</v>
      </c>
      <c r="C259" t="b">
        <v>1</v>
      </c>
      <c r="D259">
        <v>8060</v>
      </c>
      <c r="E259">
        <v>8093</v>
      </c>
      <c r="F259">
        <v>199.33332999999999</v>
      </c>
      <c r="G259">
        <v>192.4</v>
      </c>
      <c r="H259">
        <v>1.036036</v>
      </c>
      <c r="I259">
        <v>-3.6036039999999998E-2</v>
      </c>
      <c r="J259">
        <v>0.49115039999999999</v>
      </c>
      <c r="K259">
        <f xml:space="preserve"> -55.696 * _2026_04_17_16_25_21_23_high[[#This Row],[coeff]] + 79.57</f>
        <v>21.866938943999997</v>
      </c>
      <c r="L259">
        <f xml:space="preserve"> -55.696 * _2026_04_17_16_25_21_23_high[[#This Row],[coeff]] + 79.57</f>
        <v>21.866938943999997</v>
      </c>
    </row>
    <row r="260" spans="1:12" x14ac:dyDescent="0.3">
      <c r="A260">
        <v>258</v>
      </c>
      <c r="B260">
        <v>6620</v>
      </c>
      <c r="C260" t="b">
        <v>1</v>
      </c>
      <c r="D260">
        <v>8060</v>
      </c>
      <c r="E260">
        <v>8111</v>
      </c>
      <c r="F260">
        <v>200.06666999999999</v>
      </c>
      <c r="G260">
        <v>192.8</v>
      </c>
      <c r="H260">
        <v>1.0376901999999999</v>
      </c>
      <c r="I260">
        <v>-3.769016E-2</v>
      </c>
      <c r="J260">
        <v>0.49075173999999999</v>
      </c>
      <c r="K260">
        <f xml:space="preserve"> -55.696 * _2026_04_17_16_25_21_23_high[[#This Row],[coeff]] + 79.57</f>
        <v>21.7748066208</v>
      </c>
      <c r="L260">
        <f xml:space="preserve"> -55.696 * _2026_04_17_16_25_21_23_high[[#This Row],[coeff]] + 79.57</f>
        <v>21.7748066208</v>
      </c>
    </row>
    <row r="261" spans="1:12" x14ac:dyDescent="0.3">
      <c r="A261">
        <v>259</v>
      </c>
      <c r="B261">
        <v>6652</v>
      </c>
      <c r="C261" t="b">
        <v>1</v>
      </c>
      <c r="D261">
        <v>8037</v>
      </c>
      <c r="E261">
        <v>8099</v>
      </c>
      <c r="F261">
        <v>200.4</v>
      </c>
      <c r="G261">
        <v>192.8</v>
      </c>
      <c r="H261">
        <v>1.0394190000000001</v>
      </c>
      <c r="I261">
        <v>-3.9419040000000002E-2</v>
      </c>
      <c r="J261">
        <v>0.49033569999999999</v>
      </c>
      <c r="K261">
        <f xml:space="preserve"> -55.696 * _2026_04_17_16_25_21_23_high[[#This Row],[coeff]] + 79.57</f>
        <v>21.67851937599999</v>
      </c>
      <c r="L261">
        <f xml:space="preserve"> -55.696 * _2026_04_17_16_25_21_23_high[[#This Row],[coeff]] + 79.57</f>
        <v>21.67851937599999</v>
      </c>
    </row>
    <row r="262" spans="1:12" x14ac:dyDescent="0.3">
      <c r="A262">
        <v>260</v>
      </c>
      <c r="B262">
        <v>6683</v>
      </c>
      <c r="C262" t="b">
        <v>1</v>
      </c>
      <c r="D262">
        <v>8054</v>
      </c>
      <c r="E262">
        <v>8081</v>
      </c>
      <c r="F262">
        <v>201.53334000000001</v>
      </c>
      <c r="G262">
        <v>192.4</v>
      </c>
      <c r="H262">
        <v>1.0474706</v>
      </c>
      <c r="I262">
        <v>-4.7470617999999999E-2</v>
      </c>
      <c r="J262">
        <v>0.48840749999999999</v>
      </c>
      <c r="K262">
        <f xml:space="preserve"> -55.696 * _2026_04_17_16_25_21_23_high[[#This Row],[coeff]] + 79.57</f>
        <v>21.230077462399997</v>
      </c>
      <c r="L262">
        <f xml:space="preserve"> -55.696 * _2026_04_17_16_25_21_23_high[[#This Row],[coeff]] + 79.57</f>
        <v>21.230077462399997</v>
      </c>
    </row>
    <row r="263" spans="1:12" x14ac:dyDescent="0.3">
      <c r="A263">
        <v>261</v>
      </c>
      <c r="B263">
        <v>6715</v>
      </c>
      <c r="C263" t="b">
        <v>1</v>
      </c>
      <c r="D263">
        <v>8060</v>
      </c>
      <c r="E263">
        <v>8111</v>
      </c>
      <c r="F263">
        <v>203.06666999999999</v>
      </c>
      <c r="G263">
        <v>191.6</v>
      </c>
      <c r="H263">
        <v>1.0598468999999999</v>
      </c>
      <c r="I263">
        <v>-5.9846863E-2</v>
      </c>
      <c r="J263">
        <v>0.48547298</v>
      </c>
      <c r="K263">
        <f xml:space="preserve"> -55.696 * _2026_04_17_16_25_21_23_high[[#This Row],[coeff]] + 79.57</f>
        <v>20.5407670576</v>
      </c>
      <c r="L263">
        <f xml:space="preserve"> -55.696 * _2026_04_17_16_25_21_23_high[[#This Row],[coeff]] + 79.57</f>
        <v>20.5407670576</v>
      </c>
    </row>
    <row r="264" spans="1:12" x14ac:dyDescent="0.3">
      <c r="A264">
        <v>262</v>
      </c>
      <c r="B264">
        <v>6747</v>
      </c>
      <c r="C264" t="b">
        <v>1</v>
      </c>
      <c r="D264">
        <v>8071</v>
      </c>
      <c r="E264">
        <v>8099</v>
      </c>
      <c r="F264">
        <v>204.6</v>
      </c>
      <c r="G264">
        <v>190.8</v>
      </c>
      <c r="H264">
        <v>1.072327</v>
      </c>
      <c r="I264">
        <v>-7.2327059999999999E-2</v>
      </c>
      <c r="J264">
        <v>0.48254930000000001</v>
      </c>
      <c r="K264">
        <f xml:space="preserve"> -55.696 * _2026_04_17_16_25_21_23_high[[#This Row],[coeff]] + 79.57</f>
        <v>19.845675407999991</v>
      </c>
      <c r="L264">
        <f xml:space="preserve"> -55.696 * _2026_04_17_16_25_21_23_high[[#This Row],[coeff]] + 79.57</f>
        <v>19.845675407999991</v>
      </c>
    </row>
    <row r="265" spans="1:12" x14ac:dyDescent="0.3">
      <c r="A265">
        <v>263</v>
      </c>
      <c r="B265">
        <v>6779</v>
      </c>
      <c r="C265" t="b">
        <v>1</v>
      </c>
      <c r="D265">
        <v>8054</v>
      </c>
      <c r="E265">
        <v>8140</v>
      </c>
      <c r="F265">
        <v>205.4</v>
      </c>
      <c r="G265">
        <v>190.8</v>
      </c>
      <c r="H265">
        <v>1.0765198</v>
      </c>
      <c r="I265">
        <v>-7.6519870000000004E-2</v>
      </c>
      <c r="J265">
        <v>0.48157495</v>
      </c>
      <c r="K265">
        <f xml:space="preserve"> -55.696 * _2026_04_17_16_25_21_23_high[[#This Row],[coeff]] + 79.57</f>
        <v>19.612153219199996</v>
      </c>
      <c r="L265">
        <f xml:space="preserve"> -55.696 * _2026_04_17_16_25_21_23_high[[#This Row],[coeff]] + 79.57</f>
        <v>19.612153219199996</v>
      </c>
    </row>
    <row r="266" spans="1:12" x14ac:dyDescent="0.3">
      <c r="A266">
        <v>264</v>
      </c>
      <c r="B266">
        <v>6795</v>
      </c>
      <c r="C266" t="b">
        <v>1</v>
      </c>
      <c r="D266">
        <v>8030</v>
      </c>
      <c r="E266">
        <v>8105</v>
      </c>
      <c r="F266">
        <v>206.2</v>
      </c>
      <c r="G266">
        <v>190.4</v>
      </c>
      <c r="H266">
        <v>1.0829833</v>
      </c>
      <c r="I266">
        <v>-8.2983210000000002E-2</v>
      </c>
      <c r="J266">
        <v>0.48008070000000003</v>
      </c>
      <c r="K266">
        <f xml:space="preserve"> -55.696 * _2026_04_17_16_25_21_23_high[[#This Row],[coeff]] + 79.57</f>
        <v>19.252162123199994</v>
      </c>
      <c r="L266">
        <f xml:space="preserve"> -55.696 * _2026_04_17_16_25_21_23_high[[#This Row],[coeff]] + 79.57</f>
        <v>19.252162123199994</v>
      </c>
    </row>
    <row r="267" spans="1:12" x14ac:dyDescent="0.3">
      <c r="A267">
        <v>265</v>
      </c>
      <c r="B267">
        <v>6810</v>
      </c>
      <c r="C267" t="b">
        <v>1</v>
      </c>
      <c r="D267">
        <v>8042</v>
      </c>
      <c r="E267">
        <v>8111</v>
      </c>
      <c r="F267">
        <v>207.33332999999999</v>
      </c>
      <c r="G267">
        <v>190.4</v>
      </c>
      <c r="H267">
        <v>1.0889355999999999</v>
      </c>
      <c r="I267">
        <v>-8.8935583999999998E-2</v>
      </c>
      <c r="J267">
        <v>0.47871268</v>
      </c>
      <c r="K267">
        <f xml:space="preserve"> -55.696 * _2026_04_17_16_25_21_23_high[[#This Row],[coeff]] + 79.57</f>
        <v>18.920642822399998</v>
      </c>
      <c r="L267">
        <f xml:space="preserve"> -55.696 * _2026_04_17_16_25_21_23_high[[#This Row],[coeff]] + 79.57</f>
        <v>18.920642822399998</v>
      </c>
    </row>
    <row r="268" spans="1:12" x14ac:dyDescent="0.3">
      <c r="A268">
        <v>266</v>
      </c>
      <c r="B268">
        <v>6842</v>
      </c>
      <c r="C268" t="b">
        <v>1</v>
      </c>
      <c r="D268">
        <v>8048</v>
      </c>
      <c r="E268">
        <v>8105</v>
      </c>
      <c r="F268">
        <v>208.06666999999999</v>
      </c>
      <c r="G268">
        <v>190.4</v>
      </c>
      <c r="H268">
        <v>1.0927871</v>
      </c>
      <c r="I268">
        <v>-9.2787149999999999E-2</v>
      </c>
      <c r="J268">
        <v>0.47783165999999999</v>
      </c>
      <c r="K268">
        <f xml:space="preserve"> -55.696 * _2026_04_17_16_25_21_23_high[[#This Row],[coeff]] + 79.57</f>
        <v>18.706129678399996</v>
      </c>
      <c r="L268">
        <f xml:space="preserve"> -55.696 * _2026_04_17_16_25_21_23_high[[#This Row],[coeff]] + 79.57</f>
        <v>18.706129678399996</v>
      </c>
    </row>
    <row r="269" spans="1:12" x14ac:dyDescent="0.3">
      <c r="A269">
        <v>267</v>
      </c>
      <c r="B269">
        <v>6858</v>
      </c>
      <c r="C269" t="b">
        <v>1</v>
      </c>
      <c r="D269">
        <v>8023</v>
      </c>
      <c r="E269">
        <v>8093</v>
      </c>
      <c r="F269">
        <v>208.06666999999999</v>
      </c>
      <c r="G269">
        <v>190.4</v>
      </c>
      <c r="H269">
        <v>1.0927871</v>
      </c>
      <c r="I269">
        <v>-9.2787149999999999E-2</v>
      </c>
      <c r="J269">
        <v>0.47783165999999999</v>
      </c>
      <c r="K269">
        <f xml:space="preserve"> -55.696 * _2026_04_17_16_25_21_23_high[[#This Row],[coeff]] + 79.57</f>
        <v>18.706129678399996</v>
      </c>
      <c r="L269">
        <f xml:space="preserve"> -55.696 * _2026_04_17_16_25_21_23_high[[#This Row],[coeff]] + 79.57</f>
        <v>18.706129678399996</v>
      </c>
    </row>
    <row r="270" spans="1:12" x14ac:dyDescent="0.3">
      <c r="A270">
        <v>268</v>
      </c>
      <c r="B270">
        <v>6890</v>
      </c>
      <c r="C270" t="b">
        <v>1</v>
      </c>
      <c r="D270">
        <v>8042</v>
      </c>
      <c r="E270">
        <v>8081</v>
      </c>
      <c r="F270">
        <v>208.4</v>
      </c>
      <c r="G270">
        <v>190.4</v>
      </c>
      <c r="H270">
        <v>1.0945379</v>
      </c>
      <c r="I270">
        <v>-9.4537819999999995E-2</v>
      </c>
      <c r="J270">
        <v>0.47743229999999998</v>
      </c>
      <c r="K270">
        <f xml:space="preserve"> -55.696 * _2026_04_17_16_25_21_23_high[[#This Row],[coeff]] + 79.57</f>
        <v>18.608617121599998</v>
      </c>
      <c r="L270">
        <f xml:space="preserve"> -55.696 * _2026_04_17_16_25_21_23_high[[#This Row],[coeff]] + 79.57</f>
        <v>18.608617121599998</v>
      </c>
    </row>
    <row r="271" spans="1:12" x14ac:dyDescent="0.3">
      <c r="A271">
        <v>269</v>
      </c>
      <c r="B271">
        <v>6905</v>
      </c>
      <c r="C271" t="b">
        <v>1</v>
      </c>
      <c r="D271">
        <v>8054</v>
      </c>
      <c r="E271">
        <v>8075</v>
      </c>
      <c r="F271">
        <v>208.4</v>
      </c>
      <c r="G271">
        <v>189.6</v>
      </c>
      <c r="H271">
        <v>1.099156</v>
      </c>
      <c r="I271">
        <v>-9.9156049999999996E-2</v>
      </c>
      <c r="J271">
        <v>0.47638193000000001</v>
      </c>
      <c r="K271">
        <f xml:space="preserve"> -55.696 * _2026_04_17_16_25_21_23_high[[#This Row],[coeff]] + 79.57</f>
        <v>18.351407423999994</v>
      </c>
      <c r="L271">
        <f xml:space="preserve"> -55.696 * _2026_04_17_16_25_21_23_high[[#This Row],[coeff]] + 79.57</f>
        <v>18.351407423999994</v>
      </c>
    </row>
    <row r="272" spans="1:12" x14ac:dyDescent="0.3">
      <c r="A272">
        <v>270</v>
      </c>
      <c r="B272">
        <v>6921</v>
      </c>
      <c r="C272" t="b">
        <v>1</v>
      </c>
      <c r="D272">
        <v>8030</v>
      </c>
      <c r="E272">
        <v>8087</v>
      </c>
      <c r="F272">
        <v>208.4</v>
      </c>
      <c r="G272">
        <v>188</v>
      </c>
      <c r="H272">
        <v>1.1085106</v>
      </c>
      <c r="I272">
        <v>-0.108510606</v>
      </c>
      <c r="J272">
        <v>0.47426844000000001</v>
      </c>
      <c r="K272">
        <f xml:space="preserve"> -55.696 * _2026_04_17_16_25_21_23_high[[#This Row],[coeff]] + 79.57</f>
        <v>17.830393622399995</v>
      </c>
      <c r="L272">
        <f xml:space="preserve"> -55.696 * _2026_04_17_16_25_21_23_high[[#This Row],[coeff]] + 79.57</f>
        <v>17.830393622399995</v>
      </c>
    </row>
    <row r="273" spans="1:12" x14ac:dyDescent="0.3">
      <c r="A273">
        <v>271</v>
      </c>
      <c r="B273">
        <v>6937</v>
      </c>
      <c r="C273" t="b">
        <v>1</v>
      </c>
      <c r="D273">
        <v>8023</v>
      </c>
      <c r="E273">
        <v>8093</v>
      </c>
      <c r="F273">
        <v>207.6</v>
      </c>
      <c r="G273">
        <v>186.4</v>
      </c>
      <c r="H273">
        <v>1.113734</v>
      </c>
      <c r="I273">
        <v>-0.11373398</v>
      </c>
      <c r="J273">
        <v>0.47309643000000001</v>
      </c>
      <c r="K273">
        <f xml:space="preserve"> -55.696 * _2026_04_17_16_25_21_23_high[[#This Row],[coeff]] + 79.57</f>
        <v>17.539471135999996</v>
      </c>
      <c r="L273">
        <f xml:space="preserve"> -55.696 * _2026_04_17_16_25_21_23_high[[#This Row],[coeff]] + 79.57</f>
        <v>17.539471135999996</v>
      </c>
    </row>
    <row r="274" spans="1:12" x14ac:dyDescent="0.3">
      <c r="A274">
        <v>272</v>
      </c>
      <c r="B274">
        <v>6953</v>
      </c>
      <c r="C274" t="b">
        <v>1</v>
      </c>
      <c r="D274">
        <v>8048</v>
      </c>
      <c r="E274">
        <v>8099</v>
      </c>
      <c r="F274">
        <v>207.6</v>
      </c>
      <c r="G274">
        <v>184.8</v>
      </c>
      <c r="H274">
        <v>1.1233766000000001</v>
      </c>
      <c r="I274">
        <v>-0.12337664</v>
      </c>
      <c r="J274">
        <v>0.47094797999999999</v>
      </c>
      <c r="K274">
        <f xml:space="preserve"> -55.696 * _2026_04_17_16_25_21_23_high[[#This Row],[coeff]] + 79.57</f>
        <v>17.002416886399992</v>
      </c>
      <c r="L274">
        <f xml:space="preserve"> -55.696 * _2026_04_17_16_25_21_23_high[[#This Row],[coeff]] + 79.57</f>
        <v>17.002416886399992</v>
      </c>
    </row>
    <row r="275" spans="1:12" x14ac:dyDescent="0.3">
      <c r="A275">
        <v>273</v>
      </c>
      <c r="B275">
        <v>6986</v>
      </c>
      <c r="C275" t="b">
        <v>1</v>
      </c>
      <c r="D275">
        <v>8017</v>
      </c>
      <c r="E275">
        <v>8117</v>
      </c>
      <c r="F275">
        <v>206.4</v>
      </c>
      <c r="G275">
        <v>183.6</v>
      </c>
      <c r="H275">
        <v>1.1241829000000001</v>
      </c>
      <c r="I275">
        <v>-0.12418294000000001</v>
      </c>
      <c r="J275">
        <v>0.47076926000000002</v>
      </c>
      <c r="K275">
        <f xml:space="preserve"> -55.696 * _2026_04_17_16_25_21_23_high[[#This Row],[coeff]] + 79.57</f>
        <v>16.95750920159999</v>
      </c>
      <c r="L275">
        <f xml:space="preserve"> -55.696 * _2026_04_17_16_25_21_23_high[[#This Row],[coeff]] + 79.57</f>
        <v>16.95750920159999</v>
      </c>
    </row>
    <row r="276" spans="1:12" x14ac:dyDescent="0.3">
      <c r="A276">
        <v>274</v>
      </c>
      <c r="B276">
        <v>7017</v>
      </c>
      <c r="C276" t="b">
        <v>1</v>
      </c>
      <c r="D276">
        <v>8042</v>
      </c>
      <c r="E276">
        <v>8105</v>
      </c>
      <c r="F276">
        <v>205.6</v>
      </c>
      <c r="G276">
        <v>183.2</v>
      </c>
      <c r="H276">
        <v>1.1222707999999999</v>
      </c>
      <c r="I276">
        <v>-0.12227079</v>
      </c>
      <c r="J276">
        <v>0.47119343000000002</v>
      </c>
      <c r="K276">
        <f xml:space="preserve"> -55.696 * _2026_04_17_16_25_21_23_high[[#This Row],[coeff]] + 79.57</f>
        <v>17.064005523200002</v>
      </c>
      <c r="L276">
        <f xml:space="preserve"> -55.696 * _2026_04_17_16_25_21_23_high[[#This Row],[coeff]] + 79.57</f>
        <v>17.064005523200002</v>
      </c>
    </row>
    <row r="277" spans="1:12" x14ac:dyDescent="0.3">
      <c r="A277">
        <v>275</v>
      </c>
      <c r="B277">
        <v>7048</v>
      </c>
      <c r="C277" t="b">
        <v>1</v>
      </c>
      <c r="D277">
        <v>8037</v>
      </c>
      <c r="E277">
        <v>8117</v>
      </c>
      <c r="F277">
        <v>204.46665999999999</v>
      </c>
      <c r="G277">
        <v>183.6</v>
      </c>
      <c r="H277">
        <v>1.1136528000000001</v>
      </c>
      <c r="I277">
        <v>-0.113652796</v>
      </c>
      <c r="J277">
        <v>0.4731146</v>
      </c>
      <c r="K277">
        <f xml:space="preserve"> -55.696 * _2026_04_17_16_25_21_23_high[[#This Row],[coeff]] + 79.57</f>
        <v>17.54399365119999</v>
      </c>
      <c r="L277">
        <f xml:space="preserve"> -55.696 * _2026_04_17_16_25_21_23_high[[#This Row],[coeff]] + 79.57</f>
        <v>17.54399365119999</v>
      </c>
    </row>
    <row r="278" spans="1:12" x14ac:dyDescent="0.3">
      <c r="A278">
        <v>276</v>
      </c>
      <c r="B278">
        <v>7080</v>
      </c>
      <c r="C278" t="b">
        <v>1</v>
      </c>
      <c r="D278">
        <v>8042</v>
      </c>
      <c r="E278">
        <v>8099</v>
      </c>
      <c r="F278">
        <v>203.26666</v>
      </c>
      <c r="G278">
        <v>184</v>
      </c>
      <c r="H278">
        <v>1.1047100999999999</v>
      </c>
      <c r="I278">
        <v>-0.104710124</v>
      </c>
      <c r="J278">
        <v>0.47512480000000001</v>
      </c>
      <c r="K278">
        <f xml:space="preserve"> -55.696 * _2026_04_17_16_25_21_23_high[[#This Row],[coeff]] + 79.57</f>
        <v>18.042066270399999</v>
      </c>
      <c r="L278">
        <f xml:space="preserve"> -55.696 * _2026_04_17_16_25_21_23_high[[#This Row],[coeff]] + 79.57</f>
        <v>18.042066270399999</v>
      </c>
    </row>
    <row r="279" spans="1:12" x14ac:dyDescent="0.3">
      <c r="A279">
        <v>277</v>
      </c>
      <c r="B279">
        <v>7112</v>
      </c>
      <c r="C279" t="b">
        <v>1</v>
      </c>
      <c r="D279">
        <v>8030</v>
      </c>
      <c r="E279">
        <v>8093</v>
      </c>
      <c r="F279">
        <v>201.73334</v>
      </c>
      <c r="G279">
        <v>184.4</v>
      </c>
      <c r="H279">
        <v>1.0939987</v>
      </c>
      <c r="I279">
        <v>-9.3998609999999996E-2</v>
      </c>
      <c r="J279">
        <v>0.47755524999999999</v>
      </c>
      <c r="K279">
        <f xml:space="preserve"> -55.696 * _2026_04_17_16_25_21_23_high[[#This Row],[coeff]] + 79.57</f>
        <v>18.638648404799994</v>
      </c>
      <c r="L279">
        <f xml:space="preserve"> -55.696 * _2026_04_17_16_25_21_23_high[[#This Row],[coeff]] + 79.57</f>
        <v>18.638648404799994</v>
      </c>
    </row>
    <row r="280" spans="1:12" x14ac:dyDescent="0.3">
      <c r="A280">
        <v>278</v>
      </c>
      <c r="B280">
        <v>7128</v>
      </c>
      <c r="C280" t="b">
        <v>1</v>
      </c>
      <c r="D280">
        <v>8042</v>
      </c>
      <c r="E280">
        <v>8140</v>
      </c>
      <c r="F280">
        <v>200.93333000000001</v>
      </c>
      <c r="G280">
        <v>184.8</v>
      </c>
      <c r="H280">
        <v>1.0873016</v>
      </c>
      <c r="I280">
        <v>-8.7301575000000006E-2</v>
      </c>
      <c r="J280">
        <v>0.47908743999999998</v>
      </c>
      <c r="K280">
        <f xml:space="preserve"> -55.696 * _2026_04_17_16_25_21_23_high[[#This Row],[coeff]] + 79.57</f>
        <v>19.011650086399996</v>
      </c>
      <c r="L280">
        <f xml:space="preserve"> -55.696 * _2026_04_17_16_25_21_23_high[[#This Row],[coeff]] + 79.57</f>
        <v>19.011650086399996</v>
      </c>
    </row>
    <row r="281" spans="1:12" x14ac:dyDescent="0.3">
      <c r="A281">
        <v>279</v>
      </c>
      <c r="B281">
        <v>7144</v>
      </c>
      <c r="C281" t="b">
        <v>1</v>
      </c>
      <c r="D281">
        <v>8030</v>
      </c>
      <c r="E281">
        <v>8099</v>
      </c>
      <c r="F281">
        <v>199.8</v>
      </c>
      <c r="G281">
        <v>184.4</v>
      </c>
      <c r="H281">
        <v>1.0835140999999999</v>
      </c>
      <c r="I281">
        <v>-8.3514153999999993E-2</v>
      </c>
      <c r="J281">
        <v>0.47995832999999999</v>
      </c>
      <c r="K281">
        <f xml:space="preserve"> -55.696 * _2026_04_17_16_25_21_23_high[[#This Row],[coeff]] + 79.57</f>
        <v>19.222598686399998</v>
      </c>
      <c r="L281">
        <f xml:space="preserve"> -55.696 * _2026_04_17_16_25_21_23_high[[#This Row],[coeff]] + 79.57</f>
        <v>19.222598686399998</v>
      </c>
    </row>
    <row r="282" spans="1:12" x14ac:dyDescent="0.3">
      <c r="A282">
        <v>280</v>
      </c>
      <c r="B282">
        <v>7175</v>
      </c>
      <c r="C282" t="b">
        <v>1</v>
      </c>
      <c r="D282">
        <v>8042</v>
      </c>
      <c r="E282">
        <v>8087</v>
      </c>
      <c r="F282">
        <v>199</v>
      </c>
      <c r="G282">
        <v>183.6</v>
      </c>
      <c r="H282">
        <v>1.0838779000000001</v>
      </c>
      <c r="I282">
        <v>-8.3877960000000001E-2</v>
      </c>
      <c r="J282">
        <v>0.47987455000000001</v>
      </c>
      <c r="K282">
        <f xml:space="preserve"> -55.696 * _2026_04_17_16_25_21_23_high[[#This Row],[coeff]] + 79.57</f>
        <v>19.202336481599993</v>
      </c>
      <c r="L282">
        <f xml:space="preserve"> -55.696 * _2026_04_17_16_25_21_23_high[[#This Row],[coeff]] + 79.57</f>
        <v>19.202336481599993</v>
      </c>
    </row>
    <row r="283" spans="1:12" x14ac:dyDescent="0.3">
      <c r="A283">
        <v>281</v>
      </c>
      <c r="B283">
        <v>7191</v>
      </c>
      <c r="C283" t="b">
        <v>1</v>
      </c>
      <c r="D283">
        <v>8042</v>
      </c>
      <c r="E283">
        <v>8099</v>
      </c>
      <c r="F283">
        <v>198.6</v>
      </c>
      <c r="G283">
        <v>183.2</v>
      </c>
      <c r="H283">
        <v>1.0840611</v>
      </c>
      <c r="I283">
        <v>-8.4061179999999999E-2</v>
      </c>
      <c r="J283">
        <v>0.47983238</v>
      </c>
      <c r="K283">
        <f xml:space="preserve"> -55.696 * _2026_04_17_16_25_21_23_high[[#This Row],[coeff]] + 79.57</f>
        <v>19.192132974399996</v>
      </c>
      <c r="L283">
        <f xml:space="preserve"> -55.696 * _2026_04_17_16_25_21_23_high[[#This Row],[coeff]] + 79.57</f>
        <v>19.192132974399996</v>
      </c>
    </row>
    <row r="284" spans="1:12" x14ac:dyDescent="0.3">
      <c r="A284">
        <v>282</v>
      </c>
      <c r="B284">
        <v>7207</v>
      </c>
      <c r="C284" t="b">
        <v>1</v>
      </c>
      <c r="D284">
        <v>8042</v>
      </c>
      <c r="E284">
        <v>8111</v>
      </c>
      <c r="F284">
        <v>198.6</v>
      </c>
      <c r="G284">
        <v>182.8</v>
      </c>
      <c r="H284">
        <v>1.0864332999999999</v>
      </c>
      <c r="I284">
        <v>-8.6433280000000001E-2</v>
      </c>
      <c r="J284">
        <v>0.47928682</v>
      </c>
      <c r="K284">
        <f xml:space="preserve"> -55.696 * _2026_04_17_16_25_21_23_high[[#This Row],[coeff]] + 79.57</f>
        <v>19.060010923199997</v>
      </c>
      <c r="L284">
        <f xml:space="preserve"> -55.696 * _2026_04_17_16_25_21_23_high[[#This Row],[coeff]] + 79.57</f>
        <v>19.060010923199997</v>
      </c>
    </row>
    <row r="285" spans="1:12" x14ac:dyDescent="0.3">
      <c r="A285">
        <v>283</v>
      </c>
      <c r="B285">
        <v>7223</v>
      </c>
      <c r="C285" t="b">
        <v>1</v>
      </c>
      <c r="D285">
        <v>8023</v>
      </c>
      <c r="E285">
        <v>8093</v>
      </c>
      <c r="F285">
        <v>198.6</v>
      </c>
      <c r="G285">
        <v>182.4</v>
      </c>
      <c r="H285">
        <v>1.0888157999999999</v>
      </c>
      <c r="I285">
        <v>-8.8815859999999996E-2</v>
      </c>
      <c r="J285">
        <v>0.47874016000000003</v>
      </c>
      <c r="K285">
        <f xml:space="preserve"> -55.696 * _2026_04_17_16_25_21_23_high[[#This Row],[coeff]] + 79.57</f>
        <v>18.927315203200003</v>
      </c>
      <c r="L285">
        <f xml:space="preserve"> -55.696 * _2026_04_17_16_25_21_23_high[[#This Row],[coeff]] + 79.57</f>
        <v>18.927315203200003</v>
      </c>
    </row>
    <row r="286" spans="1:12" x14ac:dyDescent="0.3">
      <c r="A286">
        <v>284</v>
      </c>
      <c r="B286">
        <v>7239</v>
      </c>
      <c r="C286" t="b">
        <v>1</v>
      </c>
      <c r="D286">
        <v>8048</v>
      </c>
      <c r="E286">
        <v>8093</v>
      </c>
      <c r="F286">
        <v>198.6</v>
      </c>
      <c r="G286">
        <v>182.4</v>
      </c>
      <c r="H286">
        <v>1.0888157999999999</v>
      </c>
      <c r="I286">
        <v>-8.8815859999999996E-2</v>
      </c>
      <c r="J286">
        <v>0.47874016000000003</v>
      </c>
      <c r="K286">
        <f xml:space="preserve"> -55.696 * _2026_04_17_16_25_21_23_high[[#This Row],[coeff]] + 79.57</f>
        <v>18.927315203200003</v>
      </c>
      <c r="L286">
        <f xml:space="preserve"> -55.696 * _2026_04_17_16_25_21_23_high[[#This Row],[coeff]] + 79.57</f>
        <v>18.927315203200003</v>
      </c>
    </row>
    <row r="287" spans="1:12" x14ac:dyDescent="0.3">
      <c r="A287">
        <v>285</v>
      </c>
      <c r="B287">
        <v>7270</v>
      </c>
      <c r="C287" t="b">
        <v>1</v>
      </c>
      <c r="D287">
        <v>8054</v>
      </c>
      <c r="E287">
        <v>8105</v>
      </c>
      <c r="F287">
        <v>198.6</v>
      </c>
      <c r="G287">
        <v>183.2</v>
      </c>
      <c r="H287">
        <v>1.0840611</v>
      </c>
      <c r="I287">
        <v>-8.4061179999999999E-2</v>
      </c>
      <c r="J287">
        <v>0.47983238</v>
      </c>
      <c r="K287">
        <f xml:space="preserve"> -55.696 * _2026_04_17_16_25_21_23_high[[#This Row],[coeff]] + 79.57</f>
        <v>19.192132974399996</v>
      </c>
      <c r="L287">
        <f xml:space="preserve"> -55.696 * _2026_04_17_16_25_21_23_high[[#This Row],[coeff]] + 79.57</f>
        <v>19.192132974399996</v>
      </c>
    </row>
    <row r="288" spans="1:12" x14ac:dyDescent="0.3">
      <c r="A288">
        <v>286</v>
      </c>
      <c r="B288">
        <v>7302</v>
      </c>
      <c r="C288" t="b">
        <v>1</v>
      </c>
      <c r="D288">
        <v>8060</v>
      </c>
      <c r="E288">
        <v>8087</v>
      </c>
      <c r="F288">
        <v>199.8</v>
      </c>
      <c r="G288">
        <v>183.6</v>
      </c>
      <c r="H288">
        <v>1.0882353</v>
      </c>
      <c r="I288">
        <v>-8.8235274000000002E-2</v>
      </c>
      <c r="J288">
        <v>0.47887321999999999</v>
      </c>
      <c r="K288">
        <f xml:space="preserve"> -55.696 * _2026_04_17_16_25_21_23_high[[#This Row],[coeff]] + 79.57</f>
        <v>18.959646731199996</v>
      </c>
      <c r="L288">
        <f xml:space="preserve"> -55.696 * _2026_04_17_16_25_21_23_high[[#This Row],[coeff]] + 79.57</f>
        <v>18.959646731199996</v>
      </c>
    </row>
    <row r="289" spans="1:12" x14ac:dyDescent="0.3">
      <c r="A289">
        <v>287</v>
      </c>
      <c r="B289">
        <v>7318</v>
      </c>
      <c r="C289" t="b">
        <v>1</v>
      </c>
      <c r="D289">
        <v>8042</v>
      </c>
      <c r="E289">
        <v>8105</v>
      </c>
      <c r="F289">
        <v>200.2</v>
      </c>
      <c r="G289">
        <v>184</v>
      </c>
      <c r="H289">
        <v>1.0880434999999999</v>
      </c>
      <c r="I289">
        <v>-8.8043460000000004E-2</v>
      </c>
      <c r="J289">
        <v>0.47891719999999999</v>
      </c>
      <c r="K289">
        <f xml:space="preserve"> -55.696 * _2026_04_17_16_25_21_23_high[[#This Row],[coeff]] + 79.57</f>
        <v>18.970329223999997</v>
      </c>
      <c r="L289">
        <f xml:space="preserve"> -55.696 * _2026_04_17_16_25_21_23_high[[#This Row],[coeff]] + 79.57</f>
        <v>18.970329223999997</v>
      </c>
    </row>
    <row r="290" spans="1:12" x14ac:dyDescent="0.3">
      <c r="A290">
        <v>288</v>
      </c>
      <c r="B290">
        <v>7350</v>
      </c>
      <c r="C290" t="b">
        <v>1</v>
      </c>
      <c r="D290">
        <v>8048</v>
      </c>
      <c r="E290">
        <v>8105</v>
      </c>
      <c r="F290">
        <v>201.4</v>
      </c>
      <c r="G290">
        <v>184.8</v>
      </c>
      <c r="H290">
        <v>1.0898268</v>
      </c>
      <c r="I290">
        <v>-8.9826790000000004E-2</v>
      </c>
      <c r="J290">
        <v>0.47850852999999999</v>
      </c>
      <c r="K290">
        <f xml:space="preserve"> -55.696 * _2026_04_17_16_25_21_23_high[[#This Row],[coeff]] + 79.57</f>
        <v>18.871006547199997</v>
      </c>
      <c r="L290">
        <f xml:space="preserve"> -55.696 * _2026_04_17_16_25_21_23_high[[#This Row],[coeff]] + 79.57</f>
        <v>18.871006547199997</v>
      </c>
    </row>
    <row r="291" spans="1:12" x14ac:dyDescent="0.3">
      <c r="A291">
        <v>289</v>
      </c>
      <c r="B291">
        <v>7382</v>
      </c>
      <c r="C291" t="b">
        <v>1</v>
      </c>
      <c r="D291">
        <v>8037</v>
      </c>
      <c r="E291">
        <v>8087</v>
      </c>
      <c r="F291">
        <v>202.6</v>
      </c>
      <c r="G291">
        <v>185.2</v>
      </c>
      <c r="H291">
        <v>1.0939525000000001</v>
      </c>
      <c r="I291">
        <v>-9.3952540000000001E-2</v>
      </c>
      <c r="J291">
        <v>0.47756577</v>
      </c>
      <c r="K291">
        <f xml:space="preserve"> -55.696 * _2026_04_17_16_25_21_23_high[[#This Row],[coeff]] + 79.57</f>
        <v>18.641221559999991</v>
      </c>
      <c r="L291">
        <f xml:space="preserve"> -55.696 * _2026_04_17_16_25_21_23_high[[#This Row],[coeff]] + 79.57</f>
        <v>18.641221559999991</v>
      </c>
    </row>
    <row r="292" spans="1:12" x14ac:dyDescent="0.3">
      <c r="A292">
        <v>290</v>
      </c>
      <c r="B292">
        <v>7413</v>
      </c>
      <c r="C292" t="b">
        <v>1</v>
      </c>
      <c r="D292">
        <v>8023</v>
      </c>
      <c r="E292">
        <v>8105</v>
      </c>
      <c r="F292">
        <v>202.93333000000001</v>
      </c>
      <c r="G292">
        <v>185.2</v>
      </c>
      <c r="H292">
        <v>1.0957524000000001</v>
      </c>
      <c r="I292">
        <v>-9.5752366000000005E-2</v>
      </c>
      <c r="J292">
        <v>0.47715563</v>
      </c>
      <c r="K292">
        <f xml:space="preserve"> -55.696 * _2026_04_17_16_25_21_23_high[[#This Row],[coeff]] + 79.57</f>
        <v>18.54097432959999</v>
      </c>
      <c r="L292">
        <f xml:space="preserve"> -55.696 * _2026_04_17_16_25_21_23_high[[#This Row],[coeff]] + 79.57</f>
        <v>18.54097432959999</v>
      </c>
    </row>
    <row r="293" spans="1:12" x14ac:dyDescent="0.3">
      <c r="A293">
        <v>291</v>
      </c>
      <c r="B293">
        <v>7444</v>
      </c>
      <c r="C293" t="b">
        <v>1</v>
      </c>
      <c r="D293">
        <v>8048</v>
      </c>
      <c r="E293">
        <v>8093</v>
      </c>
      <c r="F293">
        <v>202.93333000000001</v>
      </c>
      <c r="G293">
        <v>185.2</v>
      </c>
      <c r="H293">
        <v>1.0957524000000001</v>
      </c>
      <c r="I293">
        <v>-9.5752366000000005E-2</v>
      </c>
      <c r="J293">
        <v>0.47715563</v>
      </c>
      <c r="K293">
        <f xml:space="preserve"> -55.696 * _2026_04_17_16_25_21_23_high[[#This Row],[coeff]] + 79.57</f>
        <v>18.54097432959999</v>
      </c>
      <c r="L293">
        <f xml:space="preserve"> -55.696 * _2026_04_17_16_25_21_23_high[[#This Row],[coeff]] + 79.57</f>
        <v>18.54097432959999</v>
      </c>
    </row>
    <row r="294" spans="1:12" x14ac:dyDescent="0.3">
      <c r="A294">
        <v>292</v>
      </c>
      <c r="B294">
        <v>7460</v>
      </c>
      <c r="C294" t="b">
        <v>1</v>
      </c>
      <c r="D294">
        <v>8037</v>
      </c>
      <c r="E294">
        <v>8105</v>
      </c>
      <c r="F294">
        <v>202.93333000000001</v>
      </c>
      <c r="G294">
        <v>185.2</v>
      </c>
      <c r="H294">
        <v>1.0957524000000001</v>
      </c>
      <c r="I294">
        <v>-9.5752366000000005E-2</v>
      </c>
      <c r="J294">
        <v>0.47715563</v>
      </c>
      <c r="K294">
        <f xml:space="preserve"> -55.696 * _2026_04_17_16_25_21_23_high[[#This Row],[coeff]] + 79.57</f>
        <v>18.54097432959999</v>
      </c>
      <c r="L294">
        <f xml:space="preserve"> -55.696 * _2026_04_17_16_25_21_23_high[[#This Row],[coeff]] + 79.57</f>
        <v>18.54097432959999</v>
      </c>
    </row>
    <row r="295" spans="1:12" x14ac:dyDescent="0.3">
      <c r="A295">
        <v>293</v>
      </c>
      <c r="B295">
        <v>7476</v>
      </c>
      <c r="C295" t="b">
        <v>1</v>
      </c>
      <c r="D295">
        <v>8048</v>
      </c>
      <c r="E295">
        <v>8111</v>
      </c>
      <c r="F295">
        <v>202.6</v>
      </c>
      <c r="G295">
        <v>185.2</v>
      </c>
      <c r="H295">
        <v>1.0939525000000001</v>
      </c>
      <c r="I295">
        <v>-9.3952540000000001E-2</v>
      </c>
      <c r="J295">
        <v>0.47756577</v>
      </c>
      <c r="K295">
        <f xml:space="preserve"> -55.696 * _2026_04_17_16_25_21_23_high[[#This Row],[coeff]] + 79.57</f>
        <v>18.641221559999991</v>
      </c>
      <c r="L295">
        <f xml:space="preserve"> -55.696 * _2026_04_17_16_25_21_23_high[[#This Row],[coeff]] + 79.57</f>
        <v>18.641221559999991</v>
      </c>
    </row>
    <row r="296" spans="1:12" x14ac:dyDescent="0.3">
      <c r="A296">
        <v>294</v>
      </c>
      <c r="B296">
        <v>7492</v>
      </c>
      <c r="C296" t="b">
        <v>1</v>
      </c>
      <c r="D296">
        <v>8054</v>
      </c>
      <c r="E296">
        <v>8111</v>
      </c>
      <c r="F296">
        <v>203.33332999999999</v>
      </c>
      <c r="G296">
        <v>185.6</v>
      </c>
      <c r="H296">
        <v>1.0955459000000001</v>
      </c>
      <c r="I296">
        <v>-9.5545909999999998E-2</v>
      </c>
      <c r="J296">
        <v>0.47720259999999998</v>
      </c>
      <c r="K296">
        <f xml:space="preserve"> -55.696 * _2026_04_17_16_25_21_23_high[[#This Row],[coeff]] + 79.57</f>
        <v>18.55247555359999</v>
      </c>
      <c r="L296">
        <f xml:space="preserve"> -55.696 * _2026_04_17_16_25_21_23_high[[#This Row],[coeff]] + 79.57</f>
        <v>18.55247555359999</v>
      </c>
    </row>
    <row r="297" spans="1:12" x14ac:dyDescent="0.3">
      <c r="A297">
        <v>295</v>
      </c>
      <c r="B297">
        <v>7524</v>
      </c>
      <c r="C297" t="b">
        <v>1</v>
      </c>
      <c r="D297">
        <v>8037</v>
      </c>
      <c r="E297">
        <v>8093</v>
      </c>
      <c r="F297">
        <v>203.73334</v>
      </c>
      <c r="G297">
        <v>186</v>
      </c>
      <c r="H297">
        <v>1.0953405000000001</v>
      </c>
      <c r="I297">
        <v>-9.5340519999999998E-2</v>
      </c>
      <c r="J297">
        <v>0.47724938</v>
      </c>
      <c r="K297">
        <f xml:space="preserve"> -55.696 * _2026_04_17_16_25_21_23_high[[#This Row],[coeff]] + 79.57</f>
        <v>18.563915511999994</v>
      </c>
      <c r="L297">
        <f xml:space="preserve"> -55.696 * _2026_04_17_16_25_21_23_high[[#This Row],[coeff]] + 79.57</f>
        <v>18.563915511999994</v>
      </c>
    </row>
    <row r="298" spans="1:12" x14ac:dyDescent="0.3">
      <c r="A298">
        <v>296</v>
      </c>
      <c r="B298">
        <v>7556</v>
      </c>
      <c r="C298" t="b">
        <v>1</v>
      </c>
      <c r="D298">
        <v>8042</v>
      </c>
      <c r="E298">
        <v>8105</v>
      </c>
      <c r="F298">
        <v>203.73334</v>
      </c>
      <c r="G298">
        <v>186.4</v>
      </c>
      <c r="H298">
        <v>1.0929899999999999</v>
      </c>
      <c r="I298">
        <v>-9.2990039999999996E-2</v>
      </c>
      <c r="J298">
        <v>0.47778535</v>
      </c>
      <c r="K298">
        <f xml:space="preserve"> -55.696 * _2026_04_17_16_25_21_23_high[[#This Row],[coeff]] + 79.57</f>
        <v>18.694828960000002</v>
      </c>
      <c r="L298">
        <f xml:space="preserve"> -55.696 * _2026_04_17_16_25_21_23_high[[#This Row],[coeff]] + 79.57</f>
        <v>18.694828960000002</v>
      </c>
    </row>
    <row r="299" spans="1:12" x14ac:dyDescent="0.3">
      <c r="A299">
        <v>297</v>
      </c>
      <c r="B299">
        <v>7588</v>
      </c>
      <c r="C299" t="b">
        <v>1</v>
      </c>
      <c r="D299">
        <v>8054</v>
      </c>
      <c r="E299">
        <v>8111</v>
      </c>
      <c r="F299">
        <v>204.13333</v>
      </c>
      <c r="G299">
        <v>187.2</v>
      </c>
      <c r="H299">
        <v>1.0904559</v>
      </c>
      <c r="I299">
        <v>-9.0455845000000007E-2</v>
      </c>
      <c r="J299">
        <v>0.47836459999999997</v>
      </c>
      <c r="K299">
        <f xml:space="preserve"> -55.696 * _2026_04_17_16_25_21_23_high[[#This Row],[coeff]] + 79.57</f>
        <v>18.835968193599996</v>
      </c>
      <c r="L299">
        <f xml:space="preserve"> -55.696 * _2026_04_17_16_25_21_23_high[[#This Row],[coeff]] + 79.57</f>
        <v>18.835968193599996</v>
      </c>
    </row>
    <row r="300" spans="1:12" x14ac:dyDescent="0.3">
      <c r="A300">
        <v>298</v>
      </c>
      <c r="B300">
        <v>7619</v>
      </c>
      <c r="C300" t="b">
        <v>1</v>
      </c>
      <c r="D300">
        <v>8048</v>
      </c>
      <c r="E300">
        <v>8105</v>
      </c>
      <c r="F300">
        <v>204.53334000000001</v>
      </c>
      <c r="G300">
        <v>187.6</v>
      </c>
      <c r="H300">
        <v>1.090263</v>
      </c>
      <c r="I300">
        <v>-9.0262969999999998E-2</v>
      </c>
      <c r="J300">
        <v>0.47840870000000002</v>
      </c>
      <c r="K300">
        <f xml:space="preserve"> -55.696 * _2026_04_17_16_25_21_23_high[[#This Row],[coeff]] + 79.57</f>
        <v>18.846711952</v>
      </c>
      <c r="L300">
        <f xml:space="preserve"> -55.696 * _2026_04_17_16_25_21_23_high[[#This Row],[coeff]] + 79.57</f>
        <v>18.846711952</v>
      </c>
    </row>
    <row r="301" spans="1:12" x14ac:dyDescent="0.3">
      <c r="A301">
        <v>299</v>
      </c>
      <c r="B301">
        <v>7651</v>
      </c>
      <c r="C301" t="b">
        <v>1</v>
      </c>
      <c r="D301">
        <v>8037</v>
      </c>
      <c r="E301">
        <v>8117</v>
      </c>
      <c r="F301">
        <v>204.53334000000001</v>
      </c>
      <c r="G301">
        <v>188.4</v>
      </c>
      <c r="H301">
        <v>1.0856334999999999</v>
      </c>
      <c r="I301">
        <v>-8.5633479999999998E-2</v>
      </c>
      <c r="J301">
        <v>0.47947060000000002</v>
      </c>
      <c r="K301">
        <f xml:space="preserve"> -55.696 * _2026_04_17_16_25_21_23_high[[#This Row],[coeff]] + 79.57</f>
        <v>19.104556584000001</v>
      </c>
      <c r="L301">
        <f xml:space="preserve"> -55.696 * _2026_04_17_16_25_21_23_high[[#This Row],[coeff]] + 79.57</f>
        <v>19.104556584000001</v>
      </c>
    </row>
    <row r="302" spans="1:12" x14ac:dyDescent="0.3">
      <c r="A302">
        <v>300</v>
      </c>
      <c r="B302">
        <v>7683</v>
      </c>
      <c r="C302" t="b">
        <v>1</v>
      </c>
      <c r="D302">
        <v>8037</v>
      </c>
      <c r="E302">
        <v>8111</v>
      </c>
      <c r="F302">
        <v>204.53334000000001</v>
      </c>
      <c r="G302">
        <v>189.2</v>
      </c>
      <c r="H302">
        <v>1.081043</v>
      </c>
      <c r="I302">
        <v>-8.1043039999999997E-2</v>
      </c>
      <c r="J302">
        <v>0.48052826999999998</v>
      </c>
      <c r="K302">
        <f xml:space="preserve"> -55.696 * _2026_04_17_16_25_21_23_high[[#This Row],[coeff]] + 79.57</f>
        <v>19.360229071999996</v>
      </c>
      <c r="L302">
        <f xml:space="preserve"> -55.696 * _2026_04_17_16_25_21_23_high[[#This Row],[coeff]] + 79.57</f>
        <v>19.360229071999996</v>
      </c>
    </row>
    <row r="303" spans="1:12" x14ac:dyDescent="0.3">
      <c r="A303">
        <v>301</v>
      </c>
      <c r="B303">
        <v>7714</v>
      </c>
      <c r="C303" t="b">
        <v>1</v>
      </c>
      <c r="D303">
        <v>8042</v>
      </c>
      <c r="E303">
        <v>8134</v>
      </c>
      <c r="F303">
        <v>204.13333</v>
      </c>
      <c r="G303">
        <v>190.4</v>
      </c>
      <c r="H303">
        <v>1.0721289000000001</v>
      </c>
      <c r="I303">
        <v>-7.2128880000000006E-2</v>
      </c>
      <c r="J303">
        <v>0.48259547000000003</v>
      </c>
      <c r="K303">
        <f xml:space="preserve"> -55.696 * _2026_04_17_16_25_21_23_high[[#This Row],[coeff]] + 79.57</f>
        <v>19.856708785599992</v>
      </c>
      <c r="L303">
        <f xml:space="preserve"> -55.696 * _2026_04_17_16_25_21_23_high[[#This Row],[coeff]] + 79.57</f>
        <v>19.856708785599992</v>
      </c>
    </row>
    <row r="304" spans="1:12" x14ac:dyDescent="0.3">
      <c r="A304">
        <v>302</v>
      </c>
      <c r="B304">
        <v>7746</v>
      </c>
      <c r="C304" t="b">
        <v>1</v>
      </c>
      <c r="D304">
        <v>8048</v>
      </c>
      <c r="E304">
        <v>8129</v>
      </c>
      <c r="F304">
        <v>203.73334</v>
      </c>
      <c r="G304">
        <v>192</v>
      </c>
      <c r="H304">
        <v>1.0611111</v>
      </c>
      <c r="I304">
        <v>-6.1111133999999998E-2</v>
      </c>
      <c r="J304">
        <v>0.48517519999999997</v>
      </c>
      <c r="K304">
        <f xml:space="preserve"> -55.696 * _2026_04_17_16_25_21_23_high[[#This Row],[coeff]] + 79.57</f>
        <v>20.470356174399996</v>
      </c>
      <c r="L304">
        <f xml:space="preserve"> -55.696 * _2026_04_17_16_25_21_23_high[[#This Row],[coeff]] + 79.57</f>
        <v>20.470356174399996</v>
      </c>
    </row>
    <row r="305" spans="1:12" x14ac:dyDescent="0.3">
      <c r="A305">
        <v>303</v>
      </c>
      <c r="B305">
        <v>7778</v>
      </c>
      <c r="C305" t="b">
        <v>1</v>
      </c>
      <c r="D305">
        <v>8037</v>
      </c>
      <c r="E305">
        <v>8111</v>
      </c>
      <c r="F305">
        <v>203</v>
      </c>
      <c r="G305">
        <v>192.8</v>
      </c>
      <c r="H305">
        <v>1.0529046</v>
      </c>
      <c r="I305">
        <v>-5.2904545999999997E-2</v>
      </c>
      <c r="J305">
        <v>0.48711473</v>
      </c>
      <c r="K305">
        <f xml:space="preserve"> -55.696 * _2026_04_17_16_25_21_23_high[[#This Row],[coeff]] + 79.57</f>
        <v>20.927425398399997</v>
      </c>
      <c r="L305">
        <f xml:space="preserve"> -55.696 * _2026_04_17_16_25_21_23_high[[#This Row],[coeff]] + 79.57</f>
        <v>20.927425398399997</v>
      </c>
    </row>
    <row r="306" spans="1:12" x14ac:dyDescent="0.3">
      <c r="A306">
        <v>304</v>
      </c>
      <c r="B306">
        <v>7810</v>
      </c>
      <c r="C306" t="b">
        <v>1</v>
      </c>
      <c r="D306">
        <v>8042</v>
      </c>
      <c r="E306">
        <v>8105</v>
      </c>
      <c r="F306">
        <v>202.6</v>
      </c>
      <c r="G306">
        <v>193.2</v>
      </c>
      <c r="H306">
        <v>1.0486542999999999</v>
      </c>
      <c r="I306">
        <v>-4.8654290000000003E-2</v>
      </c>
      <c r="J306">
        <v>0.48812531999999997</v>
      </c>
      <c r="K306">
        <f xml:space="preserve"> -55.696 * _2026_04_17_16_25_21_23_high[[#This Row],[coeff]] + 79.57</f>
        <v>21.164150107200001</v>
      </c>
      <c r="L306">
        <f xml:space="preserve"> -55.696 * _2026_04_17_16_25_21_23_high[[#This Row],[coeff]] + 79.57</f>
        <v>21.164150107200001</v>
      </c>
    </row>
    <row r="307" spans="1:12" x14ac:dyDescent="0.3">
      <c r="A307">
        <v>305</v>
      </c>
      <c r="B307">
        <v>7842</v>
      </c>
      <c r="C307" t="b">
        <v>1</v>
      </c>
      <c r="D307">
        <v>8042</v>
      </c>
      <c r="E307">
        <v>8105</v>
      </c>
      <c r="F307">
        <v>202.6</v>
      </c>
      <c r="G307">
        <v>193.6</v>
      </c>
      <c r="H307">
        <v>1.0464876000000001</v>
      </c>
      <c r="I307">
        <v>-4.6487603000000002E-2</v>
      </c>
      <c r="J307">
        <v>0.48864210000000002</v>
      </c>
      <c r="K307">
        <f xml:space="preserve"> -55.696 * _2026_04_17_16_25_21_23_high[[#This Row],[coeff]] + 79.57</f>
        <v>21.284826630399991</v>
      </c>
      <c r="L307">
        <f xml:space="preserve"> -55.696 * _2026_04_17_16_25_21_23_high[[#This Row],[coeff]] + 79.57</f>
        <v>21.284826630399991</v>
      </c>
    </row>
    <row r="308" spans="1:12" x14ac:dyDescent="0.3">
      <c r="A308">
        <v>306</v>
      </c>
      <c r="B308">
        <v>7873</v>
      </c>
      <c r="C308" t="b">
        <v>1</v>
      </c>
      <c r="D308">
        <v>8023</v>
      </c>
      <c r="E308">
        <v>8134</v>
      </c>
      <c r="F308">
        <v>202.6</v>
      </c>
      <c r="G308">
        <v>194</v>
      </c>
      <c r="H308">
        <v>1.0443298999999999</v>
      </c>
      <c r="I308">
        <v>-4.4329929999999997E-2</v>
      </c>
      <c r="J308">
        <v>0.48915783000000002</v>
      </c>
      <c r="K308">
        <f xml:space="preserve"> -55.696 * _2026_04_17_16_25_21_23_high[[#This Row],[coeff]] + 79.57</f>
        <v>21.405001889600001</v>
      </c>
      <c r="L308">
        <f xml:space="preserve"> -55.696 * _2026_04_17_16_25_21_23_high[[#This Row],[coeff]] + 79.57</f>
        <v>21.405001889600001</v>
      </c>
    </row>
    <row r="309" spans="1:12" x14ac:dyDescent="0.3">
      <c r="A309">
        <v>307</v>
      </c>
      <c r="B309">
        <v>7905</v>
      </c>
      <c r="C309" t="b">
        <v>1</v>
      </c>
      <c r="D309">
        <v>8017</v>
      </c>
      <c r="E309">
        <v>8099</v>
      </c>
      <c r="F309">
        <v>202.6</v>
      </c>
      <c r="G309">
        <v>194</v>
      </c>
      <c r="H309">
        <v>1.0443298999999999</v>
      </c>
      <c r="I309">
        <v>-4.4329929999999997E-2</v>
      </c>
      <c r="J309">
        <v>0.48915783000000002</v>
      </c>
      <c r="K309">
        <f xml:space="preserve"> -55.696 * _2026_04_17_16_25_21_23_high[[#This Row],[coeff]] + 79.57</f>
        <v>21.405001889600001</v>
      </c>
      <c r="L309">
        <f xml:space="preserve"> -55.696 * _2026_04_17_16_25_21_23_high[[#This Row],[coeff]] + 79.57</f>
        <v>21.405001889600001</v>
      </c>
    </row>
    <row r="310" spans="1:12" x14ac:dyDescent="0.3">
      <c r="A310">
        <v>308</v>
      </c>
      <c r="B310">
        <v>7938</v>
      </c>
      <c r="C310" t="b">
        <v>1</v>
      </c>
      <c r="D310">
        <v>8042</v>
      </c>
      <c r="E310">
        <v>8111</v>
      </c>
      <c r="F310">
        <v>202.93333000000001</v>
      </c>
      <c r="G310">
        <v>194</v>
      </c>
      <c r="H310">
        <v>1.0460482</v>
      </c>
      <c r="I310">
        <v>-4.6048116E-2</v>
      </c>
      <c r="J310">
        <v>0.48874703000000003</v>
      </c>
      <c r="K310">
        <f xml:space="preserve"> -55.696 * _2026_04_17_16_25_21_23_high[[#This Row],[coeff]] + 79.57</f>
        <v>21.309299452799998</v>
      </c>
      <c r="L310">
        <f xml:space="preserve"> -55.696 * _2026_04_17_16_25_21_23_high[[#This Row],[coeff]] + 79.57</f>
        <v>21.309299452799998</v>
      </c>
    </row>
    <row r="311" spans="1:12" x14ac:dyDescent="0.3">
      <c r="A311">
        <v>309</v>
      </c>
      <c r="B311">
        <v>7969</v>
      </c>
      <c r="C311" t="b">
        <v>1</v>
      </c>
      <c r="D311">
        <v>8030</v>
      </c>
      <c r="E311">
        <v>8123</v>
      </c>
      <c r="F311">
        <v>201.73334</v>
      </c>
      <c r="G311">
        <v>194.4</v>
      </c>
      <c r="H311">
        <v>1.037723</v>
      </c>
      <c r="I311">
        <v>-3.772296E-2</v>
      </c>
      <c r="J311">
        <v>0.49074384999999998</v>
      </c>
      <c r="K311">
        <f xml:space="preserve"> -55.696 * _2026_04_17_16_25_21_23_high[[#This Row],[coeff]] + 79.57</f>
        <v>21.772979792000001</v>
      </c>
      <c r="L311">
        <f xml:space="preserve"> -55.696 * _2026_04_17_16_25_21_23_high[[#This Row],[coeff]] + 79.57</f>
        <v>21.772979792000001</v>
      </c>
    </row>
    <row r="312" spans="1:12" x14ac:dyDescent="0.3">
      <c r="A312">
        <v>310</v>
      </c>
      <c r="B312">
        <v>8001</v>
      </c>
      <c r="C312" t="b">
        <v>1</v>
      </c>
      <c r="D312">
        <v>8030</v>
      </c>
      <c r="E312">
        <v>8117</v>
      </c>
      <c r="F312">
        <v>200.53334000000001</v>
      </c>
      <c r="G312">
        <v>195.2</v>
      </c>
      <c r="H312">
        <v>1.0273224000000001</v>
      </c>
      <c r="I312">
        <v>-2.7322455999999998E-2</v>
      </c>
      <c r="J312">
        <v>0.49326145999999998</v>
      </c>
      <c r="K312">
        <f xml:space="preserve"> -55.696 * _2026_04_17_16_25_21_23_high[[#This Row],[coeff]] + 79.57</f>
        <v>22.352251609599989</v>
      </c>
      <c r="L312">
        <f xml:space="preserve"> -55.696 * _2026_04_17_16_25_21_23_high[[#This Row],[coeff]] + 79.57</f>
        <v>22.352251609599989</v>
      </c>
    </row>
    <row r="313" spans="1:12" x14ac:dyDescent="0.3">
      <c r="A313">
        <v>311</v>
      </c>
      <c r="B313">
        <v>8032</v>
      </c>
      <c r="C313" t="b">
        <v>1</v>
      </c>
      <c r="D313">
        <v>8023</v>
      </c>
      <c r="E313">
        <v>8111</v>
      </c>
      <c r="F313">
        <v>199.73334</v>
      </c>
      <c r="G313">
        <v>195.6</v>
      </c>
      <c r="H313">
        <v>1.0211315000000001</v>
      </c>
      <c r="I313">
        <v>-2.1131548999999999E-2</v>
      </c>
      <c r="J313">
        <v>0.49477233999999998</v>
      </c>
      <c r="K313">
        <f xml:space="preserve"> -55.696 * _2026_04_17_16_25_21_23_high[[#This Row],[coeff]] + 79.57</f>
        <v>22.697059975999991</v>
      </c>
      <c r="L313">
        <f xml:space="preserve"> -55.696 * _2026_04_17_16_25_21_23_high[[#This Row],[coeff]] + 79.57</f>
        <v>22.697059975999991</v>
      </c>
    </row>
    <row r="314" spans="1:12" x14ac:dyDescent="0.3">
      <c r="A314">
        <v>312</v>
      </c>
      <c r="B314">
        <v>8064</v>
      </c>
      <c r="C314" t="b">
        <v>1</v>
      </c>
      <c r="D314">
        <v>8023</v>
      </c>
      <c r="E314">
        <v>8099</v>
      </c>
      <c r="F314">
        <v>198.53334000000001</v>
      </c>
      <c r="G314">
        <v>195.6</v>
      </c>
      <c r="H314">
        <v>1.0149965999999999</v>
      </c>
      <c r="I314">
        <v>-1.4996597E-2</v>
      </c>
      <c r="J314">
        <v>0.49627873</v>
      </c>
      <c r="K314">
        <f xml:space="preserve"> -55.696 * _2026_04_17_16_25_21_23_high[[#This Row],[coeff]] + 79.57</f>
        <v>23.038749366399998</v>
      </c>
      <c r="L314">
        <f xml:space="preserve"> -55.696 * _2026_04_17_16_25_21_23_high[[#This Row],[coeff]] + 79.57</f>
        <v>23.038749366399998</v>
      </c>
    </row>
    <row r="315" spans="1:12" x14ac:dyDescent="0.3">
      <c r="A315">
        <v>313</v>
      </c>
      <c r="B315">
        <v>8080</v>
      </c>
      <c r="C315" t="b">
        <v>1</v>
      </c>
      <c r="D315">
        <v>8017</v>
      </c>
      <c r="E315">
        <v>8105</v>
      </c>
      <c r="F315">
        <v>196.86667</v>
      </c>
      <c r="G315">
        <v>196</v>
      </c>
      <c r="H315">
        <v>1.0044218</v>
      </c>
      <c r="I315">
        <v>-4.4217789999999998E-3</v>
      </c>
      <c r="J315">
        <v>0.49889699999999998</v>
      </c>
      <c r="K315">
        <f xml:space="preserve"> -55.696 * _2026_04_17_16_25_21_23_high[[#This Row],[coeff]] + 79.57</f>
        <v>23.627723427199996</v>
      </c>
      <c r="L315">
        <f xml:space="preserve"> -55.696 * _2026_04_17_16_25_21_23_high[[#This Row],[coeff]] + 79.57</f>
        <v>23.627723427199996</v>
      </c>
    </row>
    <row r="316" spans="1:12" x14ac:dyDescent="0.3">
      <c r="A316">
        <v>314</v>
      </c>
      <c r="B316">
        <v>8095</v>
      </c>
      <c r="C316" t="b">
        <v>1</v>
      </c>
      <c r="D316">
        <v>8042</v>
      </c>
      <c r="E316">
        <v>8111</v>
      </c>
      <c r="F316">
        <v>195.6</v>
      </c>
      <c r="G316">
        <v>196.4</v>
      </c>
      <c r="H316">
        <v>0.99592674000000003</v>
      </c>
      <c r="I316">
        <v>4.0732575999999996E-3</v>
      </c>
      <c r="J316">
        <v>0.50102040000000003</v>
      </c>
      <c r="K316">
        <f xml:space="preserve"> -55.696 * _2026_04_17_16_25_21_23_high[[#This Row],[coeff]] + 79.57</f>
        <v>24.100864288959997</v>
      </c>
      <c r="L316">
        <f xml:space="preserve"> -55.696 * _2026_04_17_16_25_21_23_high[[#This Row],[coeff]] + 79.57</f>
        <v>24.100864288959997</v>
      </c>
    </row>
    <row r="317" spans="1:12" x14ac:dyDescent="0.3">
      <c r="A317">
        <v>315</v>
      </c>
      <c r="B317">
        <v>8127</v>
      </c>
      <c r="C317" t="b">
        <v>1</v>
      </c>
      <c r="D317">
        <v>8042</v>
      </c>
      <c r="E317">
        <v>8099</v>
      </c>
      <c r="F317">
        <v>194.33332999999999</v>
      </c>
      <c r="G317">
        <v>196</v>
      </c>
      <c r="H317">
        <v>0.99149655999999997</v>
      </c>
      <c r="I317">
        <v>8.5034280000000004E-3</v>
      </c>
      <c r="J317">
        <v>0.502135</v>
      </c>
      <c r="K317">
        <f xml:space="preserve"> -55.696 * _2026_04_17_16_25_21_23_high[[#This Row],[coeff]] + 79.57</f>
        <v>24.347607594239996</v>
      </c>
      <c r="L317">
        <f xml:space="preserve"> -55.696 * _2026_04_17_16_25_21_23_high[[#This Row],[coeff]] + 79.57</f>
        <v>24.347607594239996</v>
      </c>
    </row>
    <row r="318" spans="1:12" x14ac:dyDescent="0.3">
      <c r="A318">
        <v>316</v>
      </c>
      <c r="B318">
        <v>8159</v>
      </c>
      <c r="C318" t="b">
        <v>1</v>
      </c>
      <c r="D318">
        <v>8042</v>
      </c>
      <c r="E318">
        <v>8129</v>
      </c>
      <c r="F318">
        <v>194.33332999999999</v>
      </c>
      <c r="G318">
        <v>195.6</v>
      </c>
      <c r="H318">
        <v>0.99352412999999995</v>
      </c>
      <c r="I318">
        <v>6.4758580000000001E-3</v>
      </c>
      <c r="J318">
        <v>0.50162419999999996</v>
      </c>
      <c r="K318">
        <f xml:space="preserve"> -55.696 * _2026_04_17_16_25_21_23_high[[#This Row],[coeff]] + 79.57</f>
        <v>24.234680055519995</v>
      </c>
      <c r="L318">
        <f xml:space="preserve"> -55.696 * _2026_04_17_16_25_21_23_high[[#This Row],[coeff]] + 79.57</f>
        <v>24.234680055519995</v>
      </c>
    </row>
    <row r="319" spans="1:12" x14ac:dyDescent="0.3">
      <c r="A319">
        <v>317</v>
      </c>
      <c r="B319">
        <v>8191</v>
      </c>
      <c r="C319" t="b">
        <v>1</v>
      </c>
      <c r="D319">
        <v>8042</v>
      </c>
      <c r="E319">
        <v>8099</v>
      </c>
      <c r="F319">
        <v>194.33332999999999</v>
      </c>
      <c r="G319">
        <v>194.8</v>
      </c>
      <c r="H319">
        <v>0.9976043</v>
      </c>
      <c r="I319">
        <v>2.3956609999999999E-3</v>
      </c>
      <c r="J319">
        <v>0.50059960000000003</v>
      </c>
      <c r="K319">
        <f xml:space="preserve"> -55.696 * _2026_04_17_16_25_21_23_high[[#This Row],[coeff]] + 79.57</f>
        <v>24.007430907199996</v>
      </c>
      <c r="L319">
        <f xml:space="preserve"> -55.696 * _2026_04_17_16_25_21_23_high[[#This Row],[coeff]] + 79.57</f>
        <v>24.007430907199996</v>
      </c>
    </row>
    <row r="320" spans="1:12" x14ac:dyDescent="0.3">
      <c r="A320">
        <v>318</v>
      </c>
      <c r="B320">
        <v>8222</v>
      </c>
      <c r="C320" t="b">
        <v>1</v>
      </c>
      <c r="D320">
        <v>8042</v>
      </c>
      <c r="E320">
        <v>8075</v>
      </c>
      <c r="F320">
        <v>194.66667000000001</v>
      </c>
      <c r="G320">
        <v>193.6</v>
      </c>
      <c r="H320">
        <v>1.0055095999999999</v>
      </c>
      <c r="I320">
        <v>-5.5096364000000002E-3</v>
      </c>
      <c r="J320">
        <v>0.49862637999999998</v>
      </c>
      <c r="K320">
        <f xml:space="preserve"> -55.696 * _2026_04_17_16_25_21_23_high[[#This Row],[coeff]] + 79.57</f>
        <v>23.5671373184</v>
      </c>
      <c r="L320">
        <f xml:space="preserve"> -55.696 * _2026_04_17_16_25_21_23_high[[#This Row],[coeff]] + 79.57</f>
        <v>23.5671373184</v>
      </c>
    </row>
    <row r="321" spans="1:12" x14ac:dyDescent="0.3">
      <c r="A321">
        <v>319</v>
      </c>
      <c r="B321">
        <v>8238</v>
      </c>
      <c r="C321" t="b">
        <v>1</v>
      </c>
      <c r="D321">
        <v>8054</v>
      </c>
      <c r="E321">
        <v>8081</v>
      </c>
      <c r="F321">
        <v>194.66667000000001</v>
      </c>
      <c r="G321">
        <v>192.8</v>
      </c>
      <c r="H321">
        <v>1.0096818999999999</v>
      </c>
      <c r="I321">
        <v>-9.6818919999999992E-3</v>
      </c>
      <c r="J321">
        <v>0.49759120000000001</v>
      </c>
      <c r="K321">
        <f xml:space="preserve"> -55.696 * _2026_04_17_16_25_21_23_high[[#This Row],[coeff]] + 79.57</f>
        <v>23.334756897600002</v>
      </c>
      <c r="L321">
        <f xml:space="preserve"> -55.696 * _2026_04_17_16_25_21_23_high[[#This Row],[coeff]] + 79.57</f>
        <v>23.334756897600002</v>
      </c>
    </row>
    <row r="322" spans="1:12" x14ac:dyDescent="0.3">
      <c r="A322">
        <v>320</v>
      </c>
      <c r="B322">
        <v>8254</v>
      </c>
      <c r="C322" t="b">
        <v>1</v>
      </c>
      <c r="D322">
        <v>8048</v>
      </c>
      <c r="E322">
        <v>8105</v>
      </c>
      <c r="F322">
        <v>194.66667000000001</v>
      </c>
      <c r="G322">
        <v>192</v>
      </c>
      <c r="H322">
        <v>1.013889</v>
      </c>
      <c r="I322">
        <v>-1.3888915E-2</v>
      </c>
      <c r="J322">
        <v>0.49655169999999998</v>
      </c>
      <c r="K322">
        <f xml:space="preserve"> -55.696 * _2026_04_17_16_25_21_23_high[[#This Row],[coeff]] + 79.57</f>
        <v>23.10043825599999</v>
      </c>
      <c r="L322">
        <f xml:space="preserve"> -55.696 * _2026_04_17_16_25_21_23_high[[#This Row],[coeff]] + 79.57</f>
        <v>23.10043825599999</v>
      </c>
    </row>
    <row r="323" spans="1:12" x14ac:dyDescent="0.3">
      <c r="A323">
        <v>321</v>
      </c>
      <c r="B323">
        <v>8270</v>
      </c>
      <c r="C323" t="b">
        <v>1</v>
      </c>
      <c r="D323">
        <v>8048</v>
      </c>
      <c r="E323">
        <v>8123</v>
      </c>
      <c r="F323">
        <v>195.06666999999999</v>
      </c>
      <c r="G323">
        <v>191.2</v>
      </c>
      <c r="H323">
        <v>1.0202230999999999</v>
      </c>
      <c r="I323">
        <v>-2.0223162999999999E-2</v>
      </c>
      <c r="J323">
        <v>0.49499482</v>
      </c>
      <c r="K323">
        <f xml:space="preserve"> -55.696 * _2026_04_17_16_25_21_23_high[[#This Row],[coeff]] + 79.57</f>
        <v>22.747654222400001</v>
      </c>
      <c r="L323">
        <f xml:space="preserve"> -55.696 * _2026_04_17_16_25_21_23_high[[#This Row],[coeff]] + 79.57</f>
        <v>22.747654222400001</v>
      </c>
    </row>
    <row r="324" spans="1:12" x14ac:dyDescent="0.3">
      <c r="A324">
        <v>322</v>
      </c>
      <c r="B324">
        <v>8286</v>
      </c>
      <c r="C324" t="b">
        <v>1</v>
      </c>
      <c r="D324">
        <v>8037</v>
      </c>
      <c r="E324">
        <v>8105</v>
      </c>
      <c r="F324">
        <v>195.8</v>
      </c>
      <c r="G324">
        <v>191.2</v>
      </c>
      <c r="H324">
        <v>1.0240586</v>
      </c>
      <c r="I324">
        <v>-2.4058610000000001E-2</v>
      </c>
      <c r="J324">
        <v>0.49405684999999999</v>
      </c>
      <c r="K324">
        <f xml:space="preserve"> -55.696 * _2026_04_17_16_25_21_23_high[[#This Row],[coeff]] + 79.57</f>
        <v>22.534032214399993</v>
      </c>
      <c r="L324">
        <f xml:space="preserve"> -55.696 * _2026_04_17_16_25_21_23_high[[#This Row],[coeff]] + 79.57</f>
        <v>22.534032214399993</v>
      </c>
    </row>
    <row r="325" spans="1:12" x14ac:dyDescent="0.3">
      <c r="A325">
        <v>323</v>
      </c>
      <c r="B325">
        <v>8318</v>
      </c>
      <c r="C325" t="b">
        <v>1</v>
      </c>
      <c r="D325">
        <v>8023</v>
      </c>
      <c r="E325">
        <v>8081</v>
      </c>
      <c r="F325">
        <v>196.2</v>
      </c>
      <c r="G325">
        <v>191.2</v>
      </c>
      <c r="H325">
        <v>1.0261506</v>
      </c>
      <c r="I325">
        <v>-2.6150629000000002E-2</v>
      </c>
      <c r="J325">
        <v>0.49354671999999999</v>
      </c>
      <c r="K325">
        <f xml:space="preserve"> -55.696 * _2026_04_17_16_25_21_23_high[[#This Row],[coeff]] + 79.57</f>
        <v>22.417516182399993</v>
      </c>
      <c r="L325">
        <f xml:space="preserve"> -55.696 * _2026_04_17_16_25_21_23_high[[#This Row],[coeff]] + 79.57</f>
        <v>22.417516182399993</v>
      </c>
    </row>
    <row r="326" spans="1:12" x14ac:dyDescent="0.3">
      <c r="A326">
        <v>324</v>
      </c>
      <c r="B326">
        <v>8349</v>
      </c>
      <c r="C326" t="b">
        <v>1</v>
      </c>
      <c r="D326">
        <v>8054</v>
      </c>
      <c r="E326">
        <v>8111</v>
      </c>
      <c r="F326">
        <v>197.4</v>
      </c>
      <c r="G326">
        <v>190.8</v>
      </c>
      <c r="H326">
        <v>1.0345911999999999</v>
      </c>
      <c r="I326">
        <v>-3.4591146000000003E-2</v>
      </c>
      <c r="J326">
        <v>0.49149922000000001</v>
      </c>
      <c r="K326">
        <f xml:space="preserve"> -55.696 * _2026_04_17_16_25_21_23_high[[#This Row],[coeff]] + 79.57</f>
        <v>21.947408524799997</v>
      </c>
      <c r="L326">
        <f xml:space="preserve"> -55.696 * _2026_04_17_16_25_21_23_high[[#This Row],[coeff]] + 79.57</f>
        <v>21.947408524799997</v>
      </c>
    </row>
    <row r="327" spans="1:12" x14ac:dyDescent="0.3">
      <c r="A327">
        <v>325</v>
      </c>
      <c r="B327">
        <v>8381</v>
      </c>
      <c r="C327" t="b">
        <v>1</v>
      </c>
      <c r="D327">
        <v>8054</v>
      </c>
      <c r="E327">
        <v>8111</v>
      </c>
      <c r="F327">
        <v>198.6</v>
      </c>
      <c r="G327">
        <v>190.4</v>
      </c>
      <c r="H327">
        <v>1.0430672999999999</v>
      </c>
      <c r="I327">
        <v>-4.3067290000000001E-2</v>
      </c>
      <c r="J327">
        <v>0.48946013999999999</v>
      </c>
      <c r="K327">
        <f xml:space="preserve"> -55.696 * _2026_04_17_16_25_21_23_high[[#This Row],[coeff]] + 79.57</f>
        <v>21.475323659200001</v>
      </c>
      <c r="L327">
        <f xml:space="preserve"> -55.696 * _2026_04_17_16_25_21_23_high[[#This Row],[coeff]] + 79.57</f>
        <v>21.475323659200001</v>
      </c>
    </row>
    <row r="328" spans="1:12" x14ac:dyDescent="0.3">
      <c r="A328">
        <v>326</v>
      </c>
      <c r="B328">
        <v>8397</v>
      </c>
      <c r="C328" t="b">
        <v>1</v>
      </c>
      <c r="D328">
        <v>8037</v>
      </c>
      <c r="E328">
        <v>8093</v>
      </c>
      <c r="F328">
        <v>199.06666999999999</v>
      </c>
      <c r="G328">
        <v>190</v>
      </c>
      <c r="H328">
        <v>1.0477192</v>
      </c>
      <c r="I328">
        <v>-4.7719292000000003E-2</v>
      </c>
      <c r="J328">
        <v>0.48834822</v>
      </c>
      <c r="K328">
        <f xml:space="preserve"> -55.696 * _2026_04_17_16_25_21_23_high[[#This Row],[coeff]] + 79.57</f>
        <v>21.216231436799994</v>
      </c>
      <c r="L328">
        <f xml:space="preserve"> -55.696 * _2026_04_17_16_25_21_23_high[[#This Row],[coeff]] + 79.57</f>
        <v>21.216231436799994</v>
      </c>
    </row>
    <row r="329" spans="1:12" x14ac:dyDescent="0.3">
      <c r="A329">
        <v>327</v>
      </c>
      <c r="B329">
        <v>8429</v>
      </c>
      <c r="C329" t="b">
        <v>1</v>
      </c>
      <c r="D329">
        <v>8048</v>
      </c>
      <c r="E329">
        <v>8105</v>
      </c>
      <c r="F329">
        <v>200.26666</v>
      </c>
      <c r="G329">
        <v>189.6</v>
      </c>
      <c r="H329">
        <v>1.0562587000000001</v>
      </c>
      <c r="I329">
        <v>-5.6258733999999998E-2</v>
      </c>
      <c r="J329">
        <v>0.48632009999999998</v>
      </c>
      <c r="K329">
        <f xml:space="preserve"> -55.696 * _2026_04_17_16_25_21_23_high[[#This Row],[coeff]] + 79.57</f>
        <v>20.740615444799992</v>
      </c>
      <c r="L329">
        <f xml:space="preserve"> -55.696 * _2026_04_17_16_25_21_23_high[[#This Row],[coeff]] + 79.57</f>
        <v>20.740615444799992</v>
      </c>
    </row>
    <row r="330" spans="1:12" x14ac:dyDescent="0.3">
      <c r="A330">
        <v>328</v>
      </c>
      <c r="B330">
        <v>8460</v>
      </c>
      <c r="C330" t="b">
        <v>1</v>
      </c>
      <c r="D330">
        <v>8023</v>
      </c>
      <c r="E330">
        <v>8111</v>
      </c>
      <c r="F330">
        <v>201.93333000000001</v>
      </c>
      <c r="G330">
        <v>189.6</v>
      </c>
      <c r="H330">
        <v>1.0650492</v>
      </c>
      <c r="I330">
        <v>-6.5049194000000005E-2</v>
      </c>
      <c r="J330">
        <v>0.48424998000000002</v>
      </c>
      <c r="K330">
        <f xml:space="preserve"> -55.696 * _2026_04_17_16_25_21_23_high[[#This Row],[coeff]] + 79.57</f>
        <v>20.251019756799991</v>
      </c>
      <c r="L330">
        <f xml:space="preserve"> -55.696 * _2026_04_17_16_25_21_23_high[[#This Row],[coeff]] + 79.57</f>
        <v>20.251019756799991</v>
      </c>
    </row>
    <row r="331" spans="1:12" x14ac:dyDescent="0.3">
      <c r="A331">
        <v>329</v>
      </c>
      <c r="B331">
        <v>8493</v>
      </c>
      <c r="C331" t="b">
        <v>1</v>
      </c>
      <c r="D331">
        <v>8048</v>
      </c>
      <c r="E331">
        <v>8099</v>
      </c>
      <c r="F331">
        <v>203.6</v>
      </c>
      <c r="G331">
        <v>189.2</v>
      </c>
      <c r="H331">
        <v>1.0761099999999999</v>
      </c>
      <c r="I331">
        <v>-7.6109979999999994E-2</v>
      </c>
      <c r="J331">
        <v>0.48167008</v>
      </c>
      <c r="K331">
        <f xml:space="preserve"> -55.696 * _2026_04_17_16_25_21_23_high[[#This Row],[coeff]] + 79.57</f>
        <v>19.63497744</v>
      </c>
      <c r="L331">
        <f xml:space="preserve"> -55.696 * _2026_04_17_16_25_21_23_high[[#This Row],[coeff]] + 79.57</f>
        <v>19.63497744</v>
      </c>
    </row>
    <row r="332" spans="1:12" x14ac:dyDescent="0.3">
      <c r="A332">
        <v>330</v>
      </c>
      <c r="B332">
        <v>8524</v>
      </c>
      <c r="C332" t="b">
        <v>1</v>
      </c>
      <c r="D332">
        <v>8048</v>
      </c>
      <c r="E332">
        <v>8105</v>
      </c>
      <c r="F332">
        <v>205.26666</v>
      </c>
      <c r="G332">
        <v>189.2</v>
      </c>
      <c r="H332">
        <v>1.084919</v>
      </c>
      <c r="I332">
        <v>-8.4918950000000007E-2</v>
      </c>
      <c r="J332">
        <v>0.47963494000000001</v>
      </c>
      <c r="K332">
        <f xml:space="preserve"> -55.696 * _2026_04_17_16_25_21_23_high[[#This Row],[coeff]] + 79.57</f>
        <v>19.144351375999996</v>
      </c>
      <c r="L332">
        <f xml:space="preserve"> -55.696 * _2026_04_17_16_25_21_23_high[[#This Row],[coeff]] + 79.57</f>
        <v>19.144351375999996</v>
      </c>
    </row>
    <row r="333" spans="1:12" x14ac:dyDescent="0.3">
      <c r="A333">
        <v>331</v>
      </c>
      <c r="B333">
        <v>8556</v>
      </c>
      <c r="C333" t="b">
        <v>1</v>
      </c>
      <c r="D333">
        <v>8042</v>
      </c>
      <c r="E333">
        <v>8105</v>
      </c>
      <c r="F333">
        <v>205.66667000000001</v>
      </c>
      <c r="G333">
        <v>189.2</v>
      </c>
      <c r="H333">
        <v>1.0870332</v>
      </c>
      <c r="I333">
        <v>-8.7033170000000007E-2</v>
      </c>
      <c r="J333">
        <v>0.47914907000000001</v>
      </c>
      <c r="K333">
        <f xml:space="preserve"> -55.696 * _2026_04_17_16_25_21_23_high[[#This Row],[coeff]] + 79.57</f>
        <v>19.026598892799996</v>
      </c>
      <c r="L333">
        <f xml:space="preserve"> -55.696 * _2026_04_17_16_25_21_23_high[[#This Row],[coeff]] + 79.57</f>
        <v>19.026598892799996</v>
      </c>
    </row>
    <row r="334" spans="1:12" x14ac:dyDescent="0.3">
      <c r="A334">
        <v>332</v>
      </c>
      <c r="B334">
        <v>8571</v>
      </c>
      <c r="C334" t="b">
        <v>1</v>
      </c>
      <c r="D334">
        <v>8037</v>
      </c>
      <c r="E334">
        <v>8111</v>
      </c>
      <c r="F334">
        <v>205.66667000000001</v>
      </c>
      <c r="G334">
        <v>189.2</v>
      </c>
      <c r="H334">
        <v>1.0870332</v>
      </c>
      <c r="I334">
        <v>-8.7033170000000007E-2</v>
      </c>
      <c r="J334">
        <v>0.47914907000000001</v>
      </c>
      <c r="K334">
        <f xml:space="preserve"> -55.696 * _2026_04_17_16_25_21_23_high[[#This Row],[coeff]] + 79.57</f>
        <v>19.026598892799996</v>
      </c>
      <c r="L334">
        <f xml:space="preserve"> -55.696 * _2026_04_17_16_25_21_23_high[[#This Row],[coeff]] + 79.57</f>
        <v>19.026598892799996</v>
      </c>
    </row>
    <row r="335" spans="1:12" x14ac:dyDescent="0.3">
      <c r="A335">
        <v>333</v>
      </c>
      <c r="B335">
        <v>8587</v>
      </c>
      <c r="C335" t="b">
        <v>1</v>
      </c>
      <c r="D335">
        <v>8042</v>
      </c>
      <c r="E335">
        <v>8111</v>
      </c>
      <c r="F335">
        <v>205.66667000000001</v>
      </c>
      <c r="G335">
        <v>189.6</v>
      </c>
      <c r="H335">
        <v>1.0847397999999999</v>
      </c>
      <c r="I335">
        <v>-8.4739800000000004E-2</v>
      </c>
      <c r="J335">
        <v>0.4796762</v>
      </c>
      <c r="K335">
        <f xml:space="preserve"> -55.696 * _2026_04_17_16_25_21_23_high[[#This Row],[coeff]] + 79.57</f>
        <v>19.154332099199998</v>
      </c>
      <c r="L335">
        <f xml:space="preserve"> -55.696 * _2026_04_17_16_25_21_23_high[[#This Row],[coeff]] + 79.57</f>
        <v>19.154332099199998</v>
      </c>
    </row>
    <row r="336" spans="1:12" x14ac:dyDescent="0.3">
      <c r="A336">
        <v>334</v>
      </c>
      <c r="B336">
        <v>8619</v>
      </c>
      <c r="C336" t="b">
        <v>1</v>
      </c>
      <c r="D336">
        <v>8048</v>
      </c>
      <c r="E336">
        <v>8111</v>
      </c>
      <c r="F336">
        <v>205.66667000000001</v>
      </c>
      <c r="G336">
        <v>190.4</v>
      </c>
      <c r="H336">
        <v>1.0801821</v>
      </c>
      <c r="I336">
        <v>-8.0182135000000002E-2</v>
      </c>
      <c r="J336">
        <v>0.48072716999999998</v>
      </c>
      <c r="K336">
        <f xml:space="preserve"> -55.696 * _2026_04_17_16_25_21_23_high[[#This Row],[coeff]] + 79.57</f>
        <v>19.408177758399994</v>
      </c>
      <c r="L336">
        <f xml:space="preserve"> -55.696 * _2026_04_17_16_25_21_23_high[[#This Row],[coeff]] + 79.57</f>
        <v>19.408177758399994</v>
      </c>
    </row>
    <row r="337" spans="1:12" x14ac:dyDescent="0.3">
      <c r="A337">
        <v>335</v>
      </c>
      <c r="B337">
        <v>8651</v>
      </c>
      <c r="C337" t="b">
        <v>1</v>
      </c>
      <c r="D337">
        <v>8037</v>
      </c>
      <c r="E337">
        <v>8123</v>
      </c>
      <c r="F337">
        <v>205.66667000000001</v>
      </c>
      <c r="G337">
        <v>191.2</v>
      </c>
      <c r="H337">
        <v>1.0756625</v>
      </c>
      <c r="I337">
        <v>-7.5662519999999997E-2</v>
      </c>
      <c r="J337">
        <v>0.48177387999999999</v>
      </c>
      <c r="K337">
        <f xml:space="preserve"> -55.696 * _2026_04_17_16_25_21_23_high[[#This Row],[coeff]] + 79.57</f>
        <v>19.659901399999995</v>
      </c>
      <c r="L337">
        <f xml:space="preserve"> -55.696 * _2026_04_17_16_25_21_23_high[[#This Row],[coeff]] + 79.57</f>
        <v>19.659901399999995</v>
      </c>
    </row>
    <row r="338" spans="1:12" x14ac:dyDescent="0.3">
      <c r="A338">
        <v>336</v>
      </c>
      <c r="B338">
        <v>8683</v>
      </c>
      <c r="C338" t="b">
        <v>1</v>
      </c>
      <c r="D338">
        <v>8048</v>
      </c>
      <c r="E338">
        <v>8129</v>
      </c>
      <c r="F338">
        <v>205.26666</v>
      </c>
      <c r="G338">
        <v>192</v>
      </c>
      <c r="H338">
        <v>1.0690972000000001</v>
      </c>
      <c r="I338">
        <v>-6.9097199999999998E-2</v>
      </c>
      <c r="J338">
        <v>0.48330255999999999</v>
      </c>
      <c r="K338">
        <f xml:space="preserve"> -55.696 * _2026_04_17_16_25_21_23_high[[#This Row],[coeff]] + 79.57</f>
        <v>20.025562348799994</v>
      </c>
      <c r="L338">
        <f xml:space="preserve"> -55.696 * _2026_04_17_16_25_21_23_high[[#This Row],[coeff]] + 79.57</f>
        <v>20.025562348799994</v>
      </c>
    </row>
    <row r="339" spans="1:12" x14ac:dyDescent="0.3">
      <c r="A339">
        <v>337</v>
      </c>
      <c r="B339">
        <v>8699</v>
      </c>
      <c r="C339" t="b">
        <v>1</v>
      </c>
      <c r="D339">
        <v>8060</v>
      </c>
      <c r="E339">
        <v>8105</v>
      </c>
      <c r="F339">
        <v>205.26666</v>
      </c>
      <c r="G339">
        <v>192.4</v>
      </c>
      <c r="H339">
        <v>1.0668746</v>
      </c>
      <c r="I339">
        <v>-6.6874580000000003E-2</v>
      </c>
      <c r="J339">
        <v>0.48382229999999998</v>
      </c>
      <c r="K339">
        <f xml:space="preserve"> -55.696 * _2026_04_17_16_25_21_23_high[[#This Row],[coeff]] + 79.57</f>
        <v>20.149352278399995</v>
      </c>
      <c r="L339">
        <f xml:space="preserve"> -55.696 * _2026_04_17_16_25_21_23_high[[#This Row],[coeff]] + 79.57</f>
        <v>20.149352278399995</v>
      </c>
    </row>
    <row r="340" spans="1:12" x14ac:dyDescent="0.3">
      <c r="A340">
        <v>338</v>
      </c>
      <c r="B340">
        <v>8730</v>
      </c>
      <c r="C340" t="b">
        <v>1</v>
      </c>
      <c r="D340">
        <v>8030</v>
      </c>
      <c r="E340">
        <v>8123</v>
      </c>
      <c r="F340">
        <v>205.26666</v>
      </c>
      <c r="G340">
        <v>193.6</v>
      </c>
      <c r="H340">
        <v>1.0602616</v>
      </c>
      <c r="I340">
        <v>-6.0261651999999999E-2</v>
      </c>
      <c r="J340">
        <v>0.48537525999999998</v>
      </c>
      <c r="K340">
        <f xml:space="preserve"> -55.696 * _2026_04_17_16_25_21_23_high[[#This Row],[coeff]] + 79.57</f>
        <v>20.517669926399996</v>
      </c>
      <c r="L340">
        <f xml:space="preserve"> -55.696 * _2026_04_17_16_25_21_23_high[[#This Row],[coeff]] + 79.57</f>
        <v>20.517669926399996</v>
      </c>
    </row>
    <row r="341" spans="1:12" x14ac:dyDescent="0.3">
      <c r="A341">
        <v>339</v>
      </c>
      <c r="B341">
        <v>8746</v>
      </c>
      <c r="C341" t="b">
        <v>1</v>
      </c>
      <c r="D341">
        <v>8023</v>
      </c>
      <c r="E341">
        <v>8099</v>
      </c>
      <c r="F341">
        <v>204.53334000000001</v>
      </c>
      <c r="G341">
        <v>194.8</v>
      </c>
      <c r="H341">
        <v>1.0499657</v>
      </c>
      <c r="I341">
        <v>-4.9965795E-2</v>
      </c>
      <c r="J341">
        <v>0.48781302999999998</v>
      </c>
      <c r="K341">
        <f xml:space="preserve"> -55.696 * _2026_04_17_16_25_21_23_high[[#This Row],[coeff]] + 79.57</f>
        <v>21.091110372799996</v>
      </c>
      <c r="L341">
        <f xml:space="preserve"> -55.696 * _2026_04_17_16_25_21_23_high[[#This Row],[coeff]] + 79.57</f>
        <v>21.091110372799996</v>
      </c>
    </row>
    <row r="342" spans="1:12" x14ac:dyDescent="0.3">
      <c r="A342">
        <v>340</v>
      </c>
      <c r="B342">
        <v>8778</v>
      </c>
      <c r="C342" t="b">
        <v>1</v>
      </c>
      <c r="D342">
        <v>8037</v>
      </c>
      <c r="E342">
        <v>8099</v>
      </c>
      <c r="F342">
        <v>203.8</v>
      </c>
      <c r="G342">
        <v>194.4</v>
      </c>
      <c r="H342">
        <v>1.0483538999999999</v>
      </c>
      <c r="I342">
        <v>-4.8353960000000001E-2</v>
      </c>
      <c r="J342">
        <v>0.48819685000000002</v>
      </c>
      <c r="K342">
        <f xml:space="preserve"> -55.696 * _2026_04_17_16_25_21_23_high[[#This Row],[coeff]] + 79.57</f>
        <v>21.180881185600001</v>
      </c>
      <c r="L342">
        <f xml:space="preserve"> -55.696 * _2026_04_17_16_25_21_23_high[[#This Row],[coeff]] + 79.57</f>
        <v>21.180881185600001</v>
      </c>
    </row>
    <row r="343" spans="1:12" x14ac:dyDescent="0.3">
      <c r="A343">
        <v>341</v>
      </c>
      <c r="B343">
        <v>8794</v>
      </c>
      <c r="C343" t="b">
        <v>1</v>
      </c>
      <c r="D343">
        <v>8054</v>
      </c>
      <c r="E343">
        <v>8134</v>
      </c>
      <c r="F343">
        <v>203.8</v>
      </c>
      <c r="G343">
        <v>194.4</v>
      </c>
      <c r="H343">
        <v>1.0483538999999999</v>
      </c>
      <c r="I343">
        <v>-4.8353960000000001E-2</v>
      </c>
      <c r="J343">
        <v>0.48819685000000002</v>
      </c>
      <c r="K343">
        <f xml:space="preserve"> -55.696 * _2026_04_17_16_25_21_23_high[[#This Row],[coeff]] + 79.57</f>
        <v>21.180881185600001</v>
      </c>
      <c r="L343">
        <f xml:space="preserve"> -55.696 * _2026_04_17_16_25_21_23_high[[#This Row],[coeff]] + 79.57</f>
        <v>21.180881185600001</v>
      </c>
    </row>
    <row r="344" spans="1:12" x14ac:dyDescent="0.3">
      <c r="A344">
        <v>342</v>
      </c>
      <c r="B344">
        <v>8810</v>
      </c>
      <c r="C344" t="b">
        <v>1</v>
      </c>
      <c r="D344">
        <v>8030</v>
      </c>
      <c r="E344">
        <v>8099</v>
      </c>
      <c r="F344">
        <v>202.6</v>
      </c>
      <c r="G344">
        <v>194</v>
      </c>
      <c r="H344">
        <v>1.0443298999999999</v>
      </c>
      <c r="I344">
        <v>-4.4329929999999997E-2</v>
      </c>
      <c r="J344">
        <v>0.48915783000000002</v>
      </c>
      <c r="K344">
        <f xml:space="preserve"> -55.696 * _2026_04_17_16_25_21_23_high[[#This Row],[coeff]] + 79.57</f>
        <v>21.405001889600001</v>
      </c>
      <c r="L344">
        <f xml:space="preserve"> -55.696 * _2026_04_17_16_25_21_23_high[[#This Row],[coeff]] + 79.57</f>
        <v>21.405001889600001</v>
      </c>
    </row>
    <row r="345" spans="1:12" x14ac:dyDescent="0.3">
      <c r="A345">
        <v>343</v>
      </c>
      <c r="B345">
        <v>8826</v>
      </c>
      <c r="C345" t="b">
        <v>1</v>
      </c>
      <c r="D345">
        <v>8023</v>
      </c>
      <c r="E345">
        <v>8111</v>
      </c>
      <c r="F345">
        <v>201.4</v>
      </c>
      <c r="G345">
        <v>193.2</v>
      </c>
      <c r="H345">
        <v>1.042443</v>
      </c>
      <c r="I345">
        <v>-4.2443050000000003E-2</v>
      </c>
      <c r="J345">
        <v>0.48960975000000001</v>
      </c>
      <c r="K345">
        <f xml:space="preserve"> -55.696 * _2026_04_17_16_25_21_23_high[[#This Row],[coeff]] + 79.57</f>
        <v>21.510094671999994</v>
      </c>
      <c r="L345">
        <f xml:space="preserve"> -55.696 * _2026_04_17_16_25_21_23_high[[#This Row],[coeff]] + 79.57</f>
        <v>21.510094671999994</v>
      </c>
    </row>
    <row r="346" spans="1:12" x14ac:dyDescent="0.3">
      <c r="A346">
        <v>344</v>
      </c>
      <c r="B346">
        <v>8842</v>
      </c>
      <c r="C346" t="b">
        <v>1</v>
      </c>
      <c r="D346">
        <v>8048</v>
      </c>
      <c r="E346">
        <v>8105</v>
      </c>
      <c r="F346">
        <v>200.66667000000001</v>
      </c>
      <c r="G346">
        <v>193.2</v>
      </c>
      <c r="H346">
        <v>1.0386474000000001</v>
      </c>
      <c r="I346">
        <v>-3.8647386999999998E-2</v>
      </c>
      <c r="J346">
        <v>0.49052129999999999</v>
      </c>
      <c r="K346">
        <f xml:space="preserve"> -55.696 * _2026_04_17_16_25_21_23_high[[#This Row],[coeff]] + 79.57</f>
        <v>21.721494409599991</v>
      </c>
      <c r="L346">
        <f xml:space="preserve"> -55.696 * _2026_04_17_16_25_21_23_high[[#This Row],[coeff]] + 79.57</f>
        <v>21.721494409599991</v>
      </c>
    </row>
    <row r="347" spans="1:12" x14ac:dyDescent="0.3">
      <c r="A347">
        <v>345</v>
      </c>
      <c r="B347">
        <v>8857</v>
      </c>
      <c r="C347" t="b">
        <v>1</v>
      </c>
      <c r="D347">
        <v>8060</v>
      </c>
      <c r="E347">
        <v>8093</v>
      </c>
      <c r="F347">
        <v>200.66667000000001</v>
      </c>
      <c r="G347">
        <v>193.2</v>
      </c>
      <c r="H347">
        <v>1.0386474000000001</v>
      </c>
      <c r="I347">
        <v>-3.8647386999999998E-2</v>
      </c>
      <c r="J347">
        <v>0.49052129999999999</v>
      </c>
      <c r="K347">
        <f xml:space="preserve"> -55.696 * _2026_04_17_16_25_21_23_high[[#This Row],[coeff]] + 79.57</f>
        <v>21.721494409599991</v>
      </c>
      <c r="L347">
        <f xml:space="preserve"> -55.696 * _2026_04_17_16_25_21_23_high[[#This Row],[coeff]] + 79.57</f>
        <v>21.721494409599991</v>
      </c>
    </row>
    <row r="348" spans="1:12" x14ac:dyDescent="0.3">
      <c r="A348">
        <v>346</v>
      </c>
      <c r="B348">
        <v>8873</v>
      </c>
      <c r="C348" t="b">
        <v>1</v>
      </c>
      <c r="D348">
        <v>8017</v>
      </c>
      <c r="E348">
        <v>8105</v>
      </c>
      <c r="F348">
        <v>199.46665999999999</v>
      </c>
      <c r="G348">
        <v>193.2</v>
      </c>
      <c r="H348">
        <v>1.0324361</v>
      </c>
      <c r="I348">
        <v>-3.2436144E-2</v>
      </c>
      <c r="J348">
        <v>0.49202036999999998</v>
      </c>
      <c r="K348">
        <f xml:space="preserve"> -55.696 * _2026_04_17_16_25_21_23_high[[#This Row],[coeff]] + 79.57</f>
        <v>22.067438974399998</v>
      </c>
      <c r="L348">
        <f xml:space="preserve"> -55.696 * _2026_04_17_16_25_21_23_high[[#This Row],[coeff]] + 79.57</f>
        <v>22.067438974399998</v>
      </c>
    </row>
    <row r="349" spans="1:12" x14ac:dyDescent="0.3">
      <c r="A349">
        <v>347</v>
      </c>
      <c r="B349">
        <v>8889</v>
      </c>
      <c r="C349" t="b">
        <v>1</v>
      </c>
      <c r="D349">
        <v>8037</v>
      </c>
      <c r="E349">
        <v>8081</v>
      </c>
      <c r="F349">
        <v>199.13333</v>
      </c>
      <c r="G349">
        <v>193.2</v>
      </c>
      <c r="H349">
        <v>1.0307108</v>
      </c>
      <c r="I349">
        <v>-3.071084E-2</v>
      </c>
      <c r="J349">
        <v>0.4924384</v>
      </c>
      <c r="K349">
        <f xml:space="preserve"> -55.696 * _2026_04_17_16_25_21_23_high[[#This Row],[coeff]] + 79.57</f>
        <v>22.163531283199994</v>
      </c>
      <c r="L349">
        <f xml:space="preserve"> -55.696 * _2026_04_17_16_25_21_23_high[[#This Row],[coeff]] + 79.57</f>
        <v>22.163531283199994</v>
      </c>
    </row>
    <row r="350" spans="1:12" x14ac:dyDescent="0.3">
      <c r="A350">
        <v>348</v>
      </c>
      <c r="B350">
        <v>8905</v>
      </c>
      <c r="C350" t="b">
        <v>1</v>
      </c>
      <c r="D350">
        <v>8030</v>
      </c>
      <c r="E350">
        <v>8123</v>
      </c>
      <c r="F350">
        <v>198.8</v>
      </c>
      <c r="G350">
        <v>193.2</v>
      </c>
      <c r="H350">
        <v>1.0289855000000001</v>
      </c>
      <c r="I350">
        <v>-2.8985540000000001E-2</v>
      </c>
      <c r="J350">
        <v>0.49285712999999998</v>
      </c>
      <c r="K350">
        <f xml:space="preserve"> -55.696 * _2026_04_17_16_25_21_23_high[[#This Row],[coeff]] + 79.57</f>
        <v>22.25962359199999</v>
      </c>
      <c r="L350">
        <f xml:space="preserve"> -55.696 * _2026_04_17_16_25_21_23_high[[#This Row],[coeff]] + 79.57</f>
        <v>22.25962359199999</v>
      </c>
    </row>
    <row r="351" spans="1:12" x14ac:dyDescent="0.3">
      <c r="A351">
        <v>349</v>
      </c>
      <c r="B351">
        <v>8921</v>
      </c>
      <c r="C351" t="b">
        <v>1</v>
      </c>
      <c r="D351">
        <v>8023</v>
      </c>
      <c r="E351">
        <v>8111</v>
      </c>
      <c r="F351">
        <v>198</v>
      </c>
      <c r="G351">
        <v>192.8</v>
      </c>
      <c r="H351">
        <v>1.0269710000000001</v>
      </c>
      <c r="I351">
        <v>-2.6970938E-2</v>
      </c>
      <c r="J351">
        <v>0.49334699999999998</v>
      </c>
      <c r="K351">
        <f xml:space="preserve"> -55.696 * _2026_04_17_16_25_21_23_high[[#This Row],[coeff]] + 79.57</f>
        <v>22.371823183999993</v>
      </c>
      <c r="L351">
        <f xml:space="preserve"> -55.696 * _2026_04_17_16_25_21_23_high[[#This Row],[coeff]] + 79.57</f>
        <v>22.371823183999993</v>
      </c>
    </row>
    <row r="352" spans="1:12" x14ac:dyDescent="0.3">
      <c r="A352">
        <v>350</v>
      </c>
      <c r="B352">
        <v>8937</v>
      </c>
      <c r="C352" t="b">
        <v>1</v>
      </c>
      <c r="D352">
        <v>8054</v>
      </c>
      <c r="E352">
        <v>8093</v>
      </c>
      <c r="F352">
        <v>197.2</v>
      </c>
      <c r="G352">
        <v>192.4</v>
      </c>
      <c r="H352">
        <v>1.024948</v>
      </c>
      <c r="I352">
        <v>-2.4948042E-2</v>
      </c>
      <c r="J352">
        <v>0.49383986000000002</v>
      </c>
      <c r="K352">
        <f xml:space="preserve"> -55.696 * _2026_04_17_16_25_21_23_high[[#This Row],[coeff]] + 79.57</f>
        <v>22.484496191999995</v>
      </c>
      <c r="L352">
        <f xml:space="preserve"> -55.696 * _2026_04_17_16_25_21_23_high[[#This Row],[coeff]] + 79.57</f>
        <v>22.484496191999995</v>
      </c>
    </row>
    <row r="353" spans="1:12" x14ac:dyDescent="0.3">
      <c r="A353">
        <v>351</v>
      </c>
      <c r="B353">
        <v>8953</v>
      </c>
      <c r="C353" t="b">
        <v>1</v>
      </c>
      <c r="D353">
        <v>8030</v>
      </c>
      <c r="E353">
        <v>8099</v>
      </c>
      <c r="F353">
        <v>196.4</v>
      </c>
      <c r="G353">
        <v>191.6</v>
      </c>
      <c r="H353">
        <v>1.0250520999999999</v>
      </c>
      <c r="I353">
        <v>-2.5052128E-2</v>
      </c>
      <c r="J353">
        <v>0.49381444000000002</v>
      </c>
      <c r="K353">
        <f xml:space="preserve"> -55.696 * _2026_04_17_16_25_21_23_high[[#This Row],[coeff]] + 79.57</f>
        <v>22.4786982384</v>
      </c>
      <c r="L353">
        <f xml:space="preserve"> -55.696 * _2026_04_17_16_25_21_23_high[[#This Row],[coeff]] + 79.57</f>
        <v>22.4786982384</v>
      </c>
    </row>
    <row r="354" spans="1:12" x14ac:dyDescent="0.3">
      <c r="A354">
        <v>352</v>
      </c>
      <c r="B354">
        <v>8968</v>
      </c>
      <c r="C354" t="b">
        <v>1</v>
      </c>
      <c r="D354">
        <v>8042</v>
      </c>
      <c r="E354">
        <v>8099</v>
      </c>
      <c r="F354">
        <v>195.2</v>
      </c>
      <c r="G354">
        <v>190.8</v>
      </c>
      <c r="H354">
        <v>1.0230608000000001</v>
      </c>
      <c r="I354">
        <v>-2.3060765E-2</v>
      </c>
      <c r="J354">
        <v>0.49430049999999998</v>
      </c>
      <c r="K354">
        <f xml:space="preserve"> -55.696 * _2026_04_17_16_25_21_23_high[[#This Row],[coeff]] + 79.57</f>
        <v>22.589605683199991</v>
      </c>
      <c r="L354">
        <f xml:space="preserve"> -55.696 * _2026_04_17_16_25_21_23_high[[#This Row],[coeff]] + 79.57</f>
        <v>22.589605683199991</v>
      </c>
    </row>
    <row r="355" spans="1:12" x14ac:dyDescent="0.3">
      <c r="A355">
        <v>353</v>
      </c>
      <c r="B355">
        <v>8984</v>
      </c>
      <c r="C355" t="b">
        <v>1</v>
      </c>
      <c r="D355">
        <v>8048</v>
      </c>
      <c r="E355">
        <v>8105</v>
      </c>
      <c r="F355">
        <v>194.8</v>
      </c>
      <c r="G355">
        <v>189.2</v>
      </c>
      <c r="H355">
        <v>1.0295984</v>
      </c>
      <c r="I355">
        <v>-2.9598342E-2</v>
      </c>
      <c r="J355">
        <v>0.49270833000000003</v>
      </c>
      <c r="K355">
        <f xml:space="preserve"> -55.696 * _2026_04_17_16_25_21_23_high[[#This Row],[coeff]] + 79.57</f>
        <v>22.225487513599994</v>
      </c>
      <c r="L355">
        <f xml:space="preserve"> -55.696 * _2026_04_17_16_25_21_23_high[[#This Row],[coeff]] + 79.57</f>
        <v>22.225487513599994</v>
      </c>
    </row>
    <row r="356" spans="1:12" x14ac:dyDescent="0.3">
      <c r="A356">
        <v>354</v>
      </c>
      <c r="B356">
        <v>9000</v>
      </c>
      <c r="C356" t="b">
        <v>1</v>
      </c>
      <c r="D356">
        <v>8030</v>
      </c>
      <c r="E356">
        <v>8111</v>
      </c>
      <c r="F356">
        <v>195.13333</v>
      </c>
      <c r="G356">
        <v>187.6</v>
      </c>
      <c r="H356">
        <v>1.0401564000000001</v>
      </c>
      <c r="I356">
        <v>-4.0156315999999997E-2</v>
      </c>
      <c r="J356">
        <v>0.49015852999999998</v>
      </c>
      <c r="K356">
        <f xml:space="preserve"> -55.696 * _2026_04_17_16_25_21_23_high[[#This Row],[coeff]] + 79.57</f>
        <v>21.637449145599987</v>
      </c>
      <c r="L356">
        <f xml:space="preserve"> -55.696 * _2026_04_17_16_25_21_23_high[[#This Row],[coeff]] + 79.57</f>
        <v>21.637449145599987</v>
      </c>
    </row>
    <row r="357" spans="1:12" x14ac:dyDescent="0.3">
      <c r="A357">
        <v>355</v>
      </c>
      <c r="B357">
        <v>9016</v>
      </c>
      <c r="C357" t="b">
        <v>1</v>
      </c>
      <c r="D357">
        <v>8023</v>
      </c>
      <c r="E357">
        <v>8164</v>
      </c>
      <c r="F357">
        <v>194.66667000000001</v>
      </c>
      <c r="G357">
        <v>187.6</v>
      </c>
      <c r="H357">
        <v>1.0376688000000001</v>
      </c>
      <c r="I357">
        <v>-3.7668790000000001E-2</v>
      </c>
      <c r="J357">
        <v>0.4907569</v>
      </c>
      <c r="K357">
        <f xml:space="preserve"> -55.696 * _2026_04_17_16_25_21_23_high[[#This Row],[coeff]] + 79.57</f>
        <v>21.775998515199994</v>
      </c>
      <c r="L357">
        <f xml:space="preserve"> -55.696 * _2026_04_17_16_25_21_23_high[[#This Row],[coeff]] + 79.57</f>
        <v>21.775998515199994</v>
      </c>
    </row>
    <row r="358" spans="1:12" x14ac:dyDescent="0.3">
      <c r="A358">
        <v>356</v>
      </c>
      <c r="B358">
        <v>9032</v>
      </c>
      <c r="C358" t="b">
        <v>1</v>
      </c>
      <c r="D358">
        <v>8037</v>
      </c>
      <c r="E358">
        <v>8117</v>
      </c>
      <c r="F358">
        <v>194.66667000000001</v>
      </c>
      <c r="G358">
        <v>188</v>
      </c>
      <c r="H358">
        <v>1.0354611</v>
      </c>
      <c r="I358">
        <v>-3.5461020000000003E-2</v>
      </c>
      <c r="J358">
        <v>0.49128917</v>
      </c>
      <c r="K358">
        <f xml:space="preserve"> -55.696 * _2026_04_17_16_25_21_23_high[[#This Row],[coeff]] + 79.57</f>
        <v>21.898958574399991</v>
      </c>
      <c r="L358">
        <f xml:space="preserve"> -55.696 * _2026_04_17_16_25_21_23_high[[#This Row],[coeff]] + 79.57</f>
        <v>21.898958574399991</v>
      </c>
    </row>
    <row r="359" spans="1:12" x14ac:dyDescent="0.3">
      <c r="A359">
        <v>357</v>
      </c>
      <c r="B359">
        <v>9063</v>
      </c>
      <c r="C359" t="b">
        <v>1</v>
      </c>
      <c r="D359">
        <v>8037</v>
      </c>
      <c r="E359">
        <v>8111</v>
      </c>
      <c r="F359">
        <v>195.13333</v>
      </c>
      <c r="G359">
        <v>188.8</v>
      </c>
      <c r="H359">
        <v>1.0335451</v>
      </c>
      <c r="I359">
        <v>-3.3545169999999999E-2</v>
      </c>
      <c r="J359">
        <v>0.49175203000000001</v>
      </c>
      <c r="K359">
        <f xml:space="preserve"> -55.696 * _2026_04_17_16_25_21_23_high[[#This Row],[coeff]] + 79.57</f>
        <v>22.005672110399999</v>
      </c>
      <c r="L359">
        <f xml:space="preserve"> -55.696 * _2026_04_17_16_25_21_23_high[[#This Row],[coeff]] + 79.57</f>
        <v>22.005672110399999</v>
      </c>
    </row>
    <row r="360" spans="1:12" x14ac:dyDescent="0.3">
      <c r="A360">
        <v>358</v>
      </c>
      <c r="B360">
        <v>9096</v>
      </c>
      <c r="C360" t="b">
        <v>1</v>
      </c>
      <c r="D360">
        <v>8037</v>
      </c>
      <c r="E360">
        <v>8117</v>
      </c>
      <c r="F360">
        <v>195.6</v>
      </c>
      <c r="G360">
        <v>190</v>
      </c>
      <c r="H360">
        <v>1.0294737</v>
      </c>
      <c r="I360">
        <v>-2.9473716E-2</v>
      </c>
      <c r="J360">
        <v>0.49273856999999999</v>
      </c>
      <c r="K360">
        <f xml:space="preserve"> -55.696 * _2026_04_17_16_25_21_23_high[[#This Row],[coeff]] + 79.57</f>
        <v>22.232432804799991</v>
      </c>
      <c r="L360">
        <f xml:space="preserve"> -55.696 * _2026_04_17_16_25_21_23_high[[#This Row],[coeff]] + 79.57</f>
        <v>22.232432804799991</v>
      </c>
    </row>
    <row r="361" spans="1:12" x14ac:dyDescent="0.3">
      <c r="A361">
        <v>359</v>
      </c>
      <c r="B361">
        <v>9127</v>
      </c>
      <c r="C361" t="b">
        <v>1</v>
      </c>
      <c r="D361">
        <v>8042</v>
      </c>
      <c r="E361">
        <v>8129</v>
      </c>
      <c r="F361">
        <v>195.6</v>
      </c>
      <c r="G361">
        <v>190.8</v>
      </c>
      <c r="H361">
        <v>1.0251572</v>
      </c>
      <c r="I361">
        <v>-2.5157249E-2</v>
      </c>
      <c r="J361">
        <v>0.49378880000000003</v>
      </c>
      <c r="K361">
        <f xml:space="preserve"> -55.696 * _2026_04_17_16_25_21_23_high[[#This Row],[coeff]] + 79.57</f>
        <v>22.472844588799994</v>
      </c>
      <c r="L361">
        <f xml:space="preserve"> -55.696 * _2026_04_17_16_25_21_23_high[[#This Row],[coeff]] + 79.57</f>
        <v>22.472844588799994</v>
      </c>
    </row>
    <row r="362" spans="1:12" x14ac:dyDescent="0.3">
      <c r="A362">
        <v>360</v>
      </c>
      <c r="B362">
        <v>9143</v>
      </c>
      <c r="C362" t="b">
        <v>1</v>
      </c>
      <c r="D362">
        <v>8042</v>
      </c>
      <c r="E362">
        <v>8117</v>
      </c>
      <c r="F362">
        <v>194.86667</v>
      </c>
      <c r="G362">
        <v>191.6</v>
      </c>
      <c r="H362">
        <v>1.0170494000000001</v>
      </c>
      <c r="I362">
        <v>-1.7049386999999999E-2</v>
      </c>
      <c r="J362">
        <v>0.49577367</v>
      </c>
      <c r="K362">
        <f xml:space="preserve"> -55.696 * _2026_04_17_16_25_21_23_high[[#This Row],[coeff]] + 79.57</f>
        <v>22.924416617599988</v>
      </c>
      <c r="L362">
        <f xml:space="preserve"> -55.696 * _2026_04_17_16_25_21_23_high[[#This Row],[coeff]] + 79.57</f>
        <v>22.924416617599988</v>
      </c>
    </row>
    <row r="363" spans="1:12" x14ac:dyDescent="0.3">
      <c r="A363">
        <v>361</v>
      </c>
      <c r="B363">
        <v>9175</v>
      </c>
      <c r="C363" t="b">
        <v>1</v>
      </c>
      <c r="D363">
        <v>8037</v>
      </c>
      <c r="E363">
        <v>8105</v>
      </c>
      <c r="F363">
        <v>195.33332999999999</v>
      </c>
      <c r="G363">
        <v>192.4</v>
      </c>
      <c r="H363">
        <v>1.0152460000000001</v>
      </c>
      <c r="I363">
        <v>-1.5246021E-2</v>
      </c>
      <c r="J363">
        <v>0.49621729999999997</v>
      </c>
      <c r="K363">
        <f xml:space="preserve"> -55.696 * _2026_04_17_16_25_21_23_high[[#This Row],[coeff]] + 79.57</f>
        <v>23.024858783999989</v>
      </c>
      <c r="L363">
        <f xml:space="preserve"> -55.696 * _2026_04_17_16_25_21_23_high[[#This Row],[coeff]] + 79.57</f>
        <v>23.024858783999989</v>
      </c>
    </row>
    <row r="364" spans="1:12" x14ac:dyDescent="0.3">
      <c r="A364">
        <v>362</v>
      </c>
      <c r="B364">
        <v>9191</v>
      </c>
      <c r="C364" t="b">
        <v>1</v>
      </c>
      <c r="D364">
        <v>8060</v>
      </c>
      <c r="E364">
        <v>8093</v>
      </c>
      <c r="F364">
        <v>195.66667000000001</v>
      </c>
      <c r="G364">
        <v>193.2</v>
      </c>
      <c r="H364">
        <v>1.0127674</v>
      </c>
      <c r="I364">
        <v>-1.2767469E-2</v>
      </c>
      <c r="J364">
        <v>0.49682838000000001</v>
      </c>
      <c r="K364">
        <f xml:space="preserve"> -55.696 * _2026_04_17_16_25_21_23_high[[#This Row],[coeff]] + 79.57</f>
        <v>23.162906889599995</v>
      </c>
      <c r="L364">
        <f xml:space="preserve"> -55.696 * _2026_04_17_16_25_21_23_high[[#This Row],[coeff]] + 79.57</f>
        <v>23.162906889599995</v>
      </c>
    </row>
    <row r="365" spans="1:12" x14ac:dyDescent="0.3">
      <c r="A365">
        <v>363</v>
      </c>
      <c r="B365">
        <v>9207</v>
      </c>
      <c r="C365" t="b">
        <v>1</v>
      </c>
      <c r="D365">
        <v>8048</v>
      </c>
      <c r="E365">
        <v>8117</v>
      </c>
      <c r="F365">
        <v>196</v>
      </c>
      <c r="G365">
        <v>194</v>
      </c>
      <c r="H365">
        <v>1.0103092</v>
      </c>
      <c r="I365">
        <v>-1.0309278E-2</v>
      </c>
      <c r="J365">
        <v>0.49743589999999999</v>
      </c>
      <c r="K365">
        <f xml:space="preserve"> -55.696 * _2026_04_17_16_25_21_23_high[[#This Row],[coeff]] + 79.57</f>
        <v>23.299818796799997</v>
      </c>
      <c r="L365">
        <f xml:space="preserve"> -55.696 * _2026_04_17_16_25_21_23_high[[#This Row],[coeff]] + 79.57</f>
        <v>23.299818796799997</v>
      </c>
    </row>
    <row r="366" spans="1:12" x14ac:dyDescent="0.3">
      <c r="A366">
        <v>364</v>
      </c>
      <c r="B366">
        <v>9238</v>
      </c>
      <c r="C366" t="b">
        <v>1</v>
      </c>
      <c r="D366">
        <v>8017</v>
      </c>
      <c r="E366">
        <v>8140</v>
      </c>
      <c r="F366">
        <v>196.8</v>
      </c>
      <c r="G366">
        <v>194.8</v>
      </c>
      <c r="H366">
        <v>1.0102669</v>
      </c>
      <c r="I366">
        <v>-1.026694E-2</v>
      </c>
      <c r="J366">
        <v>0.49744640000000001</v>
      </c>
      <c r="K366">
        <f xml:space="preserve"> -55.696 * _2026_04_17_16_25_21_23_high[[#This Row],[coeff]] + 79.57</f>
        <v>23.302174737599998</v>
      </c>
      <c r="L366">
        <f xml:space="preserve"> -55.696 * _2026_04_17_16_25_21_23_high[[#This Row],[coeff]] + 79.57</f>
        <v>23.302174737599998</v>
      </c>
    </row>
    <row r="367" spans="1:12" x14ac:dyDescent="0.3">
      <c r="A367">
        <v>365</v>
      </c>
      <c r="B367">
        <v>9270</v>
      </c>
      <c r="C367" t="b">
        <v>1</v>
      </c>
      <c r="D367">
        <v>8030</v>
      </c>
      <c r="E367">
        <v>8105</v>
      </c>
      <c r="F367">
        <v>197.26666</v>
      </c>
      <c r="G367">
        <v>194.8</v>
      </c>
      <c r="H367">
        <v>1.0126625</v>
      </c>
      <c r="I367">
        <v>-1.2662523E-2</v>
      </c>
      <c r="J367">
        <v>0.49685430000000003</v>
      </c>
      <c r="K367">
        <f xml:space="preserve"> -55.696 * _2026_04_17_16_25_21_23_high[[#This Row],[coeff]] + 79.57</f>
        <v>23.168749399999996</v>
      </c>
      <c r="L367">
        <f xml:space="preserve"> -55.696 * _2026_04_17_16_25_21_23_high[[#This Row],[coeff]] + 79.57</f>
        <v>23.168749399999996</v>
      </c>
    </row>
    <row r="368" spans="1:12" x14ac:dyDescent="0.3">
      <c r="A368">
        <v>366</v>
      </c>
      <c r="B368">
        <v>9301</v>
      </c>
      <c r="C368" t="b">
        <v>1</v>
      </c>
      <c r="D368">
        <v>8042</v>
      </c>
      <c r="E368">
        <v>8099</v>
      </c>
      <c r="F368">
        <v>198.06666999999999</v>
      </c>
      <c r="G368">
        <v>195.2</v>
      </c>
      <c r="H368">
        <v>1.0146858000000001</v>
      </c>
      <c r="I368">
        <v>-1.4685803000000001E-2</v>
      </c>
      <c r="J368">
        <v>0.49635531999999999</v>
      </c>
      <c r="K368">
        <f xml:space="preserve"> -55.696 * _2026_04_17_16_25_21_23_high[[#This Row],[coeff]] + 79.57</f>
        <v>23.05605968319999</v>
      </c>
      <c r="L368">
        <f xml:space="preserve"> -55.696 * _2026_04_17_16_25_21_23_high[[#This Row],[coeff]] + 79.57</f>
        <v>23.05605968319999</v>
      </c>
    </row>
    <row r="369" spans="1:12" x14ac:dyDescent="0.3">
      <c r="A369">
        <v>367</v>
      </c>
      <c r="B369">
        <v>9333</v>
      </c>
      <c r="C369" t="b">
        <v>1</v>
      </c>
      <c r="D369">
        <v>8030</v>
      </c>
      <c r="E369">
        <v>8111</v>
      </c>
      <c r="F369">
        <v>198.06666999999999</v>
      </c>
      <c r="G369">
        <v>196</v>
      </c>
      <c r="H369">
        <v>1.0105442</v>
      </c>
      <c r="I369">
        <v>-1.0544213E-2</v>
      </c>
      <c r="J369">
        <v>0.49737777999999999</v>
      </c>
      <c r="K369">
        <f xml:space="preserve"> -55.696 * _2026_04_17_16_25_21_23_high[[#This Row],[coeff]] + 79.57</f>
        <v>23.286730236799997</v>
      </c>
      <c r="L369">
        <f xml:space="preserve"> -55.696 * _2026_04_17_16_25_21_23_high[[#This Row],[coeff]] + 79.57</f>
        <v>23.286730236799997</v>
      </c>
    </row>
    <row r="370" spans="1:12" x14ac:dyDescent="0.3">
      <c r="A370">
        <v>368</v>
      </c>
      <c r="B370">
        <v>9365</v>
      </c>
      <c r="C370" t="b">
        <v>1</v>
      </c>
      <c r="D370">
        <v>8042</v>
      </c>
      <c r="E370">
        <v>8099</v>
      </c>
      <c r="F370">
        <v>197.26666</v>
      </c>
      <c r="G370">
        <v>196.4</v>
      </c>
      <c r="H370">
        <v>1.0044128000000001</v>
      </c>
      <c r="I370">
        <v>-4.4127734999999998E-3</v>
      </c>
      <c r="J370">
        <v>0.49889921999999998</v>
      </c>
      <c r="K370">
        <f xml:space="preserve"> -55.696 * _2026_04_17_16_25_21_23_high[[#This Row],[coeff]] + 79.57</f>
        <v>23.628224691199989</v>
      </c>
      <c r="L370">
        <f xml:space="preserve"> -55.696 * _2026_04_17_16_25_21_23_high[[#This Row],[coeff]] + 79.57</f>
        <v>23.628224691199989</v>
      </c>
    </row>
    <row r="371" spans="1:12" x14ac:dyDescent="0.3">
      <c r="A371">
        <v>369</v>
      </c>
      <c r="B371">
        <v>9381</v>
      </c>
      <c r="C371" t="b">
        <v>1</v>
      </c>
      <c r="D371">
        <v>8048</v>
      </c>
      <c r="E371">
        <v>8105</v>
      </c>
      <c r="F371">
        <v>197.26666</v>
      </c>
      <c r="G371">
        <v>196.8</v>
      </c>
      <c r="H371">
        <v>1.0023712</v>
      </c>
      <c r="I371">
        <v>-2.3712374000000001E-3</v>
      </c>
      <c r="J371">
        <v>0.49940792000000001</v>
      </c>
      <c r="K371">
        <f xml:space="preserve"> -55.696 * _2026_04_17_16_25_21_23_high[[#This Row],[coeff]] + 79.57</f>
        <v>23.741933644799992</v>
      </c>
      <c r="L371">
        <f xml:space="preserve"> -55.696 * _2026_04_17_16_25_21_23_high[[#This Row],[coeff]] + 79.57</f>
        <v>23.741933644799992</v>
      </c>
    </row>
    <row r="372" spans="1:12" x14ac:dyDescent="0.3">
      <c r="A372">
        <v>370</v>
      </c>
      <c r="B372">
        <v>9397</v>
      </c>
      <c r="C372" t="b">
        <v>1</v>
      </c>
      <c r="D372">
        <v>8042</v>
      </c>
      <c r="E372">
        <v>8105</v>
      </c>
      <c r="F372">
        <v>198.06666999999999</v>
      </c>
      <c r="G372">
        <v>196.8</v>
      </c>
      <c r="H372">
        <v>1.0064363000000001</v>
      </c>
      <c r="I372">
        <v>-6.4362934999999998E-3</v>
      </c>
      <c r="J372">
        <v>0.49839610000000001</v>
      </c>
      <c r="K372">
        <f xml:space="preserve"> -55.696 * _2026_04_17_16_25_21_23_high[[#This Row],[coeff]] + 79.57</f>
        <v>23.515523835199993</v>
      </c>
      <c r="L372">
        <f xml:space="preserve"> -55.696 * _2026_04_17_16_25_21_23_high[[#This Row],[coeff]] + 79.57</f>
        <v>23.515523835199993</v>
      </c>
    </row>
    <row r="373" spans="1:12" x14ac:dyDescent="0.3">
      <c r="A373">
        <v>371</v>
      </c>
      <c r="B373">
        <v>9412</v>
      </c>
      <c r="C373" t="b">
        <v>1</v>
      </c>
      <c r="D373">
        <v>8030</v>
      </c>
      <c r="E373">
        <v>8111</v>
      </c>
      <c r="F373">
        <v>198.4</v>
      </c>
      <c r="G373">
        <v>196.4</v>
      </c>
      <c r="H373">
        <v>1.0101833</v>
      </c>
      <c r="I373">
        <v>-1.0183299999999999E-2</v>
      </c>
      <c r="J373">
        <v>0.49746707000000001</v>
      </c>
      <c r="K373">
        <f xml:space="preserve"> -55.696 * _2026_04_17_16_25_21_23_high[[#This Row],[coeff]] + 79.57</f>
        <v>23.306830923199996</v>
      </c>
      <c r="L373">
        <f xml:space="preserve"> -55.696 * _2026_04_17_16_25_21_23_high[[#This Row],[coeff]] + 79.57</f>
        <v>23.306830923199996</v>
      </c>
    </row>
    <row r="374" spans="1:12" x14ac:dyDescent="0.3">
      <c r="A374">
        <v>372</v>
      </c>
      <c r="B374">
        <v>9444</v>
      </c>
      <c r="C374" t="b">
        <v>1</v>
      </c>
      <c r="D374">
        <v>8048</v>
      </c>
      <c r="E374">
        <v>8123</v>
      </c>
      <c r="F374">
        <v>198.73334</v>
      </c>
      <c r="G374">
        <v>196</v>
      </c>
      <c r="H374">
        <v>1.0139456</v>
      </c>
      <c r="I374">
        <v>-1.3945598999999999E-2</v>
      </c>
      <c r="J374">
        <v>0.49653774000000001</v>
      </c>
      <c r="K374">
        <f xml:space="preserve"> -55.696 * _2026_04_17_16_25_21_23_high[[#This Row],[coeff]] + 79.57</f>
        <v>23.097285862399993</v>
      </c>
      <c r="L374">
        <f xml:space="preserve"> -55.696 * _2026_04_17_16_25_21_23_high[[#This Row],[coeff]] + 79.57</f>
        <v>23.097285862399993</v>
      </c>
    </row>
    <row r="375" spans="1:12" x14ac:dyDescent="0.3">
      <c r="A375">
        <v>373</v>
      </c>
      <c r="B375">
        <v>9460</v>
      </c>
      <c r="C375" t="b">
        <v>1</v>
      </c>
      <c r="D375">
        <v>8048</v>
      </c>
      <c r="E375">
        <v>8099</v>
      </c>
      <c r="F375">
        <v>199.46665999999999</v>
      </c>
      <c r="G375">
        <v>195.2</v>
      </c>
      <c r="H375">
        <v>1.0218579000000001</v>
      </c>
      <c r="I375">
        <v>-2.1857901999999998E-2</v>
      </c>
      <c r="J375">
        <v>0.4945946</v>
      </c>
      <c r="K375">
        <f xml:space="preserve"> -55.696 * _2026_04_17_16_25_21_23_high[[#This Row],[coeff]] + 79.57</f>
        <v>22.65660240159999</v>
      </c>
      <c r="L375">
        <f xml:space="preserve"> -55.696 * _2026_04_17_16_25_21_23_high[[#This Row],[coeff]] + 79.57</f>
        <v>22.65660240159999</v>
      </c>
    </row>
    <row r="376" spans="1:12" x14ac:dyDescent="0.3">
      <c r="A376">
        <v>374</v>
      </c>
      <c r="B376">
        <v>9476</v>
      </c>
      <c r="C376" t="b">
        <v>1</v>
      </c>
      <c r="D376">
        <v>8037</v>
      </c>
      <c r="E376">
        <v>8123</v>
      </c>
      <c r="F376">
        <v>199.8</v>
      </c>
      <c r="G376">
        <v>194.8</v>
      </c>
      <c r="H376">
        <v>1.0256673000000001</v>
      </c>
      <c r="I376">
        <v>-2.5667349999999998E-2</v>
      </c>
      <c r="J376">
        <v>0.49366447000000002</v>
      </c>
      <c r="K376">
        <f xml:space="preserve"> -55.696 * _2026_04_17_16_25_21_23_high[[#This Row],[coeff]] + 79.57</f>
        <v>22.444434059199992</v>
      </c>
      <c r="L376">
        <f xml:space="preserve"> -55.696 * _2026_04_17_16_25_21_23_high[[#This Row],[coeff]] + 79.57</f>
        <v>22.444434059199992</v>
      </c>
    </row>
    <row r="377" spans="1:12" x14ac:dyDescent="0.3">
      <c r="A377">
        <v>375</v>
      </c>
      <c r="B377">
        <v>9491</v>
      </c>
      <c r="C377" t="b">
        <v>1</v>
      </c>
      <c r="D377">
        <v>8023</v>
      </c>
      <c r="E377">
        <v>8134</v>
      </c>
      <c r="F377">
        <v>199.8</v>
      </c>
      <c r="G377">
        <v>195.2</v>
      </c>
      <c r="H377">
        <v>1.0235656</v>
      </c>
      <c r="I377">
        <v>-2.3565605E-2</v>
      </c>
      <c r="J377">
        <v>0.49417721999999997</v>
      </c>
      <c r="K377">
        <f xml:space="preserve"> -55.696 * _2026_04_17_16_25_21_23_high[[#This Row],[coeff]] + 79.57</f>
        <v>22.561490342399999</v>
      </c>
      <c r="L377">
        <f xml:space="preserve"> -55.696 * _2026_04_17_16_25_21_23_high[[#This Row],[coeff]] + 79.57</f>
        <v>22.561490342399999</v>
      </c>
    </row>
    <row r="378" spans="1:12" x14ac:dyDescent="0.3">
      <c r="A378">
        <v>376</v>
      </c>
      <c r="B378">
        <v>9507</v>
      </c>
      <c r="C378" t="b">
        <v>1</v>
      </c>
      <c r="D378">
        <v>8042</v>
      </c>
      <c r="E378">
        <v>8111</v>
      </c>
      <c r="F378">
        <v>200.13333</v>
      </c>
      <c r="G378">
        <v>195.6</v>
      </c>
      <c r="H378">
        <v>1.0231766</v>
      </c>
      <c r="I378">
        <v>-2.3176507999999998E-2</v>
      </c>
      <c r="J378">
        <v>0.49427226000000002</v>
      </c>
      <c r="K378">
        <f xml:space="preserve"> -55.696 * _2026_04_17_16_25_21_23_high[[#This Row],[coeff]] + 79.57</f>
        <v>22.583156086399995</v>
      </c>
      <c r="L378">
        <f xml:space="preserve"> -55.696 * _2026_04_17_16_25_21_23_high[[#This Row],[coeff]] + 79.57</f>
        <v>22.583156086399995</v>
      </c>
    </row>
    <row r="379" spans="1:12" x14ac:dyDescent="0.3">
      <c r="A379">
        <v>377</v>
      </c>
      <c r="B379">
        <v>9523</v>
      </c>
      <c r="C379" t="b">
        <v>1</v>
      </c>
      <c r="D379">
        <v>8042</v>
      </c>
      <c r="E379">
        <v>8105</v>
      </c>
      <c r="F379">
        <v>200.13333</v>
      </c>
      <c r="G379">
        <v>195.2</v>
      </c>
      <c r="H379">
        <v>1.0252732</v>
      </c>
      <c r="I379">
        <v>-2.5273230000000001E-2</v>
      </c>
      <c r="J379">
        <v>0.49376056000000002</v>
      </c>
      <c r="K379">
        <f xml:space="preserve"> -55.696 * _2026_04_17_16_25_21_23_high[[#This Row],[coeff]] + 79.57</f>
        <v>22.466383852799993</v>
      </c>
      <c r="L379">
        <f xml:space="preserve"> -55.696 * _2026_04_17_16_25_21_23_high[[#This Row],[coeff]] + 79.57</f>
        <v>22.466383852799993</v>
      </c>
    </row>
    <row r="380" spans="1:12" x14ac:dyDescent="0.3">
      <c r="A380">
        <v>378</v>
      </c>
      <c r="B380">
        <v>9539</v>
      </c>
      <c r="C380" t="b">
        <v>1</v>
      </c>
      <c r="D380">
        <v>8037</v>
      </c>
      <c r="E380">
        <v>8111</v>
      </c>
      <c r="F380">
        <v>199.8</v>
      </c>
      <c r="G380">
        <v>194.8</v>
      </c>
      <c r="H380">
        <v>1.0256673000000001</v>
      </c>
      <c r="I380">
        <v>-2.5667349999999998E-2</v>
      </c>
      <c r="J380">
        <v>0.49366447000000002</v>
      </c>
      <c r="K380">
        <f xml:space="preserve"> -55.696 * _2026_04_17_16_25_21_23_high[[#This Row],[coeff]] + 79.57</f>
        <v>22.444434059199992</v>
      </c>
      <c r="L380">
        <f xml:space="preserve"> -55.696 * _2026_04_17_16_25_21_23_high[[#This Row],[coeff]] + 79.57</f>
        <v>22.444434059199992</v>
      </c>
    </row>
    <row r="381" spans="1:12" x14ac:dyDescent="0.3">
      <c r="A381">
        <v>379</v>
      </c>
      <c r="B381">
        <v>9570</v>
      </c>
      <c r="C381" t="b">
        <v>1</v>
      </c>
      <c r="D381">
        <v>8030</v>
      </c>
      <c r="E381">
        <v>8111</v>
      </c>
      <c r="F381">
        <v>199.46665999999999</v>
      </c>
      <c r="G381">
        <v>194.4</v>
      </c>
      <c r="H381">
        <v>1.0260631</v>
      </c>
      <c r="I381">
        <v>-2.6063096000000001E-2</v>
      </c>
      <c r="J381">
        <v>0.49356805999999998</v>
      </c>
      <c r="K381">
        <f xml:space="preserve"> -55.696 * _2026_04_17_16_25_21_23_high[[#This Row],[coeff]] + 79.57</f>
        <v>22.422389582399994</v>
      </c>
      <c r="L381">
        <f xml:space="preserve"> -55.696 * _2026_04_17_16_25_21_23_high[[#This Row],[coeff]] + 79.57</f>
        <v>22.422389582399994</v>
      </c>
    </row>
    <row r="382" spans="1:12" x14ac:dyDescent="0.3">
      <c r="A382">
        <v>380</v>
      </c>
      <c r="B382">
        <v>9586</v>
      </c>
      <c r="C382" t="b">
        <v>1</v>
      </c>
      <c r="D382">
        <v>8054</v>
      </c>
      <c r="E382">
        <v>8129</v>
      </c>
      <c r="F382">
        <v>199.8</v>
      </c>
      <c r="G382">
        <v>194.8</v>
      </c>
      <c r="H382">
        <v>1.0256673000000001</v>
      </c>
      <c r="I382">
        <v>-2.5667349999999998E-2</v>
      </c>
      <c r="J382">
        <v>0.49366447000000002</v>
      </c>
      <c r="K382">
        <f xml:space="preserve"> -55.696 * _2026_04_17_16_25_21_23_high[[#This Row],[coeff]] + 79.57</f>
        <v>22.444434059199992</v>
      </c>
      <c r="L382">
        <f xml:space="preserve"> -55.696 * _2026_04_17_16_25_21_23_high[[#This Row],[coeff]] + 79.57</f>
        <v>22.444434059199992</v>
      </c>
    </row>
    <row r="383" spans="1:12" x14ac:dyDescent="0.3">
      <c r="A383">
        <v>381</v>
      </c>
      <c r="B383">
        <v>9618</v>
      </c>
      <c r="C383" t="b">
        <v>1</v>
      </c>
      <c r="D383">
        <v>8042</v>
      </c>
      <c r="E383">
        <v>8105</v>
      </c>
      <c r="F383">
        <v>199.8</v>
      </c>
      <c r="G383">
        <v>195.2</v>
      </c>
      <c r="H383">
        <v>1.0235656</v>
      </c>
      <c r="I383">
        <v>-2.3565605E-2</v>
      </c>
      <c r="J383">
        <v>0.49417721999999997</v>
      </c>
      <c r="K383">
        <f xml:space="preserve"> -55.696 * _2026_04_17_16_25_21_23_high[[#This Row],[coeff]] + 79.57</f>
        <v>22.561490342399999</v>
      </c>
      <c r="L383">
        <f xml:space="preserve"> -55.696 * _2026_04_17_16_25_21_23_high[[#This Row],[coeff]] + 79.57</f>
        <v>22.561490342399999</v>
      </c>
    </row>
    <row r="384" spans="1:12" x14ac:dyDescent="0.3">
      <c r="A384">
        <v>382</v>
      </c>
      <c r="B384">
        <v>9634</v>
      </c>
      <c r="C384" t="b">
        <v>1</v>
      </c>
      <c r="D384">
        <v>8054</v>
      </c>
      <c r="E384">
        <v>8105</v>
      </c>
      <c r="F384">
        <v>200.6</v>
      </c>
      <c r="G384">
        <v>195.2</v>
      </c>
      <c r="H384">
        <v>1.0276639999999999</v>
      </c>
      <c r="I384">
        <v>-2.7663982E-2</v>
      </c>
      <c r="J384">
        <v>0.49317836999999998</v>
      </c>
      <c r="K384">
        <f xml:space="preserve"> -55.696 * _2026_04_17_16_25_21_23_high[[#This Row],[coeff]] + 79.57</f>
        <v>22.333225855999999</v>
      </c>
      <c r="L384">
        <f xml:space="preserve"> -55.696 * _2026_04_17_16_25_21_23_high[[#This Row],[coeff]] + 79.57</f>
        <v>22.333225855999999</v>
      </c>
    </row>
    <row r="385" spans="1:12" x14ac:dyDescent="0.3">
      <c r="A385">
        <v>383</v>
      </c>
      <c r="B385">
        <v>9650</v>
      </c>
      <c r="C385" t="b">
        <v>1</v>
      </c>
      <c r="D385">
        <v>8030</v>
      </c>
      <c r="E385">
        <v>8123</v>
      </c>
      <c r="F385">
        <v>201.4</v>
      </c>
      <c r="G385">
        <v>195.6</v>
      </c>
      <c r="H385">
        <v>1.0296521999999999</v>
      </c>
      <c r="I385">
        <v>-2.9652287999999999E-2</v>
      </c>
      <c r="J385">
        <v>0.49269523999999998</v>
      </c>
      <c r="K385">
        <f xml:space="preserve"> -55.696 * _2026_04_17_16_25_21_23_high[[#This Row],[coeff]] + 79.57</f>
        <v>22.222491068800004</v>
      </c>
      <c r="L385">
        <f xml:space="preserve"> -55.696 * _2026_04_17_16_25_21_23_high[[#This Row],[coeff]] + 79.57</f>
        <v>22.222491068800004</v>
      </c>
    </row>
    <row r="386" spans="1:12" x14ac:dyDescent="0.3">
      <c r="A386">
        <v>384</v>
      </c>
      <c r="B386">
        <v>9666</v>
      </c>
      <c r="C386" t="b">
        <v>1</v>
      </c>
      <c r="D386">
        <v>8048</v>
      </c>
      <c r="E386">
        <v>8093</v>
      </c>
      <c r="F386">
        <v>201.8</v>
      </c>
      <c r="G386">
        <v>195.6</v>
      </c>
      <c r="H386">
        <v>1.0316973</v>
      </c>
      <c r="I386">
        <v>-3.1697324999999998E-2</v>
      </c>
      <c r="J386">
        <v>0.49219927000000002</v>
      </c>
      <c r="K386">
        <f xml:space="preserve"> -55.696 * _2026_04_17_16_25_21_23_high[[#This Row],[coeff]] + 79.57</f>
        <v>22.108587179199993</v>
      </c>
      <c r="L386">
        <f xml:space="preserve"> -55.696 * _2026_04_17_16_25_21_23_high[[#This Row],[coeff]] + 79.57</f>
        <v>22.108587179199993</v>
      </c>
    </row>
    <row r="387" spans="1:12" x14ac:dyDescent="0.3">
      <c r="A387">
        <v>385</v>
      </c>
      <c r="B387">
        <v>9682</v>
      </c>
      <c r="C387" t="b">
        <v>1</v>
      </c>
      <c r="D387">
        <v>8037</v>
      </c>
      <c r="E387">
        <v>8111</v>
      </c>
      <c r="F387">
        <v>201.8</v>
      </c>
      <c r="G387">
        <v>195.6</v>
      </c>
      <c r="H387">
        <v>1.0316973</v>
      </c>
      <c r="I387">
        <v>-3.1697324999999998E-2</v>
      </c>
      <c r="J387">
        <v>0.49219927000000002</v>
      </c>
      <c r="K387">
        <f xml:space="preserve"> -55.696 * _2026_04_17_16_25_21_23_high[[#This Row],[coeff]] + 79.57</f>
        <v>22.108587179199993</v>
      </c>
      <c r="L387">
        <f xml:space="preserve"> -55.696 * _2026_04_17_16_25_21_23_high[[#This Row],[coeff]] + 79.57</f>
        <v>22.108587179199993</v>
      </c>
    </row>
    <row r="388" spans="1:12" x14ac:dyDescent="0.3">
      <c r="A388">
        <v>386</v>
      </c>
      <c r="B388">
        <v>9698</v>
      </c>
      <c r="C388" t="b">
        <v>1</v>
      </c>
      <c r="D388">
        <v>8048</v>
      </c>
      <c r="E388">
        <v>8099</v>
      </c>
      <c r="F388">
        <v>202.2</v>
      </c>
      <c r="G388">
        <v>195.6</v>
      </c>
      <c r="H388">
        <v>1.0337422999999999</v>
      </c>
      <c r="I388">
        <v>-3.3742282999999998E-2</v>
      </c>
      <c r="J388">
        <v>0.49170439999999999</v>
      </c>
      <c r="K388">
        <f xml:space="preserve"> -55.696 * _2026_04_17_16_25_21_23_high[[#This Row],[coeff]] + 79.57</f>
        <v>21.994688859200004</v>
      </c>
      <c r="L388">
        <f xml:space="preserve"> -55.696 * _2026_04_17_16_25_21_23_high[[#This Row],[coeff]] + 79.57</f>
        <v>21.994688859200004</v>
      </c>
    </row>
    <row r="389" spans="1:12" x14ac:dyDescent="0.3">
      <c r="A389">
        <v>387</v>
      </c>
      <c r="B389">
        <v>9714</v>
      </c>
      <c r="C389" t="b">
        <v>1</v>
      </c>
      <c r="D389">
        <v>8037</v>
      </c>
      <c r="E389">
        <v>8129</v>
      </c>
      <c r="F389">
        <v>201.86667</v>
      </c>
      <c r="G389">
        <v>196</v>
      </c>
      <c r="H389">
        <v>1.0299320000000001</v>
      </c>
      <c r="I389">
        <v>-2.9931982999999999E-2</v>
      </c>
      <c r="J389">
        <v>0.49262735000000002</v>
      </c>
      <c r="K389">
        <f xml:space="preserve"> -55.696 * _2026_04_17_16_25_21_23_high[[#This Row],[coeff]] + 79.57</f>
        <v>22.206907327999993</v>
      </c>
      <c r="L389">
        <f xml:space="preserve"> -55.696 * _2026_04_17_16_25_21_23_high[[#This Row],[coeff]] + 79.57</f>
        <v>22.206907327999993</v>
      </c>
    </row>
    <row r="390" spans="1:12" x14ac:dyDescent="0.3">
      <c r="A390">
        <v>388</v>
      </c>
      <c r="B390">
        <v>9746</v>
      </c>
      <c r="C390" t="b">
        <v>1</v>
      </c>
      <c r="D390">
        <v>8042</v>
      </c>
      <c r="E390">
        <v>8117</v>
      </c>
      <c r="F390">
        <v>201.46665999999999</v>
      </c>
      <c r="G390">
        <v>196.4</v>
      </c>
      <c r="H390">
        <v>1.0257977</v>
      </c>
      <c r="I390">
        <v>-2.5797687E-2</v>
      </c>
      <c r="J390">
        <v>0.49363273000000002</v>
      </c>
      <c r="K390">
        <f xml:space="preserve"> -55.696 * _2026_04_17_16_25_21_23_high[[#This Row],[coeff]] + 79.57</f>
        <v>22.437171300799996</v>
      </c>
      <c r="L390">
        <f xml:space="preserve"> -55.696 * _2026_04_17_16_25_21_23_high[[#This Row],[coeff]] + 79.57</f>
        <v>22.437171300799996</v>
      </c>
    </row>
    <row r="391" spans="1:12" x14ac:dyDescent="0.3">
      <c r="A391">
        <v>389</v>
      </c>
      <c r="B391">
        <v>9761</v>
      </c>
      <c r="C391" t="b">
        <v>1</v>
      </c>
      <c r="D391">
        <v>8030</v>
      </c>
      <c r="E391">
        <v>8111</v>
      </c>
      <c r="F391">
        <v>201.13333</v>
      </c>
      <c r="G391">
        <v>196.4</v>
      </c>
      <c r="H391">
        <v>1.0241005000000001</v>
      </c>
      <c r="I391">
        <v>-2.4100496999999999E-2</v>
      </c>
      <c r="J391">
        <v>0.49404662999999999</v>
      </c>
      <c r="K391">
        <f xml:space="preserve"> -55.696 * _2026_04_17_16_25_21_23_high[[#This Row],[coeff]] + 79.57</f>
        <v>22.531698551999988</v>
      </c>
      <c r="L391">
        <f xml:space="preserve"> -55.696 * _2026_04_17_16_25_21_23_high[[#This Row],[coeff]] + 79.57</f>
        <v>22.531698551999988</v>
      </c>
    </row>
    <row r="392" spans="1:12" x14ac:dyDescent="0.3">
      <c r="A392">
        <v>390</v>
      </c>
      <c r="B392">
        <v>9793</v>
      </c>
      <c r="C392" t="b">
        <v>1</v>
      </c>
      <c r="D392">
        <v>8030</v>
      </c>
      <c r="E392">
        <v>8129</v>
      </c>
      <c r="F392">
        <v>201.13333</v>
      </c>
      <c r="G392">
        <v>196</v>
      </c>
      <c r="H392">
        <v>1.0261905</v>
      </c>
      <c r="I392">
        <v>-2.6190465E-2</v>
      </c>
      <c r="J392">
        <v>0.493537</v>
      </c>
      <c r="K392">
        <f xml:space="preserve"> -55.696 * _2026_04_17_16_25_21_23_high[[#This Row],[coeff]] + 79.57</f>
        <v>22.415293911999996</v>
      </c>
      <c r="L392">
        <f xml:space="preserve"> -55.696 * _2026_04_17_16_25_21_23_high[[#This Row],[coeff]] + 79.57</f>
        <v>22.415293911999996</v>
      </c>
    </row>
    <row r="393" spans="1:12" x14ac:dyDescent="0.3">
      <c r="A393">
        <v>391</v>
      </c>
      <c r="B393">
        <v>9809</v>
      </c>
      <c r="C393" t="b">
        <v>1</v>
      </c>
      <c r="D393">
        <v>8030</v>
      </c>
      <c r="E393">
        <v>8111</v>
      </c>
      <c r="F393">
        <v>200.33332999999999</v>
      </c>
      <c r="G393">
        <v>195.6</v>
      </c>
      <c r="H393">
        <v>1.0241990000000001</v>
      </c>
      <c r="I393">
        <v>-2.4198988000000001E-2</v>
      </c>
      <c r="J393">
        <v>0.49402255</v>
      </c>
      <c r="K393">
        <f xml:space="preserve"> -55.696 * _2026_04_17_16_25_21_23_high[[#This Row],[coeff]] + 79.57</f>
        <v>22.526212495999992</v>
      </c>
      <c r="L393">
        <f xml:space="preserve"> -55.696 * _2026_04_17_16_25_21_23_high[[#This Row],[coeff]] + 79.57</f>
        <v>22.526212495999992</v>
      </c>
    </row>
    <row r="394" spans="1:12" x14ac:dyDescent="0.3">
      <c r="A394">
        <v>392</v>
      </c>
      <c r="B394">
        <v>9825</v>
      </c>
      <c r="C394" t="b">
        <v>1</v>
      </c>
      <c r="D394">
        <v>8048</v>
      </c>
      <c r="E394">
        <v>8081</v>
      </c>
      <c r="F394">
        <v>199.53334000000001</v>
      </c>
      <c r="G394">
        <v>195.6</v>
      </c>
      <c r="H394">
        <v>1.0201089999999999</v>
      </c>
      <c r="I394">
        <v>-2.010907E-2</v>
      </c>
      <c r="J394">
        <v>0.49502274000000002</v>
      </c>
      <c r="K394">
        <f xml:space="preserve"> -55.696 * _2026_04_17_16_25_21_23_high[[#This Row],[coeff]] + 79.57</f>
        <v>22.754009136000001</v>
      </c>
      <c r="L394">
        <f xml:space="preserve"> -55.696 * _2026_04_17_16_25_21_23_high[[#This Row],[coeff]] + 79.57</f>
        <v>22.754009136000001</v>
      </c>
    </row>
    <row r="395" spans="1:12" x14ac:dyDescent="0.3">
      <c r="A395">
        <v>393</v>
      </c>
      <c r="B395">
        <v>9840</v>
      </c>
      <c r="C395" t="b">
        <v>1</v>
      </c>
      <c r="D395">
        <v>8060</v>
      </c>
      <c r="E395">
        <v>8105</v>
      </c>
      <c r="F395">
        <v>199.06666999999999</v>
      </c>
      <c r="G395">
        <v>195.6</v>
      </c>
      <c r="H395">
        <v>1.0177232000000001</v>
      </c>
      <c r="I395">
        <v>-1.7723208000000001E-2</v>
      </c>
      <c r="J395">
        <v>0.4956081</v>
      </c>
      <c r="K395">
        <f xml:space="preserve"> -55.696 * _2026_04_17_16_25_21_23_high[[#This Row],[coeff]] + 79.57</f>
        <v>22.886888652799989</v>
      </c>
      <c r="L395">
        <f xml:space="preserve"> -55.696 * _2026_04_17_16_25_21_23_high[[#This Row],[coeff]] + 79.57</f>
        <v>22.886888652799989</v>
      </c>
    </row>
    <row r="396" spans="1:12" x14ac:dyDescent="0.3">
      <c r="A396">
        <v>394</v>
      </c>
      <c r="B396">
        <v>9856</v>
      </c>
      <c r="C396" t="b">
        <v>1</v>
      </c>
      <c r="D396">
        <v>8037</v>
      </c>
      <c r="E396">
        <v>8129</v>
      </c>
      <c r="F396">
        <v>199.06666999999999</v>
      </c>
      <c r="G396">
        <v>195.6</v>
      </c>
      <c r="H396">
        <v>1.0177232000000001</v>
      </c>
      <c r="I396">
        <v>-1.7723208000000001E-2</v>
      </c>
      <c r="J396">
        <v>0.4956081</v>
      </c>
      <c r="K396">
        <f xml:space="preserve"> -55.696 * _2026_04_17_16_25_21_23_high[[#This Row],[coeff]] + 79.57</f>
        <v>22.886888652799989</v>
      </c>
      <c r="L396">
        <f xml:space="preserve"> -55.696 * _2026_04_17_16_25_21_23_high[[#This Row],[coeff]] + 79.57</f>
        <v>22.886888652799989</v>
      </c>
    </row>
    <row r="397" spans="1:12" x14ac:dyDescent="0.3">
      <c r="A397">
        <v>395</v>
      </c>
      <c r="B397">
        <v>9872</v>
      </c>
      <c r="C397" t="b">
        <v>1</v>
      </c>
      <c r="D397">
        <v>8042</v>
      </c>
      <c r="E397">
        <v>8117</v>
      </c>
      <c r="F397">
        <v>199.06666999999999</v>
      </c>
      <c r="G397">
        <v>195.6</v>
      </c>
      <c r="H397">
        <v>1.0177232000000001</v>
      </c>
      <c r="I397">
        <v>-1.7723208000000001E-2</v>
      </c>
      <c r="J397">
        <v>0.4956081</v>
      </c>
      <c r="K397">
        <f xml:space="preserve"> -55.696 * _2026_04_17_16_25_21_23_high[[#This Row],[coeff]] + 79.57</f>
        <v>22.886888652799989</v>
      </c>
      <c r="L397">
        <f xml:space="preserve"> -55.696 * _2026_04_17_16_25_21_23_high[[#This Row],[coeff]] + 79.57</f>
        <v>22.886888652799989</v>
      </c>
    </row>
    <row r="398" spans="1:12" x14ac:dyDescent="0.3">
      <c r="A398">
        <v>396</v>
      </c>
      <c r="B398">
        <v>9888</v>
      </c>
      <c r="C398" t="b">
        <v>1</v>
      </c>
      <c r="D398">
        <v>8037</v>
      </c>
      <c r="E398">
        <v>8123</v>
      </c>
      <c r="F398">
        <v>199.06666999999999</v>
      </c>
      <c r="G398">
        <v>196</v>
      </c>
      <c r="H398">
        <v>1.0156461999999999</v>
      </c>
      <c r="I398">
        <v>-1.5646252999999999E-2</v>
      </c>
      <c r="J398">
        <v>0.49611880000000003</v>
      </c>
      <c r="K398">
        <f xml:space="preserve"> -55.696 * _2026_04_17_16_25_21_23_high[[#This Row],[coeff]] + 79.57</f>
        <v>23.0025692448</v>
      </c>
      <c r="L398">
        <f xml:space="preserve"> -55.696 * _2026_04_17_16_25_21_23_high[[#This Row],[coeff]] + 79.57</f>
        <v>23.0025692448</v>
      </c>
    </row>
    <row r="399" spans="1:12" x14ac:dyDescent="0.3">
      <c r="A399">
        <v>397</v>
      </c>
      <c r="B399">
        <v>9903</v>
      </c>
      <c r="C399" t="b">
        <v>1</v>
      </c>
      <c r="D399">
        <v>8030</v>
      </c>
      <c r="E399">
        <v>8117</v>
      </c>
      <c r="F399">
        <v>198.73334</v>
      </c>
      <c r="G399">
        <v>196.4</v>
      </c>
      <c r="H399">
        <v>1.0118805</v>
      </c>
      <c r="I399">
        <v>-1.1880567999999999E-2</v>
      </c>
      <c r="J399">
        <v>0.49704739999999997</v>
      </c>
      <c r="K399">
        <f xml:space="preserve"> -55.696 * _2026_04_17_16_25_21_23_high[[#This Row],[coeff]] + 79.57</f>
        <v>23.212303671999997</v>
      </c>
      <c r="L399">
        <f xml:space="preserve"> -55.696 * _2026_04_17_16_25_21_23_high[[#This Row],[coeff]] + 79.57</f>
        <v>23.212303671999997</v>
      </c>
    </row>
    <row r="400" spans="1:12" x14ac:dyDescent="0.3">
      <c r="A400">
        <v>398</v>
      </c>
      <c r="B400">
        <v>9919</v>
      </c>
      <c r="C400" t="b">
        <v>1</v>
      </c>
      <c r="D400">
        <v>8030</v>
      </c>
      <c r="E400">
        <v>8087</v>
      </c>
      <c r="F400">
        <v>198.4</v>
      </c>
      <c r="G400">
        <v>196.8</v>
      </c>
      <c r="H400">
        <v>1.0081301</v>
      </c>
      <c r="I400">
        <v>-8.1300339999999995E-3</v>
      </c>
      <c r="J400">
        <v>0.49797570000000002</v>
      </c>
      <c r="K400">
        <f xml:space="preserve"> -55.696 * _2026_04_17_16_25_21_23_high[[#This Row],[coeff]] + 79.57</f>
        <v>23.421185950399995</v>
      </c>
      <c r="L400">
        <f xml:space="preserve"> -55.696 * _2026_04_17_16_25_21_23_high[[#This Row],[coeff]] + 79.57</f>
        <v>23.421185950399995</v>
      </c>
    </row>
    <row r="401" spans="1:12" x14ac:dyDescent="0.3">
      <c r="A401">
        <v>399</v>
      </c>
      <c r="B401">
        <v>9935</v>
      </c>
      <c r="C401" t="b">
        <v>1</v>
      </c>
      <c r="D401">
        <v>8042</v>
      </c>
      <c r="E401">
        <v>8111</v>
      </c>
      <c r="F401">
        <v>197.66667000000001</v>
      </c>
      <c r="G401">
        <v>197.6</v>
      </c>
      <c r="H401">
        <v>1.0003374</v>
      </c>
      <c r="I401">
        <v>-3.3737675E-4</v>
      </c>
      <c r="J401">
        <v>0.49991570000000002</v>
      </c>
      <c r="K401">
        <f xml:space="preserve"> -55.696 * _2026_04_17_16_25_21_23_high[[#This Row],[coeff]] + 79.57</f>
        <v>23.85520816959999</v>
      </c>
      <c r="L401">
        <f xml:space="preserve"> -55.696 * _2026_04_17_16_25_21_23_high[[#This Row],[coeff]] + 79.57</f>
        <v>23.85520816959999</v>
      </c>
    </row>
    <row r="402" spans="1:12" x14ac:dyDescent="0.3">
      <c r="A402">
        <v>400</v>
      </c>
      <c r="B402">
        <v>9951</v>
      </c>
      <c r="C402" t="b">
        <v>1</v>
      </c>
      <c r="D402">
        <v>8054</v>
      </c>
      <c r="E402">
        <v>8105</v>
      </c>
      <c r="F402">
        <v>197.33332999999999</v>
      </c>
      <c r="G402">
        <v>198</v>
      </c>
      <c r="H402">
        <v>0.99663299999999999</v>
      </c>
      <c r="I402">
        <v>3.3670291000000001E-3</v>
      </c>
      <c r="J402">
        <v>0.50084317</v>
      </c>
      <c r="K402">
        <f xml:space="preserve"> -55.696 * _2026_04_17_16_25_21_23_high[[#This Row],[coeff]] + 79.57</f>
        <v>24.061528431999996</v>
      </c>
      <c r="L402">
        <f xml:space="preserve"> -55.696 * _2026_04_17_16_25_21_23_high[[#This Row],[coeff]] + 79.57</f>
        <v>24.061528431999996</v>
      </c>
    </row>
    <row r="403" spans="1:12" x14ac:dyDescent="0.3">
      <c r="A403">
        <v>401</v>
      </c>
      <c r="B403">
        <v>9982</v>
      </c>
      <c r="C403" t="b">
        <v>1</v>
      </c>
      <c r="D403">
        <v>8060</v>
      </c>
      <c r="E403">
        <v>8123</v>
      </c>
      <c r="F403">
        <v>196.93333000000001</v>
      </c>
      <c r="G403">
        <v>198.4</v>
      </c>
      <c r="H403">
        <v>0.99260753000000002</v>
      </c>
      <c r="I403">
        <v>7.3924376999999998E-3</v>
      </c>
      <c r="J403">
        <v>0.50185495999999996</v>
      </c>
      <c r="K403">
        <f xml:space="preserve"> -55.696 * _2026_04_17_16_25_21_23_high[[#This Row],[coeff]] + 79.57</f>
        <v>24.285731009119992</v>
      </c>
      <c r="L403">
        <f xml:space="preserve"> -55.696 * _2026_04_17_16_25_21_23_high[[#This Row],[coeff]] + 79.57</f>
        <v>24.285731009119992</v>
      </c>
    </row>
    <row r="404" spans="1:12" x14ac:dyDescent="0.3">
      <c r="A404">
        <v>402</v>
      </c>
      <c r="B404">
        <v>10014</v>
      </c>
      <c r="C404" t="b">
        <v>1</v>
      </c>
      <c r="D404">
        <v>8030</v>
      </c>
      <c r="E404">
        <v>8152</v>
      </c>
      <c r="F404">
        <v>197.26666</v>
      </c>
      <c r="G404">
        <v>198.4</v>
      </c>
      <c r="H404">
        <v>0.99428766999999996</v>
      </c>
      <c r="I404">
        <v>5.7123555000000003E-3</v>
      </c>
      <c r="J404">
        <v>0.50143219999999999</v>
      </c>
      <c r="K404">
        <f xml:space="preserve"> -55.696 * _2026_04_17_16_25_21_23_high[[#This Row],[coeff]] + 79.57</f>
        <v>24.192153931679997</v>
      </c>
      <c r="L404">
        <f xml:space="preserve"> -55.696 * _2026_04_17_16_25_21_23_high[[#This Row],[coeff]] + 79.57</f>
        <v>24.192153931679997</v>
      </c>
    </row>
    <row r="405" spans="1:12" x14ac:dyDescent="0.3">
      <c r="A405">
        <v>403</v>
      </c>
      <c r="B405">
        <v>10046</v>
      </c>
      <c r="C405" t="b">
        <v>1</v>
      </c>
      <c r="D405">
        <v>8037</v>
      </c>
      <c r="E405">
        <v>8111</v>
      </c>
      <c r="F405">
        <v>197.26666</v>
      </c>
      <c r="G405">
        <v>198.4</v>
      </c>
      <c r="H405">
        <v>0.99428766999999996</v>
      </c>
      <c r="I405">
        <v>5.7123555000000003E-3</v>
      </c>
      <c r="J405">
        <v>0.50143219999999999</v>
      </c>
      <c r="K405">
        <f xml:space="preserve"> -55.696 * _2026_04_17_16_25_21_23_high[[#This Row],[coeff]] + 79.57</f>
        <v>24.192153931679997</v>
      </c>
      <c r="L405">
        <f xml:space="preserve"> -55.696 * _2026_04_17_16_25_21_23_high[[#This Row],[coeff]] + 79.57</f>
        <v>24.192153931679997</v>
      </c>
    </row>
    <row r="406" spans="1:12" x14ac:dyDescent="0.3">
      <c r="A406">
        <v>404</v>
      </c>
      <c r="B406">
        <v>10062</v>
      </c>
      <c r="C406" t="b">
        <v>1</v>
      </c>
      <c r="D406">
        <v>8042</v>
      </c>
      <c r="E406">
        <v>8099</v>
      </c>
      <c r="F406">
        <v>197.6</v>
      </c>
      <c r="G406">
        <v>198.4</v>
      </c>
      <c r="H406">
        <v>0.99596779999999996</v>
      </c>
      <c r="I406">
        <v>4.0321964999999998E-3</v>
      </c>
      <c r="J406">
        <v>0.50101006000000003</v>
      </c>
      <c r="K406">
        <f xml:space="preserve"> -55.696 * _2026_04_17_16_25_21_23_high[[#This Row],[coeff]] + 79.57</f>
        <v>24.098577411199997</v>
      </c>
      <c r="L406">
        <f xml:space="preserve"> -55.696 * _2026_04_17_16_25_21_23_high[[#This Row],[coeff]] + 79.57</f>
        <v>24.098577411199997</v>
      </c>
    </row>
    <row r="407" spans="1:12" x14ac:dyDescent="0.3">
      <c r="A407">
        <v>405</v>
      </c>
      <c r="B407">
        <v>10078</v>
      </c>
      <c r="C407" t="b">
        <v>1</v>
      </c>
      <c r="D407">
        <v>8054</v>
      </c>
      <c r="E407">
        <v>8105</v>
      </c>
      <c r="F407">
        <v>197.93333000000001</v>
      </c>
      <c r="G407">
        <v>198</v>
      </c>
      <c r="H407">
        <v>0.99966330000000003</v>
      </c>
      <c r="I407">
        <v>3.3669519999999999E-4</v>
      </c>
      <c r="J407">
        <v>0.50008416</v>
      </c>
      <c r="K407">
        <f xml:space="preserve"> -55.696 * _2026_04_17_16_25_21_23_high[[#This Row],[coeff]] + 79.57</f>
        <v>23.892752843199993</v>
      </c>
      <c r="L407">
        <f xml:space="preserve"> -55.696 * _2026_04_17_16_25_21_23_high[[#This Row],[coeff]] + 79.57</f>
        <v>23.892752843199993</v>
      </c>
    </row>
    <row r="408" spans="1:12" x14ac:dyDescent="0.3">
      <c r="A408">
        <v>406</v>
      </c>
      <c r="B408">
        <v>10110</v>
      </c>
      <c r="C408" t="b">
        <v>1</v>
      </c>
      <c r="D408">
        <v>8030</v>
      </c>
      <c r="E408">
        <v>8117</v>
      </c>
      <c r="F408">
        <v>198.4</v>
      </c>
      <c r="G408">
        <v>197.6</v>
      </c>
      <c r="H408">
        <v>1.0040484999999999</v>
      </c>
      <c r="I408">
        <v>-4.0485210000000002E-3</v>
      </c>
      <c r="J408">
        <v>0.49898989999999999</v>
      </c>
      <c r="K408">
        <f xml:space="preserve"> -55.696 * _2026_04_17_16_25_21_23_high[[#This Row],[coeff]] + 79.57</f>
        <v>23.648514744000003</v>
      </c>
      <c r="L408">
        <f xml:space="preserve"> -55.696 * _2026_04_17_16_25_21_23_high[[#This Row],[coeff]] + 79.57</f>
        <v>23.648514744000003</v>
      </c>
    </row>
    <row r="409" spans="1:12" x14ac:dyDescent="0.3">
      <c r="A409">
        <v>407</v>
      </c>
      <c r="B409">
        <v>10141</v>
      </c>
      <c r="C409" t="b">
        <v>1</v>
      </c>
      <c r="D409">
        <v>8048</v>
      </c>
      <c r="E409">
        <v>8093</v>
      </c>
      <c r="F409">
        <v>199.2</v>
      </c>
      <c r="G409">
        <v>197.2</v>
      </c>
      <c r="H409">
        <v>1.0101420000000001</v>
      </c>
      <c r="I409">
        <v>-1.0141987999999999E-2</v>
      </c>
      <c r="J409">
        <v>0.49747730000000001</v>
      </c>
      <c r="K409">
        <f xml:space="preserve"> -55.696 * _2026_04_17_16_25_21_23_high[[#This Row],[coeff]] + 79.57</f>
        <v>23.309131167999993</v>
      </c>
      <c r="L409">
        <f xml:space="preserve"> -55.696 * _2026_04_17_16_25_21_23_high[[#This Row],[coeff]] + 79.57</f>
        <v>23.309131167999993</v>
      </c>
    </row>
    <row r="410" spans="1:12" x14ac:dyDescent="0.3">
      <c r="A410">
        <v>408</v>
      </c>
      <c r="B410">
        <v>10173</v>
      </c>
      <c r="C410" t="b">
        <v>1</v>
      </c>
      <c r="D410">
        <v>8037</v>
      </c>
      <c r="E410">
        <v>8117</v>
      </c>
      <c r="F410">
        <v>200</v>
      </c>
      <c r="G410">
        <v>196.8</v>
      </c>
      <c r="H410">
        <v>1.0162601</v>
      </c>
      <c r="I410">
        <v>-1.6260146999999999E-2</v>
      </c>
      <c r="J410">
        <v>0.49596778000000002</v>
      </c>
      <c r="K410">
        <f xml:space="preserve"> -55.696 * _2026_04_17_16_25_21_23_high[[#This Row],[coeff]] + 79.57</f>
        <v>22.968377470399993</v>
      </c>
      <c r="L410">
        <f xml:space="preserve"> -55.696 * _2026_04_17_16_25_21_23_high[[#This Row],[coeff]] + 79.57</f>
        <v>22.968377470399993</v>
      </c>
    </row>
    <row r="411" spans="1:12" x14ac:dyDescent="0.3">
      <c r="A411">
        <v>409</v>
      </c>
      <c r="B411">
        <v>10204</v>
      </c>
      <c r="C411" t="b">
        <v>1</v>
      </c>
      <c r="D411">
        <v>8023</v>
      </c>
      <c r="E411">
        <v>8117</v>
      </c>
      <c r="F411">
        <v>200</v>
      </c>
      <c r="G411">
        <v>197.2</v>
      </c>
      <c r="H411">
        <v>1.0141988</v>
      </c>
      <c r="I411">
        <v>-1.4198799E-2</v>
      </c>
      <c r="J411">
        <v>0.49647530000000001</v>
      </c>
      <c r="K411">
        <f xml:space="preserve"> -55.696 * _2026_04_17_16_25_21_23_high[[#This Row],[coeff]] + 79.57</f>
        <v>23.083183635200001</v>
      </c>
      <c r="L411">
        <f xml:space="preserve"> -55.696 * _2026_04_17_16_25_21_23_high[[#This Row],[coeff]] + 79.57</f>
        <v>23.083183635200001</v>
      </c>
    </row>
    <row r="412" spans="1:12" x14ac:dyDescent="0.3">
      <c r="A412">
        <v>410</v>
      </c>
      <c r="B412">
        <v>10220</v>
      </c>
      <c r="C412" t="b">
        <v>1</v>
      </c>
      <c r="D412">
        <v>8048</v>
      </c>
      <c r="E412">
        <v>8111</v>
      </c>
      <c r="F412">
        <v>199.66667000000001</v>
      </c>
      <c r="G412">
        <v>197.6</v>
      </c>
      <c r="H412">
        <v>1.0104588000000001</v>
      </c>
      <c r="I412">
        <v>-1.0458834E-2</v>
      </c>
      <c r="J412">
        <v>0.49739889999999998</v>
      </c>
      <c r="K412">
        <f xml:space="preserve"> -55.696 * _2026_04_17_16_25_21_23_high[[#This Row],[coeff]] + 79.57</f>
        <v>23.291486675199991</v>
      </c>
      <c r="L412">
        <f xml:space="preserve"> -55.696 * _2026_04_17_16_25_21_23_high[[#This Row],[coeff]] + 79.57</f>
        <v>23.291486675199991</v>
      </c>
    </row>
    <row r="413" spans="1:12" x14ac:dyDescent="0.3">
      <c r="A413">
        <v>411</v>
      </c>
      <c r="B413">
        <v>10236</v>
      </c>
      <c r="C413" t="b">
        <v>1</v>
      </c>
      <c r="D413">
        <v>8054</v>
      </c>
      <c r="E413">
        <v>8123</v>
      </c>
      <c r="F413">
        <v>200.06666999999999</v>
      </c>
      <c r="G413">
        <v>197.6</v>
      </c>
      <c r="H413">
        <v>1.0124831000000001</v>
      </c>
      <c r="I413">
        <v>-1.2483095E-2</v>
      </c>
      <c r="J413">
        <v>0.49689855999999999</v>
      </c>
      <c r="K413">
        <f xml:space="preserve"> -55.696 * _2026_04_17_16_25_21_23_high[[#This Row],[coeff]] + 79.57</f>
        <v>23.178741262399988</v>
      </c>
      <c r="L413">
        <f xml:space="preserve"> -55.696 * _2026_04_17_16_25_21_23_high[[#This Row],[coeff]] + 79.57</f>
        <v>23.178741262399988</v>
      </c>
    </row>
    <row r="414" spans="1:12" x14ac:dyDescent="0.3">
      <c r="A414">
        <v>412</v>
      </c>
      <c r="B414">
        <v>10252</v>
      </c>
      <c r="C414" t="b">
        <v>1</v>
      </c>
      <c r="D414">
        <v>8042</v>
      </c>
      <c r="E414">
        <v>8129</v>
      </c>
      <c r="F414">
        <v>200.4</v>
      </c>
      <c r="G414">
        <v>197.6</v>
      </c>
      <c r="H414">
        <v>1.0141699</v>
      </c>
      <c r="I414">
        <v>-1.4169978E-2</v>
      </c>
      <c r="J414">
        <v>0.49648242999999997</v>
      </c>
      <c r="K414">
        <f xml:space="preserve"> -55.696 * _2026_04_17_16_25_21_23_high[[#This Row],[coeff]] + 79.57</f>
        <v>23.084793249599997</v>
      </c>
      <c r="L414">
        <f xml:space="preserve"> -55.696 * _2026_04_17_16_25_21_23_high[[#This Row],[coeff]] + 79.57</f>
        <v>23.084793249599997</v>
      </c>
    </row>
    <row r="415" spans="1:12" x14ac:dyDescent="0.3">
      <c r="A415">
        <v>413</v>
      </c>
      <c r="B415">
        <v>10284</v>
      </c>
      <c r="C415" t="b">
        <v>1</v>
      </c>
      <c r="D415">
        <v>8048</v>
      </c>
      <c r="E415">
        <v>8117</v>
      </c>
      <c r="F415">
        <v>201.13333</v>
      </c>
      <c r="G415">
        <v>197.6</v>
      </c>
      <c r="H415">
        <v>1.0178811999999999</v>
      </c>
      <c r="I415">
        <v>-1.78812E-2</v>
      </c>
      <c r="J415">
        <v>0.49556931999999998</v>
      </c>
      <c r="K415">
        <f xml:space="preserve"> -55.696 * _2026_04_17_16_25_21_23_high[[#This Row],[coeff]] + 79.57</f>
        <v>22.878088684799998</v>
      </c>
      <c r="L415">
        <f xml:space="preserve"> -55.696 * _2026_04_17_16_25_21_23_high[[#This Row],[coeff]] + 79.57</f>
        <v>22.878088684799998</v>
      </c>
    </row>
    <row r="416" spans="1:12" x14ac:dyDescent="0.3">
      <c r="A416">
        <v>414</v>
      </c>
      <c r="B416">
        <v>10316</v>
      </c>
      <c r="C416" t="b">
        <v>1</v>
      </c>
      <c r="D416">
        <v>8048</v>
      </c>
      <c r="E416">
        <v>8093</v>
      </c>
      <c r="F416">
        <v>201.86667</v>
      </c>
      <c r="G416">
        <v>197.6</v>
      </c>
      <c r="H416">
        <v>1.0215924000000001</v>
      </c>
      <c r="I416">
        <v>-2.1592421000000001E-2</v>
      </c>
      <c r="J416">
        <v>0.49465954000000001</v>
      </c>
      <c r="K416">
        <f xml:space="preserve"> -55.696 * _2026_04_17_16_25_21_23_high[[#This Row],[coeff]] + 79.57</f>
        <v>22.671389689599991</v>
      </c>
      <c r="L416">
        <f xml:space="preserve"> -55.696 * _2026_04_17_16_25_21_23_high[[#This Row],[coeff]] + 79.57</f>
        <v>22.671389689599991</v>
      </c>
    </row>
    <row r="417" spans="1:12" x14ac:dyDescent="0.3">
      <c r="A417">
        <v>415</v>
      </c>
      <c r="B417">
        <v>10347</v>
      </c>
      <c r="C417" t="b">
        <v>1</v>
      </c>
      <c r="D417">
        <v>8042</v>
      </c>
      <c r="E417">
        <v>8099</v>
      </c>
      <c r="F417">
        <v>202.6</v>
      </c>
      <c r="G417">
        <v>198</v>
      </c>
      <c r="H417">
        <v>1.0232323000000001</v>
      </c>
      <c r="I417">
        <v>-2.3232354E-2</v>
      </c>
      <c r="J417">
        <v>0.49425859999999999</v>
      </c>
      <c r="K417">
        <f xml:space="preserve"> -55.696 * _2026_04_17_16_25_21_23_high[[#This Row],[coeff]] + 79.57</f>
        <v>22.580053819199989</v>
      </c>
      <c r="L417">
        <f xml:space="preserve"> -55.696 * _2026_04_17_16_25_21_23_high[[#This Row],[coeff]] + 79.57</f>
        <v>22.580053819199989</v>
      </c>
    </row>
    <row r="418" spans="1:12" x14ac:dyDescent="0.3">
      <c r="A418">
        <v>416</v>
      </c>
      <c r="B418">
        <v>10363</v>
      </c>
      <c r="C418" t="b">
        <v>1</v>
      </c>
      <c r="D418">
        <v>8030</v>
      </c>
      <c r="E418">
        <v>8105</v>
      </c>
      <c r="F418">
        <v>202.6</v>
      </c>
      <c r="G418">
        <v>197.6</v>
      </c>
      <c r="H418">
        <v>1.0253036</v>
      </c>
      <c r="I418">
        <v>-2.5303643000000001E-2</v>
      </c>
      <c r="J418">
        <v>0.49375313999999998</v>
      </c>
      <c r="K418">
        <f xml:space="preserve"> -55.696 * _2026_04_17_16_25_21_23_high[[#This Row],[coeff]] + 79.57</f>
        <v>22.464690694399998</v>
      </c>
      <c r="L418">
        <f xml:space="preserve"> -55.696 * _2026_04_17_16_25_21_23_high[[#This Row],[coeff]] + 79.57</f>
        <v>22.464690694399998</v>
      </c>
    </row>
    <row r="419" spans="1:12" x14ac:dyDescent="0.3">
      <c r="A419">
        <v>417</v>
      </c>
      <c r="B419">
        <v>10379</v>
      </c>
      <c r="C419" t="b">
        <v>1</v>
      </c>
      <c r="D419">
        <v>8042</v>
      </c>
      <c r="E419">
        <v>8099</v>
      </c>
      <c r="F419">
        <v>202.6</v>
      </c>
      <c r="G419">
        <v>196.8</v>
      </c>
      <c r="H419">
        <v>1.0294715000000001</v>
      </c>
      <c r="I419">
        <v>-2.9471560000000001E-2</v>
      </c>
      <c r="J419">
        <v>0.49273908</v>
      </c>
      <c r="K419">
        <f xml:space="preserve"> -55.696 * _2026_04_17_16_25_21_23_high[[#This Row],[coeff]] + 79.57</f>
        <v>22.23255533599999</v>
      </c>
      <c r="L419">
        <f xml:space="preserve"> -55.696 * _2026_04_17_16_25_21_23_high[[#This Row],[coeff]] + 79.57</f>
        <v>22.23255533599999</v>
      </c>
    </row>
    <row r="420" spans="1:12" x14ac:dyDescent="0.3">
      <c r="A420">
        <v>418</v>
      </c>
      <c r="B420">
        <v>10395</v>
      </c>
      <c r="C420" t="b">
        <v>1</v>
      </c>
      <c r="D420">
        <v>8023</v>
      </c>
      <c r="E420">
        <v>8087</v>
      </c>
      <c r="F420">
        <v>202.6</v>
      </c>
      <c r="G420">
        <v>196</v>
      </c>
      <c r="H420">
        <v>1.0336734999999999</v>
      </c>
      <c r="I420">
        <v>-3.3673500000000002E-2</v>
      </c>
      <c r="J420">
        <v>0.49172100000000002</v>
      </c>
      <c r="K420">
        <f xml:space="preserve"> -55.696 * _2026_04_17_16_25_21_23_high[[#This Row],[coeff]] + 79.57</f>
        <v>21.998520743999997</v>
      </c>
      <c r="L420">
        <f xml:space="preserve"> -55.696 * _2026_04_17_16_25_21_23_high[[#This Row],[coeff]] + 79.57</f>
        <v>21.998520743999997</v>
      </c>
    </row>
    <row r="421" spans="1:12" x14ac:dyDescent="0.3">
      <c r="A421">
        <v>419</v>
      </c>
      <c r="B421">
        <v>10411</v>
      </c>
      <c r="C421" t="b">
        <v>1</v>
      </c>
      <c r="D421">
        <v>8037</v>
      </c>
      <c r="E421">
        <v>8099</v>
      </c>
      <c r="F421">
        <v>202.26666</v>
      </c>
      <c r="G421">
        <v>195.2</v>
      </c>
      <c r="H421">
        <v>1.0362022</v>
      </c>
      <c r="I421">
        <v>-3.620218E-2</v>
      </c>
      <c r="J421">
        <v>0.49111034999999997</v>
      </c>
      <c r="K421">
        <f xml:space="preserve"> -55.696 * _2026_04_17_16_25_21_23_high[[#This Row],[coeff]] + 79.57</f>
        <v>21.857682268799998</v>
      </c>
      <c r="L421">
        <f xml:space="preserve"> -55.696 * _2026_04_17_16_25_21_23_high[[#This Row],[coeff]] + 79.57</f>
        <v>21.857682268799998</v>
      </c>
    </row>
    <row r="422" spans="1:12" x14ac:dyDescent="0.3">
      <c r="A422">
        <v>420</v>
      </c>
      <c r="B422">
        <v>10427</v>
      </c>
      <c r="C422" t="b">
        <v>1</v>
      </c>
      <c r="D422">
        <v>8048</v>
      </c>
      <c r="E422">
        <v>8111</v>
      </c>
      <c r="F422">
        <v>201.93333000000001</v>
      </c>
      <c r="G422">
        <v>194.4</v>
      </c>
      <c r="H422">
        <v>1.0387516999999999</v>
      </c>
      <c r="I422">
        <v>-3.8751750000000001E-2</v>
      </c>
      <c r="J422">
        <v>0.49049621999999998</v>
      </c>
      <c r="K422">
        <f xml:space="preserve"> -55.696 * _2026_04_17_16_25_21_23_high[[#This Row],[coeff]] + 79.57</f>
        <v>21.715685316799998</v>
      </c>
      <c r="L422">
        <f xml:space="preserve"> -55.696 * _2026_04_17_16_25_21_23_high[[#This Row],[coeff]] + 79.57</f>
        <v>21.715685316799998</v>
      </c>
    </row>
    <row r="423" spans="1:12" x14ac:dyDescent="0.3">
      <c r="A423">
        <v>421</v>
      </c>
      <c r="B423">
        <v>10459</v>
      </c>
      <c r="C423" t="b">
        <v>1</v>
      </c>
      <c r="D423">
        <v>8048</v>
      </c>
      <c r="E423">
        <v>8117</v>
      </c>
      <c r="F423">
        <v>202.26666</v>
      </c>
      <c r="G423">
        <v>193.6</v>
      </c>
      <c r="H423">
        <v>1.0447658</v>
      </c>
      <c r="I423">
        <v>-4.4765785000000002E-2</v>
      </c>
      <c r="J423">
        <v>0.48905357999999999</v>
      </c>
      <c r="K423">
        <f xml:space="preserve"> -55.696 * _2026_04_17_16_25_21_23_high[[#This Row],[coeff]] + 79.57</f>
        <v>21.380724003199994</v>
      </c>
      <c r="L423">
        <f xml:space="preserve"> -55.696 * _2026_04_17_16_25_21_23_high[[#This Row],[coeff]] + 79.57</f>
        <v>21.380724003199994</v>
      </c>
    </row>
    <row r="424" spans="1:12" x14ac:dyDescent="0.3">
      <c r="A424">
        <v>422</v>
      </c>
      <c r="B424">
        <v>10475</v>
      </c>
      <c r="C424" t="b">
        <v>1</v>
      </c>
      <c r="D424">
        <v>8048</v>
      </c>
      <c r="E424">
        <v>8111</v>
      </c>
      <c r="F424">
        <v>202.66667000000001</v>
      </c>
      <c r="G424">
        <v>194</v>
      </c>
      <c r="H424">
        <v>1.0446736000000001</v>
      </c>
      <c r="I424">
        <v>-4.4673565999999998E-2</v>
      </c>
      <c r="J424">
        <v>0.4890756</v>
      </c>
      <c r="K424">
        <f xml:space="preserve"> -55.696 * _2026_04_17_16_25_21_23_high[[#This Row],[coeff]] + 79.57</f>
        <v>21.38585917439999</v>
      </c>
      <c r="L424">
        <f xml:space="preserve"> -55.696 * _2026_04_17_16_25_21_23_high[[#This Row],[coeff]] + 79.57</f>
        <v>21.38585917439999</v>
      </c>
    </row>
    <row r="425" spans="1:12" x14ac:dyDescent="0.3">
      <c r="A425">
        <v>423</v>
      </c>
      <c r="B425">
        <v>10490</v>
      </c>
      <c r="C425" t="b">
        <v>1</v>
      </c>
      <c r="D425">
        <v>8042</v>
      </c>
      <c r="E425">
        <v>8152</v>
      </c>
      <c r="F425">
        <v>203.06666999999999</v>
      </c>
      <c r="G425">
        <v>194.4</v>
      </c>
      <c r="H425">
        <v>1.0445816999999999</v>
      </c>
      <c r="I425">
        <v>-4.4581648000000001E-2</v>
      </c>
      <c r="J425">
        <v>0.48909760000000002</v>
      </c>
      <c r="K425">
        <f xml:space="preserve"> -55.696 * _2026_04_17_16_25_21_23_high[[#This Row],[coeff]] + 79.57</f>
        <v>21.390977636799995</v>
      </c>
      <c r="L425">
        <f xml:space="preserve"> -55.696 * _2026_04_17_16_25_21_23_high[[#This Row],[coeff]] + 79.57</f>
        <v>21.390977636799995</v>
      </c>
    </row>
    <row r="426" spans="1:12" x14ac:dyDescent="0.3">
      <c r="A426">
        <v>424</v>
      </c>
      <c r="B426">
        <v>10506</v>
      </c>
      <c r="C426" t="b">
        <v>1</v>
      </c>
      <c r="D426">
        <v>8037</v>
      </c>
      <c r="E426">
        <v>8123</v>
      </c>
      <c r="F426">
        <v>203.8</v>
      </c>
      <c r="G426">
        <v>194.4</v>
      </c>
      <c r="H426">
        <v>1.0483538999999999</v>
      </c>
      <c r="I426">
        <v>-4.8353960000000001E-2</v>
      </c>
      <c r="J426">
        <v>0.48819685000000002</v>
      </c>
      <c r="K426">
        <f xml:space="preserve"> -55.696 * _2026_04_17_16_25_21_23_high[[#This Row],[coeff]] + 79.57</f>
        <v>21.180881185600001</v>
      </c>
      <c r="L426">
        <f xml:space="preserve"> -55.696 * _2026_04_17_16_25_21_23_high[[#This Row],[coeff]] + 79.57</f>
        <v>21.180881185600001</v>
      </c>
    </row>
    <row r="427" spans="1:12" x14ac:dyDescent="0.3">
      <c r="A427">
        <v>425</v>
      </c>
      <c r="B427">
        <v>10522</v>
      </c>
      <c r="C427" t="b">
        <v>1</v>
      </c>
      <c r="D427">
        <v>8030</v>
      </c>
      <c r="E427">
        <v>8105</v>
      </c>
      <c r="F427">
        <v>204.13333</v>
      </c>
      <c r="G427">
        <v>194.4</v>
      </c>
      <c r="H427">
        <v>1.0500685999999999</v>
      </c>
      <c r="I427">
        <v>-5.006861E-2</v>
      </c>
      <c r="J427">
        <v>0.48778855999999998</v>
      </c>
      <c r="K427">
        <f xml:space="preserve"> -55.696 * _2026_04_17_16_25_21_23_high[[#This Row],[coeff]] + 79.57</f>
        <v>21.085379254400003</v>
      </c>
      <c r="L427">
        <f xml:space="preserve"> -55.696 * _2026_04_17_16_25_21_23_high[[#This Row],[coeff]] + 79.57</f>
        <v>21.085379254400003</v>
      </c>
    </row>
    <row r="428" spans="1:12" x14ac:dyDescent="0.3">
      <c r="A428">
        <v>426</v>
      </c>
      <c r="B428">
        <v>10554</v>
      </c>
      <c r="C428" t="b">
        <v>1</v>
      </c>
      <c r="D428">
        <v>8060</v>
      </c>
      <c r="E428">
        <v>8099</v>
      </c>
      <c r="F428">
        <v>203.73334</v>
      </c>
      <c r="G428">
        <v>194</v>
      </c>
      <c r="H428">
        <v>1.0501719</v>
      </c>
      <c r="I428">
        <v>-5.0171840000000002E-2</v>
      </c>
      <c r="J428">
        <v>0.48776399999999998</v>
      </c>
      <c r="K428">
        <f xml:space="preserve"> -55.696 * _2026_04_17_16_25_21_23_high[[#This Row],[coeff]] + 79.57</f>
        <v>21.079625857599993</v>
      </c>
      <c r="L428">
        <f xml:space="preserve"> -55.696 * _2026_04_17_16_25_21_23_high[[#This Row],[coeff]] + 79.57</f>
        <v>21.079625857599993</v>
      </c>
    </row>
    <row r="429" spans="1:12" x14ac:dyDescent="0.3">
      <c r="A429">
        <v>427</v>
      </c>
      <c r="B429">
        <v>10569</v>
      </c>
      <c r="C429" t="b">
        <v>1</v>
      </c>
      <c r="D429">
        <v>8042</v>
      </c>
      <c r="E429">
        <v>8099</v>
      </c>
      <c r="F429">
        <v>203.73334</v>
      </c>
      <c r="G429">
        <v>193.2</v>
      </c>
      <c r="H429">
        <v>1.0545203999999999</v>
      </c>
      <c r="I429">
        <v>-5.4520399999999997E-2</v>
      </c>
      <c r="J429">
        <v>0.48673159999999999</v>
      </c>
      <c r="K429">
        <f xml:space="preserve"> -55.696 * _2026_04_17_16_25_21_23_high[[#This Row],[coeff]] + 79.57</f>
        <v>20.837431801599998</v>
      </c>
      <c r="L429">
        <f xml:space="preserve"> -55.696 * _2026_04_17_16_25_21_23_high[[#This Row],[coeff]] + 79.57</f>
        <v>20.837431801599998</v>
      </c>
    </row>
    <row r="430" spans="1:12" x14ac:dyDescent="0.3">
      <c r="A430">
        <v>428</v>
      </c>
      <c r="B430">
        <v>10585</v>
      </c>
      <c r="C430" t="b">
        <v>1</v>
      </c>
      <c r="D430">
        <v>8048</v>
      </c>
      <c r="E430">
        <v>8105</v>
      </c>
      <c r="F430">
        <v>203.33332999999999</v>
      </c>
      <c r="G430">
        <v>192.4</v>
      </c>
      <c r="H430">
        <v>1.0568261000000001</v>
      </c>
      <c r="I430">
        <v>-5.6826063000000003E-2</v>
      </c>
      <c r="J430">
        <v>0.48618597000000002</v>
      </c>
      <c r="K430">
        <f xml:space="preserve"> -55.696 * _2026_04_17_16_25_21_23_high[[#This Row],[coeff]] + 79.57</f>
        <v>20.709013534399986</v>
      </c>
      <c r="L430">
        <f xml:space="preserve"> -55.696 * _2026_04_17_16_25_21_23_high[[#This Row],[coeff]] + 79.57</f>
        <v>20.709013534399986</v>
      </c>
    </row>
    <row r="431" spans="1:12" x14ac:dyDescent="0.3">
      <c r="A431">
        <v>429</v>
      </c>
      <c r="B431">
        <v>10601</v>
      </c>
      <c r="C431" t="b">
        <v>1</v>
      </c>
      <c r="D431">
        <v>8048</v>
      </c>
      <c r="E431">
        <v>8111</v>
      </c>
      <c r="F431">
        <v>203.33332999999999</v>
      </c>
      <c r="G431">
        <v>191.6</v>
      </c>
      <c r="H431">
        <v>1.0612386</v>
      </c>
      <c r="I431">
        <v>-6.1238630000000002E-2</v>
      </c>
      <c r="J431">
        <v>0.48514518000000001</v>
      </c>
      <c r="K431">
        <f xml:space="preserve"> -55.696 * _2026_04_17_16_25_21_23_high[[#This Row],[coeff]] + 79.57</f>
        <v>20.463254934399991</v>
      </c>
      <c r="L431">
        <f xml:space="preserve"> -55.696 * _2026_04_17_16_25_21_23_high[[#This Row],[coeff]] + 79.57</f>
        <v>20.463254934399991</v>
      </c>
    </row>
    <row r="432" spans="1:12" x14ac:dyDescent="0.3">
      <c r="A432">
        <v>430</v>
      </c>
      <c r="B432">
        <v>10633</v>
      </c>
      <c r="C432" t="b">
        <v>1</v>
      </c>
      <c r="D432">
        <v>8048</v>
      </c>
      <c r="E432">
        <v>8105</v>
      </c>
      <c r="F432">
        <v>203.33332999999999</v>
      </c>
      <c r="G432">
        <v>190.8</v>
      </c>
      <c r="H432">
        <v>1.0656882999999999</v>
      </c>
      <c r="I432">
        <v>-6.5688289999999996E-2</v>
      </c>
      <c r="J432">
        <v>0.48410013000000002</v>
      </c>
      <c r="K432">
        <f xml:space="preserve"> -55.696 * _2026_04_17_16_25_21_23_high[[#This Row],[coeff]] + 79.57</f>
        <v>20.2154244432</v>
      </c>
      <c r="L432">
        <f xml:space="preserve"> -55.696 * _2026_04_17_16_25_21_23_high[[#This Row],[coeff]] + 79.57</f>
        <v>20.2154244432</v>
      </c>
    </row>
    <row r="433" spans="1:12" x14ac:dyDescent="0.3">
      <c r="A433">
        <v>431</v>
      </c>
      <c r="B433">
        <v>10664</v>
      </c>
      <c r="C433" t="b">
        <v>1</v>
      </c>
      <c r="D433">
        <v>8023</v>
      </c>
      <c r="E433">
        <v>8123</v>
      </c>
      <c r="F433">
        <v>203.73334</v>
      </c>
      <c r="G433">
        <v>190.8</v>
      </c>
      <c r="H433">
        <v>1.0677848000000001</v>
      </c>
      <c r="I433">
        <v>-6.7784769999999994E-2</v>
      </c>
      <c r="J433">
        <v>0.48360934999999999</v>
      </c>
      <c r="K433">
        <f xml:space="preserve"> -55.696 * _2026_04_17_16_25_21_23_high[[#This Row],[coeff]] + 79.57</f>
        <v>20.098657779199989</v>
      </c>
      <c r="L433">
        <f xml:space="preserve"> -55.696 * _2026_04_17_16_25_21_23_high[[#This Row],[coeff]] + 79.57</f>
        <v>20.098657779199989</v>
      </c>
    </row>
    <row r="434" spans="1:12" x14ac:dyDescent="0.3">
      <c r="A434">
        <v>432</v>
      </c>
      <c r="B434">
        <v>10696</v>
      </c>
      <c r="C434" t="b">
        <v>1</v>
      </c>
      <c r="D434">
        <v>8048</v>
      </c>
      <c r="E434">
        <v>8093</v>
      </c>
      <c r="F434">
        <v>204.13333</v>
      </c>
      <c r="G434">
        <v>191.2</v>
      </c>
      <c r="H434">
        <v>1.0676429000000001</v>
      </c>
      <c r="I434">
        <v>-6.7642964E-2</v>
      </c>
      <c r="J434">
        <v>0.48364252000000002</v>
      </c>
      <c r="K434">
        <f xml:space="preserve"> -55.696 * _2026_04_17_16_25_21_23_high[[#This Row],[coeff]] + 79.57</f>
        <v>20.106561041599988</v>
      </c>
      <c r="L434">
        <f xml:space="preserve"> -55.696 * _2026_04_17_16_25_21_23_high[[#This Row],[coeff]] + 79.57</f>
        <v>20.106561041599988</v>
      </c>
    </row>
    <row r="435" spans="1:12" x14ac:dyDescent="0.3">
      <c r="A435">
        <v>433</v>
      </c>
      <c r="B435">
        <v>10729</v>
      </c>
      <c r="C435" t="b">
        <v>1</v>
      </c>
      <c r="D435">
        <v>8042</v>
      </c>
      <c r="E435">
        <v>8111</v>
      </c>
      <c r="F435">
        <v>204.53334000000001</v>
      </c>
      <c r="G435">
        <v>192</v>
      </c>
      <c r="H435">
        <v>1.0652778000000001</v>
      </c>
      <c r="I435">
        <v>-6.5277815000000003E-2</v>
      </c>
      <c r="J435">
        <v>0.48419635999999999</v>
      </c>
      <c r="K435">
        <f xml:space="preserve"> -55.696 * _2026_04_17_16_25_21_23_high[[#This Row],[coeff]] + 79.57</f>
        <v>20.23828765119999</v>
      </c>
      <c r="L435">
        <f xml:space="preserve"> -55.696 * _2026_04_17_16_25_21_23_high[[#This Row],[coeff]] + 79.57</f>
        <v>20.23828765119999</v>
      </c>
    </row>
    <row r="436" spans="1:12" x14ac:dyDescent="0.3">
      <c r="A436">
        <v>434</v>
      </c>
      <c r="B436">
        <v>10760</v>
      </c>
      <c r="C436" t="b">
        <v>1</v>
      </c>
      <c r="D436">
        <v>8042</v>
      </c>
      <c r="E436">
        <v>8111</v>
      </c>
      <c r="F436">
        <v>204.86667</v>
      </c>
      <c r="G436">
        <v>192.8</v>
      </c>
      <c r="H436">
        <v>1.0625864</v>
      </c>
      <c r="I436">
        <v>-6.2586439999999993E-2</v>
      </c>
      <c r="J436">
        <v>0.48482814000000002</v>
      </c>
      <c r="K436">
        <f xml:space="preserve"> -55.696 * _2026_04_17_16_25_21_23_high[[#This Row],[coeff]] + 79.57</f>
        <v>20.388187865599996</v>
      </c>
      <c r="L436">
        <f xml:space="preserve"> -55.696 * _2026_04_17_16_25_21_23_high[[#This Row],[coeff]] + 79.57</f>
        <v>20.388187865599996</v>
      </c>
    </row>
    <row r="437" spans="1:12" x14ac:dyDescent="0.3">
      <c r="A437">
        <v>435</v>
      </c>
      <c r="B437">
        <v>10793</v>
      </c>
      <c r="C437" t="b">
        <v>1</v>
      </c>
      <c r="D437">
        <v>8037</v>
      </c>
      <c r="E437">
        <v>8111</v>
      </c>
      <c r="F437">
        <v>205.2</v>
      </c>
      <c r="G437">
        <v>193.6</v>
      </c>
      <c r="H437">
        <v>1.0599173</v>
      </c>
      <c r="I437">
        <v>-5.9917304999999997E-2</v>
      </c>
      <c r="J437">
        <v>0.48545640000000001</v>
      </c>
      <c r="K437">
        <f xml:space="preserve"> -55.696 * _2026_04_17_16_25_21_23_high[[#This Row],[coeff]] + 79.57</f>
        <v>20.536846059199995</v>
      </c>
      <c r="L437">
        <f xml:space="preserve"> -55.696 * _2026_04_17_16_25_21_23_high[[#This Row],[coeff]] + 79.57</f>
        <v>20.536846059199995</v>
      </c>
    </row>
    <row r="438" spans="1:12" x14ac:dyDescent="0.3">
      <c r="A438">
        <v>436</v>
      </c>
      <c r="B438">
        <v>10824</v>
      </c>
      <c r="C438" t="b">
        <v>1</v>
      </c>
      <c r="D438">
        <v>8030</v>
      </c>
      <c r="E438">
        <v>8117</v>
      </c>
      <c r="F438">
        <v>205.2</v>
      </c>
      <c r="G438">
        <v>194.4</v>
      </c>
      <c r="H438">
        <v>1.0555555999999999</v>
      </c>
      <c r="I438">
        <v>-5.5555575000000003E-2</v>
      </c>
      <c r="J438">
        <v>0.48648649999999999</v>
      </c>
      <c r="K438">
        <f xml:space="preserve"> -55.696 * _2026_04_17_16_25_21_23_high[[#This Row],[coeff]] + 79.57</f>
        <v>20.779775302399997</v>
      </c>
      <c r="L438">
        <f xml:space="preserve"> -55.696 * _2026_04_17_16_25_21_23_high[[#This Row],[coeff]] + 79.57</f>
        <v>20.779775302399997</v>
      </c>
    </row>
    <row r="439" spans="1:12" x14ac:dyDescent="0.3">
      <c r="A439">
        <v>437</v>
      </c>
      <c r="B439">
        <v>10856</v>
      </c>
      <c r="C439" t="b">
        <v>1</v>
      </c>
      <c r="D439">
        <v>8030</v>
      </c>
      <c r="E439">
        <v>8117</v>
      </c>
      <c r="F439">
        <v>204.46665999999999</v>
      </c>
      <c r="G439">
        <v>194.4</v>
      </c>
      <c r="H439">
        <v>1.0517832</v>
      </c>
      <c r="I439">
        <v>-5.1783259999999998E-2</v>
      </c>
      <c r="J439">
        <v>0.48738092</v>
      </c>
      <c r="K439">
        <f xml:space="preserve"> -55.696 * _2026_04_17_16_25_21_23_high[[#This Row],[coeff]] + 79.57</f>
        <v>20.989882892799997</v>
      </c>
      <c r="L439">
        <f xml:space="preserve"> -55.696 * _2026_04_17_16_25_21_23_high[[#This Row],[coeff]] + 79.57</f>
        <v>20.989882892799997</v>
      </c>
    </row>
    <row r="440" spans="1:12" x14ac:dyDescent="0.3">
      <c r="A440">
        <v>438</v>
      </c>
      <c r="B440">
        <v>10891</v>
      </c>
      <c r="C440" t="b">
        <v>1</v>
      </c>
      <c r="D440">
        <v>8054</v>
      </c>
      <c r="E440">
        <v>8123</v>
      </c>
      <c r="F440">
        <v>203.73334</v>
      </c>
      <c r="G440">
        <v>194.8</v>
      </c>
      <c r="H440">
        <v>1.0458590000000001</v>
      </c>
      <c r="I440">
        <v>-4.5859005000000001E-2</v>
      </c>
      <c r="J440">
        <v>0.48879226999999997</v>
      </c>
      <c r="K440">
        <f xml:space="preserve"> -55.696 * _2026_04_17_16_25_21_23_high[[#This Row],[coeff]] + 79.57</f>
        <v>21.31983713599999</v>
      </c>
      <c r="L440">
        <f xml:space="preserve"> -55.696 * _2026_04_17_16_25_21_23_high[[#This Row],[coeff]] + 79.57</f>
        <v>21.31983713599999</v>
      </c>
    </row>
    <row r="441" spans="1:12" x14ac:dyDescent="0.3">
      <c r="A441">
        <v>439</v>
      </c>
      <c r="B441">
        <v>10922</v>
      </c>
      <c r="C441" t="b">
        <v>1</v>
      </c>
      <c r="D441">
        <v>8037</v>
      </c>
      <c r="E441">
        <v>8117</v>
      </c>
      <c r="F441">
        <v>203</v>
      </c>
      <c r="G441">
        <v>194.8</v>
      </c>
      <c r="H441">
        <v>1.0420944999999999</v>
      </c>
      <c r="I441">
        <v>-4.2094439999999997E-2</v>
      </c>
      <c r="J441">
        <v>0.48969333999999998</v>
      </c>
      <c r="K441">
        <f xml:space="preserve"> -55.696 * _2026_04_17_16_25_21_23_high[[#This Row],[coeff]] + 79.57</f>
        <v>21.529504727999999</v>
      </c>
      <c r="L441">
        <f xml:space="preserve"> -55.696 * _2026_04_17_16_25_21_23_high[[#This Row],[coeff]] + 79.57</f>
        <v>21.529504727999999</v>
      </c>
    </row>
    <row r="442" spans="1:12" x14ac:dyDescent="0.3">
      <c r="A442">
        <v>440</v>
      </c>
      <c r="B442">
        <v>10954</v>
      </c>
      <c r="C442" t="b">
        <v>1</v>
      </c>
      <c r="D442">
        <v>8048</v>
      </c>
      <c r="E442">
        <v>8105</v>
      </c>
      <c r="F442">
        <v>202.66667000000001</v>
      </c>
      <c r="G442">
        <v>194.8</v>
      </c>
      <c r="H442">
        <v>1.0403833</v>
      </c>
      <c r="I442">
        <v>-4.0383309999999999E-2</v>
      </c>
      <c r="J442">
        <v>0.49010399999999998</v>
      </c>
      <c r="K442">
        <f xml:space="preserve"> -55.696 * _2026_04_17_16_25_21_23_high[[#This Row],[coeff]] + 79.57</f>
        <v>21.624811723199997</v>
      </c>
      <c r="L442">
        <f xml:space="preserve"> -55.696 * _2026_04_17_16_25_21_23_high[[#This Row],[coeff]] + 79.57</f>
        <v>21.624811723199997</v>
      </c>
    </row>
    <row r="443" spans="1:12" x14ac:dyDescent="0.3">
      <c r="A443">
        <v>441</v>
      </c>
      <c r="B443">
        <v>10985</v>
      </c>
      <c r="C443" t="b">
        <v>1</v>
      </c>
      <c r="D443">
        <v>8017</v>
      </c>
      <c r="E443">
        <v>8105</v>
      </c>
      <c r="F443">
        <v>202.33332999999999</v>
      </c>
      <c r="G443">
        <v>195.2</v>
      </c>
      <c r="H443">
        <v>1.0365437</v>
      </c>
      <c r="I443">
        <v>-3.6543705000000003E-2</v>
      </c>
      <c r="J443">
        <v>0.49102800000000002</v>
      </c>
      <c r="K443">
        <f xml:space="preserve"> -55.696 * _2026_04_17_16_25_21_23_high[[#This Row],[coeff]] + 79.57</f>
        <v>21.838662084799999</v>
      </c>
      <c r="L443">
        <f xml:space="preserve"> -55.696 * _2026_04_17_16_25_21_23_high[[#This Row],[coeff]] + 79.57</f>
        <v>21.838662084799999</v>
      </c>
    </row>
    <row r="444" spans="1:12" x14ac:dyDescent="0.3">
      <c r="A444">
        <v>442</v>
      </c>
      <c r="B444">
        <v>11016</v>
      </c>
      <c r="C444" t="b">
        <v>1</v>
      </c>
      <c r="D444">
        <v>8037</v>
      </c>
      <c r="E444">
        <v>8087</v>
      </c>
      <c r="F444">
        <v>202</v>
      </c>
      <c r="G444">
        <v>195.2</v>
      </c>
      <c r="H444">
        <v>1.0348360000000001</v>
      </c>
      <c r="I444">
        <v>-3.4836079999999998E-2</v>
      </c>
      <c r="J444">
        <v>0.49144006000000001</v>
      </c>
      <c r="K444">
        <f xml:space="preserve"> -55.696 * _2026_04_17_16_25_21_23_high[[#This Row],[coeff]] + 79.57</f>
        <v>21.93377414399999</v>
      </c>
      <c r="L444">
        <f xml:space="preserve"> -55.696 * _2026_04_17_16_25_21_23_high[[#This Row],[coeff]] + 79.57</f>
        <v>21.93377414399999</v>
      </c>
    </row>
    <row r="445" spans="1:12" x14ac:dyDescent="0.3">
      <c r="A445">
        <v>443</v>
      </c>
      <c r="B445">
        <v>11049</v>
      </c>
      <c r="C445" t="b">
        <v>1</v>
      </c>
      <c r="D445">
        <v>8037</v>
      </c>
      <c r="E445">
        <v>8087</v>
      </c>
      <c r="F445">
        <v>201.66667000000001</v>
      </c>
      <c r="G445">
        <v>195.2</v>
      </c>
      <c r="H445">
        <v>1.0331284999999999</v>
      </c>
      <c r="I445">
        <v>-3.3128459999999998E-2</v>
      </c>
      <c r="J445">
        <v>0.49185285000000001</v>
      </c>
      <c r="K445">
        <f xml:space="preserve"> -55.696 * _2026_04_17_16_25_21_23_high[[#This Row],[coeff]] + 79.57</f>
        <v>22.028875064000005</v>
      </c>
      <c r="L445">
        <f xml:space="preserve"> -55.696 * _2026_04_17_16_25_21_23_high[[#This Row],[coeff]] + 79.57</f>
        <v>22.028875064000005</v>
      </c>
    </row>
    <row r="446" spans="1:12" x14ac:dyDescent="0.3">
      <c r="A446">
        <v>444</v>
      </c>
      <c r="B446">
        <v>11079</v>
      </c>
      <c r="C446" t="b">
        <v>1</v>
      </c>
      <c r="D446">
        <v>8037</v>
      </c>
      <c r="E446">
        <v>8087</v>
      </c>
      <c r="F446">
        <v>200.93333000000001</v>
      </c>
      <c r="G446">
        <v>194</v>
      </c>
      <c r="H446">
        <v>1.0357388000000001</v>
      </c>
      <c r="I446">
        <v>-3.5738837000000002E-2</v>
      </c>
      <c r="J446">
        <v>0.49122209999999999</v>
      </c>
      <c r="K446">
        <f xml:space="preserve"> -55.696 * _2026_04_17_16_25_21_23_high[[#This Row],[coeff]] + 79.57</f>
        <v>21.883491795199994</v>
      </c>
      <c r="L446">
        <f xml:space="preserve"> -55.696 * _2026_04_17_16_25_21_23_high[[#This Row],[coeff]] + 79.57</f>
        <v>21.883491795199994</v>
      </c>
    </row>
    <row r="447" spans="1:12" x14ac:dyDescent="0.3">
      <c r="A447">
        <v>445</v>
      </c>
      <c r="B447">
        <v>11111</v>
      </c>
      <c r="C447" t="b">
        <v>1</v>
      </c>
      <c r="D447">
        <v>8042</v>
      </c>
      <c r="E447">
        <v>8117</v>
      </c>
      <c r="F447">
        <v>200.2</v>
      </c>
      <c r="G447">
        <v>192.8</v>
      </c>
      <c r="H447">
        <v>1.0383817</v>
      </c>
      <c r="I447">
        <v>-3.8381709999999999E-2</v>
      </c>
      <c r="J447">
        <v>0.49058523999999998</v>
      </c>
      <c r="K447">
        <f xml:space="preserve"> -55.696 * _2026_04_17_16_25_21_23_high[[#This Row],[coeff]] + 79.57</f>
        <v>21.736292836799997</v>
      </c>
      <c r="L447">
        <f xml:space="preserve"> -55.696 * _2026_04_17_16_25_21_23_high[[#This Row],[coeff]] + 79.57</f>
        <v>21.736292836799997</v>
      </c>
    </row>
    <row r="448" spans="1:12" x14ac:dyDescent="0.3">
      <c r="A448">
        <v>446</v>
      </c>
      <c r="B448">
        <v>11144</v>
      </c>
      <c r="C448" t="b">
        <v>1</v>
      </c>
      <c r="D448">
        <v>8023</v>
      </c>
      <c r="E448">
        <v>8111</v>
      </c>
      <c r="F448">
        <v>199.46665999999999</v>
      </c>
      <c r="G448">
        <v>191.6</v>
      </c>
      <c r="H448">
        <v>1.0410577000000001</v>
      </c>
      <c r="I448">
        <v>-4.1057687000000002E-2</v>
      </c>
      <c r="J448">
        <v>0.48994207000000001</v>
      </c>
      <c r="K448">
        <f xml:space="preserve"> -55.696 * _2026_04_17_16_25_21_23_high[[#This Row],[coeff]] + 79.57</f>
        <v>21.58725034079999</v>
      </c>
      <c r="L448">
        <f xml:space="preserve"> -55.696 * _2026_04_17_16_25_21_23_high[[#This Row],[coeff]] + 79.57</f>
        <v>21.58725034079999</v>
      </c>
    </row>
    <row r="449" spans="1:12" x14ac:dyDescent="0.3">
      <c r="A449">
        <v>447</v>
      </c>
      <c r="B449">
        <v>11175</v>
      </c>
      <c r="C449" t="b">
        <v>1</v>
      </c>
      <c r="D449">
        <v>8023</v>
      </c>
      <c r="E449">
        <v>8093</v>
      </c>
      <c r="F449">
        <v>198.73334</v>
      </c>
      <c r="G449">
        <v>190.8</v>
      </c>
      <c r="H449">
        <v>1.0415794</v>
      </c>
      <c r="I449">
        <v>-4.1579320000000003E-2</v>
      </c>
      <c r="J449">
        <v>0.4898169</v>
      </c>
      <c r="K449">
        <f xml:space="preserve"> -55.696 * _2026_04_17_16_25_21_23_high[[#This Row],[coeff]] + 79.57</f>
        <v>21.558193737599993</v>
      </c>
      <c r="L449">
        <f xml:space="preserve"> -55.696 * _2026_04_17_16_25_21_23_high[[#This Row],[coeff]] + 79.57</f>
        <v>21.558193737599993</v>
      </c>
    </row>
    <row r="450" spans="1:12" x14ac:dyDescent="0.3">
      <c r="A450">
        <v>448</v>
      </c>
      <c r="B450">
        <v>11207</v>
      </c>
      <c r="C450" t="b">
        <v>1</v>
      </c>
      <c r="D450">
        <v>8042</v>
      </c>
      <c r="E450">
        <v>8117</v>
      </c>
      <c r="F450">
        <v>198</v>
      </c>
      <c r="G450">
        <v>190.8</v>
      </c>
      <c r="H450">
        <v>1.0377358000000001</v>
      </c>
      <c r="I450">
        <v>-3.7735829999999998E-2</v>
      </c>
      <c r="J450">
        <v>0.49074077999999999</v>
      </c>
      <c r="K450">
        <f xml:space="preserve"> -55.696 * _2026_04_17_16_25_21_23_high[[#This Row],[coeff]] + 79.57</f>
        <v>21.77226688319999</v>
      </c>
      <c r="L450">
        <f xml:space="preserve"> -55.696 * _2026_04_17_16_25_21_23_high[[#This Row],[coeff]] + 79.57</f>
        <v>21.77226688319999</v>
      </c>
    </row>
    <row r="451" spans="1:12" x14ac:dyDescent="0.3">
      <c r="A451">
        <v>449</v>
      </c>
      <c r="B451">
        <v>11223</v>
      </c>
      <c r="C451" t="b">
        <v>1</v>
      </c>
      <c r="D451">
        <v>8037</v>
      </c>
      <c r="E451">
        <v>8140</v>
      </c>
      <c r="F451">
        <v>197.66667000000001</v>
      </c>
      <c r="G451">
        <v>191.2</v>
      </c>
      <c r="H451">
        <v>1.0338214999999999</v>
      </c>
      <c r="I451">
        <v>-3.3821522999999999E-2</v>
      </c>
      <c r="J451">
        <v>0.49168524000000002</v>
      </c>
      <c r="K451">
        <f xml:space="preserve"> -55.696 * _2026_04_17_16_25_21_23_high[[#This Row],[coeff]] + 79.57</f>
        <v>21.990277735999996</v>
      </c>
      <c r="L451">
        <f xml:space="preserve"> -55.696 * _2026_04_17_16_25_21_23_high[[#This Row],[coeff]] + 79.57</f>
        <v>21.990277735999996</v>
      </c>
    </row>
    <row r="452" spans="1:12" x14ac:dyDescent="0.3">
      <c r="A452">
        <v>450</v>
      </c>
      <c r="B452">
        <v>11238</v>
      </c>
      <c r="C452" t="b">
        <v>1</v>
      </c>
      <c r="D452">
        <v>8037</v>
      </c>
      <c r="E452">
        <v>8111</v>
      </c>
      <c r="F452">
        <v>197.33332999999999</v>
      </c>
      <c r="G452">
        <v>191.2</v>
      </c>
      <c r="H452">
        <v>1.0320781000000001</v>
      </c>
      <c r="I452">
        <v>-3.2078095000000001E-2</v>
      </c>
      <c r="J452">
        <v>0.49210705999999999</v>
      </c>
      <c r="K452">
        <f xml:space="preserve"> -55.696 * _2026_04_17_16_25_21_23_high[[#This Row],[coeff]] + 79.57</f>
        <v>22.087378142399992</v>
      </c>
      <c r="L452">
        <f xml:space="preserve"> -55.696 * _2026_04_17_16_25_21_23_high[[#This Row],[coeff]] + 79.57</f>
        <v>22.087378142399992</v>
      </c>
    </row>
    <row r="453" spans="1:12" x14ac:dyDescent="0.3">
      <c r="A453">
        <v>451</v>
      </c>
      <c r="B453">
        <v>11254</v>
      </c>
      <c r="C453" t="b">
        <v>1</v>
      </c>
      <c r="D453">
        <v>8030</v>
      </c>
      <c r="E453">
        <v>8093</v>
      </c>
      <c r="F453">
        <v>197</v>
      </c>
      <c r="G453">
        <v>191.2</v>
      </c>
      <c r="H453">
        <v>1.0303347</v>
      </c>
      <c r="I453">
        <v>-3.0334745E-2</v>
      </c>
      <c r="J453">
        <v>0.49252960000000001</v>
      </c>
      <c r="K453">
        <f xml:space="preserve"> -55.696 * _2026_04_17_16_25_21_23_high[[#This Row],[coeff]] + 79.57</f>
        <v>22.184478548799994</v>
      </c>
      <c r="L453">
        <f xml:space="preserve"> -55.696 * _2026_04_17_16_25_21_23_high[[#This Row],[coeff]] + 79.57</f>
        <v>22.184478548799994</v>
      </c>
    </row>
    <row r="454" spans="1:12" x14ac:dyDescent="0.3">
      <c r="A454">
        <v>452</v>
      </c>
      <c r="B454">
        <v>11270</v>
      </c>
      <c r="C454" t="b">
        <v>1</v>
      </c>
      <c r="D454">
        <v>8048</v>
      </c>
      <c r="E454">
        <v>8129</v>
      </c>
      <c r="F454">
        <v>197</v>
      </c>
      <c r="G454">
        <v>191.6</v>
      </c>
      <c r="H454">
        <v>1.0281837</v>
      </c>
      <c r="I454">
        <v>-2.8183684000000001E-2</v>
      </c>
      <c r="J454">
        <v>0.49305198</v>
      </c>
      <c r="K454">
        <f xml:space="preserve"> -55.696 * _2026_04_17_16_25_21_23_high[[#This Row],[coeff]] + 79.57</f>
        <v>22.304280644799995</v>
      </c>
      <c r="L454">
        <f xml:space="preserve"> -55.696 * _2026_04_17_16_25_21_23_high[[#This Row],[coeff]] + 79.57</f>
        <v>22.304280644799995</v>
      </c>
    </row>
    <row r="455" spans="1:12" x14ac:dyDescent="0.3">
      <c r="A455">
        <v>453</v>
      </c>
      <c r="B455">
        <v>11301</v>
      </c>
      <c r="C455" t="b">
        <v>1</v>
      </c>
      <c r="D455">
        <v>8054</v>
      </c>
      <c r="E455">
        <v>8105</v>
      </c>
      <c r="F455">
        <v>197</v>
      </c>
      <c r="G455">
        <v>191.2</v>
      </c>
      <c r="H455">
        <v>1.0303347</v>
      </c>
      <c r="I455">
        <v>-3.0334745E-2</v>
      </c>
      <c r="J455">
        <v>0.49252960000000001</v>
      </c>
      <c r="K455">
        <f xml:space="preserve"> -55.696 * _2026_04_17_16_25_21_23_high[[#This Row],[coeff]] + 79.57</f>
        <v>22.184478548799994</v>
      </c>
      <c r="L455">
        <f xml:space="preserve"> -55.696 * _2026_04_17_16_25_21_23_high[[#This Row],[coeff]] + 79.57</f>
        <v>22.184478548799994</v>
      </c>
    </row>
    <row r="456" spans="1:12" x14ac:dyDescent="0.3">
      <c r="A456">
        <v>454</v>
      </c>
      <c r="B456">
        <v>11332</v>
      </c>
      <c r="C456" t="b">
        <v>1</v>
      </c>
      <c r="D456">
        <v>8037</v>
      </c>
      <c r="E456">
        <v>8117</v>
      </c>
      <c r="F456">
        <v>197</v>
      </c>
      <c r="G456">
        <v>190.8</v>
      </c>
      <c r="H456">
        <v>1.0324948</v>
      </c>
      <c r="I456">
        <v>-3.2494742E-2</v>
      </c>
      <c r="J456">
        <v>0.4920062</v>
      </c>
      <c r="K456">
        <f xml:space="preserve"> -55.696 * _2026_04_17_16_25_21_23_high[[#This Row],[coeff]] + 79.57</f>
        <v>22.064169619199994</v>
      </c>
      <c r="L456">
        <f xml:space="preserve"> -55.696 * _2026_04_17_16_25_21_23_high[[#This Row],[coeff]] + 79.57</f>
        <v>22.064169619199994</v>
      </c>
    </row>
    <row r="457" spans="1:12" x14ac:dyDescent="0.3">
      <c r="A457">
        <v>455</v>
      </c>
      <c r="B457">
        <v>11364</v>
      </c>
      <c r="C457" t="b">
        <v>1</v>
      </c>
      <c r="D457">
        <v>8042</v>
      </c>
      <c r="E457">
        <v>8111</v>
      </c>
      <c r="F457">
        <v>197.33332999999999</v>
      </c>
      <c r="G457">
        <v>190.4</v>
      </c>
      <c r="H457">
        <v>1.0364146000000001</v>
      </c>
      <c r="I457">
        <v>-3.641457E-2</v>
      </c>
      <c r="J457">
        <v>0.49105912000000002</v>
      </c>
      <c r="K457">
        <f xml:space="preserve"> -55.696 * _2026_04_17_16_25_21_23_high[[#This Row],[coeff]] + 79.57</f>
        <v>21.845852438399994</v>
      </c>
      <c r="L457">
        <f xml:space="preserve"> -55.696 * _2026_04_17_16_25_21_23_high[[#This Row],[coeff]] + 79.57</f>
        <v>21.845852438399994</v>
      </c>
    </row>
    <row r="458" spans="1:12" x14ac:dyDescent="0.3">
      <c r="A458">
        <v>456</v>
      </c>
      <c r="B458">
        <v>11395</v>
      </c>
      <c r="C458" t="b">
        <v>1</v>
      </c>
      <c r="D458">
        <v>8037</v>
      </c>
      <c r="E458">
        <v>8105</v>
      </c>
      <c r="F458">
        <v>197.66667000000001</v>
      </c>
      <c r="G458">
        <v>190</v>
      </c>
      <c r="H458">
        <v>1.0403509</v>
      </c>
      <c r="I458">
        <v>-4.0350903E-2</v>
      </c>
      <c r="J458">
        <v>0.49011177</v>
      </c>
      <c r="K458">
        <f xml:space="preserve"> -55.696 * _2026_04_17_16_25_21_23_high[[#This Row],[coeff]] + 79.57</f>
        <v>21.6266162736</v>
      </c>
      <c r="L458">
        <f xml:space="preserve"> -55.696 * _2026_04_17_16_25_21_23_high[[#This Row],[coeff]] + 79.57</f>
        <v>21.6266162736</v>
      </c>
    </row>
    <row r="459" spans="1:12" x14ac:dyDescent="0.3">
      <c r="A459">
        <v>457</v>
      </c>
      <c r="B459">
        <v>11427</v>
      </c>
      <c r="C459" t="b">
        <v>1</v>
      </c>
      <c r="D459">
        <v>8042</v>
      </c>
      <c r="E459">
        <v>8093</v>
      </c>
      <c r="F459">
        <v>198</v>
      </c>
      <c r="G459">
        <v>190</v>
      </c>
      <c r="H459">
        <v>1.0421053</v>
      </c>
      <c r="I459">
        <v>-4.2105265000000003E-2</v>
      </c>
      <c r="J459">
        <v>0.48969072000000002</v>
      </c>
      <c r="K459">
        <f xml:space="preserve"> -55.696 * _2026_04_17_16_25_21_23_high[[#This Row],[coeff]] + 79.57</f>
        <v>21.528903211199996</v>
      </c>
      <c r="L459">
        <f xml:space="preserve"> -55.696 * _2026_04_17_16_25_21_23_high[[#This Row],[coeff]] + 79.57</f>
        <v>21.528903211199996</v>
      </c>
    </row>
    <row r="460" spans="1:12" x14ac:dyDescent="0.3">
      <c r="A460">
        <v>458</v>
      </c>
      <c r="B460">
        <v>11459</v>
      </c>
      <c r="C460" t="b">
        <v>1</v>
      </c>
      <c r="D460">
        <v>8054</v>
      </c>
      <c r="E460">
        <v>8123</v>
      </c>
      <c r="F460">
        <v>198.33332999999999</v>
      </c>
      <c r="G460">
        <v>190.4</v>
      </c>
      <c r="H460">
        <v>1.0416666000000001</v>
      </c>
      <c r="I460">
        <v>-4.1666670000000003E-2</v>
      </c>
      <c r="J460">
        <v>0.48979590000000001</v>
      </c>
      <c r="K460">
        <f xml:space="preserve"> -55.696 * _2026_04_17_16_25_21_23_high[[#This Row],[coeff]] + 79.57</f>
        <v>21.553337046399989</v>
      </c>
      <c r="L460">
        <f xml:space="preserve"> -55.696 * _2026_04_17_16_25_21_23_high[[#This Row],[coeff]] + 79.57</f>
        <v>21.553337046399989</v>
      </c>
    </row>
    <row r="461" spans="1:12" x14ac:dyDescent="0.3">
      <c r="A461">
        <v>459</v>
      </c>
      <c r="B461">
        <v>11491</v>
      </c>
      <c r="C461" t="b">
        <v>1</v>
      </c>
      <c r="D461">
        <v>8042</v>
      </c>
      <c r="E461">
        <v>8105</v>
      </c>
      <c r="F461">
        <v>198.66667000000001</v>
      </c>
      <c r="G461">
        <v>191.6</v>
      </c>
      <c r="H461">
        <v>1.0368824000000001</v>
      </c>
      <c r="I461">
        <v>-3.6882386000000003E-2</v>
      </c>
      <c r="J461">
        <v>0.49094638000000002</v>
      </c>
      <c r="K461">
        <f xml:space="preserve"> -55.696 * _2026_04_17_16_25_21_23_high[[#This Row],[coeff]] + 79.57</f>
        <v>21.819797849599993</v>
      </c>
      <c r="L461">
        <f xml:space="preserve"> -55.696 * _2026_04_17_16_25_21_23_high[[#This Row],[coeff]] + 79.57</f>
        <v>21.819797849599993</v>
      </c>
    </row>
    <row r="462" spans="1:12" x14ac:dyDescent="0.3">
      <c r="A462">
        <v>460</v>
      </c>
      <c r="B462">
        <v>11522</v>
      </c>
      <c r="C462" t="b">
        <v>1</v>
      </c>
      <c r="D462">
        <v>8048</v>
      </c>
      <c r="E462">
        <v>8105</v>
      </c>
      <c r="F462">
        <v>199</v>
      </c>
      <c r="G462">
        <v>192.8</v>
      </c>
      <c r="H462">
        <v>1.0321577</v>
      </c>
      <c r="I462">
        <v>-3.2157659999999998E-2</v>
      </c>
      <c r="J462">
        <v>0.49208780000000002</v>
      </c>
      <c r="K462">
        <f xml:space="preserve"> -55.696 * _2026_04_17_16_25_21_23_high[[#This Row],[coeff]] + 79.57</f>
        <v>22.082944740799995</v>
      </c>
      <c r="L462">
        <f xml:space="preserve"> -55.696 * _2026_04_17_16_25_21_23_high[[#This Row],[coeff]] + 79.57</f>
        <v>22.082944740799995</v>
      </c>
    </row>
    <row r="463" spans="1:12" x14ac:dyDescent="0.3">
      <c r="A463">
        <v>461</v>
      </c>
      <c r="B463">
        <v>11554</v>
      </c>
      <c r="C463" t="b">
        <v>1</v>
      </c>
      <c r="D463">
        <v>8037</v>
      </c>
      <c r="E463">
        <v>8093</v>
      </c>
      <c r="F463">
        <v>199.33332999999999</v>
      </c>
      <c r="G463">
        <v>194</v>
      </c>
      <c r="H463">
        <v>1.0274913000000001</v>
      </c>
      <c r="I463">
        <v>-2.7491383000000001E-2</v>
      </c>
      <c r="J463">
        <v>0.49322036000000002</v>
      </c>
      <c r="K463">
        <f xml:space="preserve"> -55.696 * _2026_04_17_16_25_21_23_high[[#This Row],[coeff]] + 79.57</f>
        <v>22.342844555199989</v>
      </c>
      <c r="L463">
        <f xml:space="preserve"> -55.696 * _2026_04_17_16_25_21_23_high[[#This Row],[coeff]] + 79.57</f>
        <v>22.342844555199989</v>
      </c>
    </row>
    <row r="464" spans="1:12" x14ac:dyDescent="0.3">
      <c r="A464">
        <v>462</v>
      </c>
      <c r="B464">
        <v>11586</v>
      </c>
      <c r="C464" t="b">
        <v>1</v>
      </c>
      <c r="D464">
        <v>8042</v>
      </c>
      <c r="E464">
        <v>8105</v>
      </c>
      <c r="F464">
        <v>199.66667000000001</v>
      </c>
      <c r="G464">
        <v>194.8</v>
      </c>
      <c r="H464">
        <v>1.0249828999999999</v>
      </c>
      <c r="I464">
        <v>-2.4982898E-2</v>
      </c>
      <c r="J464">
        <v>0.49383134000000001</v>
      </c>
      <c r="K464">
        <f xml:space="preserve"> -55.696 * _2026_04_17_16_25_21_23_high[[#This Row],[coeff]] + 79.57</f>
        <v>22.482552401600003</v>
      </c>
      <c r="L464">
        <f xml:space="preserve"> -55.696 * _2026_04_17_16_25_21_23_high[[#This Row],[coeff]] + 79.57</f>
        <v>22.482552401600003</v>
      </c>
    </row>
    <row r="465" spans="1:12" x14ac:dyDescent="0.3">
      <c r="A465">
        <v>463</v>
      </c>
      <c r="B465">
        <v>11617</v>
      </c>
      <c r="C465" t="b">
        <v>1</v>
      </c>
      <c r="D465">
        <v>8042</v>
      </c>
      <c r="E465">
        <v>8164</v>
      </c>
      <c r="F465">
        <v>200</v>
      </c>
      <c r="G465">
        <v>194.4</v>
      </c>
      <c r="H465">
        <v>1.0288066</v>
      </c>
      <c r="I465">
        <v>-2.8806617E-2</v>
      </c>
      <c r="J465">
        <v>0.49290060000000002</v>
      </c>
      <c r="K465">
        <f xml:space="preserve"> -55.696 * _2026_04_17_16_25_21_23_high[[#This Row],[coeff]] + 79.57</f>
        <v>22.269587606399995</v>
      </c>
      <c r="L465">
        <f xml:space="preserve"> -55.696 * _2026_04_17_16_25_21_23_high[[#This Row],[coeff]] + 79.57</f>
        <v>22.269587606399995</v>
      </c>
    </row>
    <row r="466" spans="1:12" x14ac:dyDescent="0.3">
      <c r="A466">
        <v>464</v>
      </c>
      <c r="B466">
        <v>11649</v>
      </c>
      <c r="C466" t="b">
        <v>1</v>
      </c>
      <c r="D466">
        <v>8030</v>
      </c>
      <c r="E466">
        <v>8105</v>
      </c>
      <c r="F466">
        <v>200.33332999999999</v>
      </c>
      <c r="G466">
        <v>193.6</v>
      </c>
      <c r="H466">
        <v>1.0347795</v>
      </c>
      <c r="I466">
        <v>-3.4779556000000003E-2</v>
      </c>
      <c r="J466">
        <v>0.49145369999999999</v>
      </c>
      <c r="K466">
        <f xml:space="preserve"> -55.696 * _2026_04_17_16_25_21_23_high[[#This Row],[coeff]] + 79.57</f>
        <v>21.936920967999995</v>
      </c>
      <c r="L466">
        <f xml:space="preserve"> -55.696 * _2026_04_17_16_25_21_23_high[[#This Row],[coeff]] + 79.57</f>
        <v>21.936920967999995</v>
      </c>
    </row>
    <row r="467" spans="1:12" x14ac:dyDescent="0.3">
      <c r="A467">
        <v>465</v>
      </c>
      <c r="B467">
        <v>11679</v>
      </c>
      <c r="C467" t="b">
        <v>1</v>
      </c>
      <c r="D467">
        <v>8037</v>
      </c>
      <c r="E467">
        <v>8111</v>
      </c>
      <c r="F467">
        <v>200.33332999999999</v>
      </c>
      <c r="G467">
        <v>193.2</v>
      </c>
      <c r="H467">
        <v>1.0369219999999999</v>
      </c>
      <c r="I467">
        <v>-3.6922004000000001E-2</v>
      </c>
      <c r="J467">
        <v>0.49093682</v>
      </c>
      <c r="K467">
        <f xml:space="preserve"> -55.696 * _2026_04_17_16_25_21_23_high[[#This Row],[coeff]] + 79.57</f>
        <v>21.817592288</v>
      </c>
      <c r="L467">
        <f xml:space="preserve"> -55.696 * _2026_04_17_16_25_21_23_high[[#This Row],[coeff]] + 79.57</f>
        <v>21.817592288</v>
      </c>
    </row>
    <row r="468" spans="1:12" x14ac:dyDescent="0.3">
      <c r="A468">
        <v>466</v>
      </c>
      <c r="B468">
        <v>11711</v>
      </c>
      <c r="C468" t="b">
        <v>1</v>
      </c>
      <c r="D468">
        <v>8030</v>
      </c>
      <c r="E468">
        <v>8134</v>
      </c>
      <c r="F468">
        <v>200.33332999999999</v>
      </c>
      <c r="G468">
        <v>193.2</v>
      </c>
      <c r="H468">
        <v>1.0369219999999999</v>
      </c>
      <c r="I468">
        <v>-3.6922004000000001E-2</v>
      </c>
      <c r="J468">
        <v>0.49093682</v>
      </c>
      <c r="K468">
        <f xml:space="preserve"> -55.696 * _2026_04_17_16_25_21_23_high[[#This Row],[coeff]] + 79.57</f>
        <v>21.817592288</v>
      </c>
      <c r="L468">
        <f xml:space="preserve"> -55.696 * _2026_04_17_16_25_21_23_high[[#This Row],[coeff]] + 79.57</f>
        <v>21.817592288</v>
      </c>
    </row>
    <row r="469" spans="1:12" x14ac:dyDescent="0.3">
      <c r="A469">
        <v>467</v>
      </c>
      <c r="B469">
        <v>11743</v>
      </c>
      <c r="C469" t="b">
        <v>1</v>
      </c>
      <c r="D469">
        <v>8042</v>
      </c>
      <c r="E469">
        <v>8123</v>
      </c>
      <c r="F469">
        <v>200.33332999999999</v>
      </c>
      <c r="G469">
        <v>193.6</v>
      </c>
      <c r="H469">
        <v>1.0347795</v>
      </c>
      <c r="I469">
        <v>-3.4779556000000003E-2</v>
      </c>
      <c r="J469">
        <v>0.49145369999999999</v>
      </c>
      <c r="K469">
        <f xml:space="preserve"> -55.696 * _2026_04_17_16_25_21_23_high[[#This Row],[coeff]] + 79.57</f>
        <v>21.936920967999995</v>
      </c>
      <c r="L469">
        <f xml:space="preserve"> -55.696 * _2026_04_17_16_25_21_23_high[[#This Row],[coeff]] + 79.57</f>
        <v>21.936920967999995</v>
      </c>
    </row>
    <row r="470" spans="1:12" x14ac:dyDescent="0.3">
      <c r="A470">
        <v>468</v>
      </c>
      <c r="B470">
        <v>11774</v>
      </c>
      <c r="C470" t="b">
        <v>1</v>
      </c>
      <c r="D470">
        <v>8060</v>
      </c>
      <c r="E470">
        <v>8111</v>
      </c>
      <c r="F470">
        <v>200.33332999999999</v>
      </c>
      <c r="G470">
        <v>193.6</v>
      </c>
      <c r="H470">
        <v>1.0347795</v>
      </c>
      <c r="I470">
        <v>-3.4779556000000003E-2</v>
      </c>
      <c r="J470">
        <v>0.49145369999999999</v>
      </c>
      <c r="K470">
        <f xml:space="preserve"> -55.696 * _2026_04_17_16_25_21_23_high[[#This Row],[coeff]] + 79.57</f>
        <v>21.936920967999995</v>
      </c>
      <c r="L470">
        <f xml:space="preserve"> -55.696 * _2026_04_17_16_25_21_23_high[[#This Row],[coeff]] + 79.57</f>
        <v>21.936920967999995</v>
      </c>
    </row>
    <row r="471" spans="1:12" x14ac:dyDescent="0.3">
      <c r="A471">
        <v>469</v>
      </c>
      <c r="B471">
        <v>11806</v>
      </c>
      <c r="C471" t="b">
        <v>1</v>
      </c>
      <c r="D471">
        <v>8037</v>
      </c>
      <c r="E471">
        <v>8123</v>
      </c>
      <c r="F471">
        <v>200.33332999999999</v>
      </c>
      <c r="G471">
        <v>194.4</v>
      </c>
      <c r="H471">
        <v>1.0305213</v>
      </c>
      <c r="I471">
        <v>-3.0521268000000001E-2</v>
      </c>
      <c r="J471">
        <v>0.49248436000000001</v>
      </c>
      <c r="K471">
        <f xml:space="preserve"> -55.696 * _2026_04_17_16_25_21_23_high[[#This Row],[coeff]] + 79.57</f>
        <v>22.174085675199997</v>
      </c>
      <c r="L471">
        <f xml:space="preserve"> -55.696 * _2026_04_17_16_25_21_23_high[[#This Row],[coeff]] + 79.57</f>
        <v>22.174085675199997</v>
      </c>
    </row>
    <row r="472" spans="1:12" x14ac:dyDescent="0.3">
      <c r="A472">
        <v>470</v>
      </c>
      <c r="B472">
        <v>11838</v>
      </c>
      <c r="C472" t="b">
        <v>1</v>
      </c>
      <c r="D472">
        <v>8042</v>
      </c>
      <c r="E472">
        <v>8117</v>
      </c>
      <c r="F472">
        <v>200.33332999999999</v>
      </c>
      <c r="G472">
        <v>195.2</v>
      </c>
      <c r="H472">
        <v>1.0262978</v>
      </c>
      <c r="I472">
        <v>-2.6297804000000001E-2</v>
      </c>
      <c r="J472">
        <v>0.49351086999999999</v>
      </c>
      <c r="K472">
        <f xml:space="preserve"> -55.696 * _2026_04_17_16_25_21_23_high[[#This Row],[coeff]] + 79.57</f>
        <v>22.409317731199991</v>
      </c>
      <c r="L472">
        <f xml:space="preserve"> -55.696 * _2026_04_17_16_25_21_23_high[[#This Row],[coeff]] + 79.57</f>
        <v>22.409317731199991</v>
      </c>
    </row>
    <row r="473" spans="1:12" x14ac:dyDescent="0.3">
      <c r="A473">
        <v>471</v>
      </c>
      <c r="B473">
        <v>11869</v>
      </c>
      <c r="C473" t="b">
        <v>1</v>
      </c>
      <c r="D473">
        <v>8042</v>
      </c>
      <c r="E473">
        <v>8117</v>
      </c>
      <c r="F473">
        <v>200.33332999999999</v>
      </c>
      <c r="G473">
        <v>195.6</v>
      </c>
      <c r="H473">
        <v>1.0241990000000001</v>
      </c>
      <c r="I473">
        <v>-2.4198988000000001E-2</v>
      </c>
      <c r="J473">
        <v>0.49402255</v>
      </c>
      <c r="K473">
        <f xml:space="preserve"> -55.696 * _2026_04_17_16_25_21_23_high[[#This Row],[coeff]] + 79.57</f>
        <v>22.526212495999992</v>
      </c>
      <c r="L473">
        <f xml:space="preserve"> -55.696 * _2026_04_17_16_25_21_23_high[[#This Row],[coeff]] + 79.57</f>
        <v>22.526212495999992</v>
      </c>
    </row>
    <row r="474" spans="1:12" x14ac:dyDescent="0.3">
      <c r="A474">
        <v>472</v>
      </c>
      <c r="B474">
        <v>11901</v>
      </c>
      <c r="C474" t="b">
        <v>1</v>
      </c>
      <c r="D474">
        <v>8030</v>
      </c>
      <c r="E474">
        <v>8111</v>
      </c>
      <c r="F474">
        <v>200.33332999999999</v>
      </c>
      <c r="G474">
        <v>196.4</v>
      </c>
      <c r="H474">
        <v>1.0200271999999999</v>
      </c>
      <c r="I474">
        <v>-2.0027159999999999E-2</v>
      </c>
      <c r="J474">
        <v>0.49504282999999999</v>
      </c>
      <c r="K474">
        <f xml:space="preserve"> -55.696 * _2026_04_17_16_25_21_23_high[[#This Row],[coeff]] + 79.57</f>
        <v>22.758565068800003</v>
      </c>
      <c r="L474">
        <f xml:space="preserve"> -55.696 * _2026_04_17_16_25_21_23_high[[#This Row],[coeff]] + 79.57</f>
        <v>22.758565068800003</v>
      </c>
    </row>
    <row r="475" spans="1:12" x14ac:dyDescent="0.3">
      <c r="A475">
        <v>473</v>
      </c>
      <c r="B475">
        <v>11933</v>
      </c>
      <c r="C475" t="b">
        <v>1</v>
      </c>
      <c r="D475">
        <v>8048</v>
      </c>
      <c r="E475">
        <v>8087</v>
      </c>
      <c r="F475">
        <v>200.33332999999999</v>
      </c>
      <c r="G475">
        <v>196.8</v>
      </c>
      <c r="H475">
        <v>1.0179539</v>
      </c>
      <c r="I475">
        <v>-1.7953888000000001E-2</v>
      </c>
      <c r="J475">
        <v>0.49555146999999999</v>
      </c>
      <c r="K475">
        <f xml:space="preserve"> -55.696 * _2026_04_17_16_25_21_23_high[[#This Row],[coeff]] + 79.57</f>
        <v>22.874039585599995</v>
      </c>
      <c r="L475">
        <f xml:space="preserve"> -55.696 * _2026_04_17_16_25_21_23_high[[#This Row],[coeff]] + 79.57</f>
        <v>22.874039585599995</v>
      </c>
    </row>
    <row r="476" spans="1:12" x14ac:dyDescent="0.3">
      <c r="A476">
        <v>474</v>
      </c>
      <c r="B476">
        <v>11964</v>
      </c>
      <c r="C476" t="b">
        <v>1</v>
      </c>
      <c r="D476">
        <v>8048</v>
      </c>
      <c r="E476">
        <v>8123</v>
      </c>
      <c r="F476">
        <v>200.33332999999999</v>
      </c>
      <c r="G476">
        <v>197.6</v>
      </c>
      <c r="H476">
        <v>1.0138326</v>
      </c>
      <c r="I476">
        <v>-1.3832601999999999E-2</v>
      </c>
      <c r="J476">
        <v>0.49656558000000001</v>
      </c>
      <c r="K476">
        <f xml:space="preserve"> -55.696 * _2026_04_17_16_25_21_23_high[[#This Row],[coeff]] + 79.57</f>
        <v>23.103579510399996</v>
      </c>
      <c r="L476">
        <f xml:space="preserve"> -55.696 * _2026_04_17_16_25_21_23_high[[#This Row],[coeff]] + 79.57</f>
        <v>23.103579510399996</v>
      </c>
    </row>
    <row r="477" spans="1:12" x14ac:dyDescent="0.3">
      <c r="A477">
        <v>475</v>
      </c>
      <c r="B477">
        <v>11979</v>
      </c>
      <c r="C477" t="b">
        <v>1</v>
      </c>
      <c r="D477">
        <v>8048</v>
      </c>
      <c r="E477">
        <v>8093</v>
      </c>
      <c r="F477">
        <v>200.73334</v>
      </c>
      <c r="G477">
        <v>198</v>
      </c>
      <c r="H477">
        <v>1.0138048</v>
      </c>
      <c r="I477">
        <v>-1.3804735E-2</v>
      </c>
      <c r="J477">
        <v>0.49657245999999999</v>
      </c>
      <c r="K477">
        <f xml:space="preserve"> -55.696 * _2026_04_17_16_25_21_23_high[[#This Row],[coeff]] + 79.57</f>
        <v>23.105127859199996</v>
      </c>
      <c r="L477">
        <f xml:space="preserve"> -55.696 * _2026_04_17_16_25_21_23_high[[#This Row],[coeff]] + 79.57</f>
        <v>23.105127859199996</v>
      </c>
    </row>
    <row r="478" spans="1:12" x14ac:dyDescent="0.3">
      <c r="A478">
        <v>476</v>
      </c>
      <c r="B478">
        <v>11995</v>
      </c>
      <c r="C478" t="b">
        <v>1</v>
      </c>
      <c r="D478">
        <v>8030</v>
      </c>
      <c r="E478">
        <v>8093</v>
      </c>
      <c r="F478">
        <v>201.13333</v>
      </c>
      <c r="G478">
        <v>197.2</v>
      </c>
      <c r="H478">
        <v>1.0199459</v>
      </c>
      <c r="I478">
        <v>-1.9945916000000001E-2</v>
      </c>
      <c r="J478">
        <v>0.49506276999999999</v>
      </c>
      <c r="K478">
        <f xml:space="preserve"> -55.696 * _2026_04_17_16_25_21_23_high[[#This Row],[coeff]] + 79.57</f>
        <v>22.763093153599996</v>
      </c>
      <c r="L478">
        <f xml:space="preserve"> -55.696 * _2026_04_17_16_25_21_23_high[[#This Row],[coeff]] + 79.57</f>
        <v>22.763093153599996</v>
      </c>
    </row>
    <row r="479" spans="1:12" x14ac:dyDescent="0.3">
      <c r="A479">
        <v>477</v>
      </c>
      <c r="B479">
        <v>12011</v>
      </c>
      <c r="C479" t="b">
        <v>1</v>
      </c>
      <c r="D479">
        <v>8048</v>
      </c>
      <c r="E479">
        <v>8105</v>
      </c>
      <c r="F479">
        <v>201.53334000000001</v>
      </c>
      <c r="G479">
        <v>196.4</v>
      </c>
      <c r="H479">
        <v>1.0261372</v>
      </c>
      <c r="I479">
        <v>-2.6137203000000001E-2</v>
      </c>
      <c r="J479">
        <v>0.49354997</v>
      </c>
      <c r="K479">
        <f xml:space="preserve"> -55.696 * _2026_04_17_16_25_21_23_high[[#This Row],[coeff]] + 79.57</f>
        <v>22.418262508799998</v>
      </c>
      <c r="L479">
        <f xml:space="preserve"> -55.696 * _2026_04_17_16_25_21_23_high[[#This Row],[coeff]] + 79.57</f>
        <v>22.418262508799998</v>
      </c>
    </row>
    <row r="480" spans="1:12" x14ac:dyDescent="0.3">
      <c r="A480">
        <v>478</v>
      </c>
      <c r="B480">
        <v>12027</v>
      </c>
      <c r="C480" t="b">
        <v>1</v>
      </c>
      <c r="D480">
        <v>8030</v>
      </c>
      <c r="E480">
        <v>8123</v>
      </c>
      <c r="F480">
        <v>201.93333000000001</v>
      </c>
      <c r="G480">
        <v>196.4</v>
      </c>
      <c r="H480">
        <v>1.0281738</v>
      </c>
      <c r="I480">
        <v>-2.8173831999999999E-2</v>
      </c>
      <c r="J480">
        <v>0.4930544</v>
      </c>
      <c r="K480">
        <f xml:space="preserve"> -55.696 * _2026_04_17_16_25_21_23_high[[#This Row],[coeff]] + 79.57</f>
        <v>22.304832035199993</v>
      </c>
      <c r="L480">
        <f xml:space="preserve"> -55.696 * _2026_04_17_16_25_21_23_high[[#This Row],[coeff]] + 79.57</f>
        <v>22.304832035199993</v>
      </c>
    </row>
    <row r="481" spans="1:12" x14ac:dyDescent="0.3">
      <c r="A481">
        <v>479</v>
      </c>
      <c r="B481">
        <v>12043</v>
      </c>
      <c r="C481" t="b">
        <v>1</v>
      </c>
      <c r="D481">
        <v>8037</v>
      </c>
      <c r="E481">
        <v>8111</v>
      </c>
      <c r="F481">
        <v>201.6</v>
      </c>
      <c r="G481">
        <v>196.4</v>
      </c>
      <c r="H481">
        <v>1.0264766000000001</v>
      </c>
      <c r="I481">
        <v>-2.6476642000000002E-2</v>
      </c>
      <c r="J481">
        <v>0.49346732999999998</v>
      </c>
      <c r="K481">
        <f xml:space="preserve"> -55.696 * _2026_04_17_16_25_21_23_high[[#This Row],[coeff]] + 79.57</f>
        <v>22.399359286399992</v>
      </c>
      <c r="L481">
        <f xml:space="preserve"> -55.696 * _2026_04_17_16_25_21_23_high[[#This Row],[coeff]] + 79.57</f>
        <v>22.399359286399992</v>
      </c>
    </row>
    <row r="482" spans="1:12" x14ac:dyDescent="0.3">
      <c r="A482">
        <v>480</v>
      </c>
      <c r="B482">
        <v>12074</v>
      </c>
      <c r="C482" t="b">
        <v>1</v>
      </c>
      <c r="D482">
        <v>8037</v>
      </c>
      <c r="E482">
        <v>8099</v>
      </c>
      <c r="F482">
        <v>201.6</v>
      </c>
      <c r="G482">
        <v>196.4</v>
      </c>
      <c r="H482">
        <v>1.0264766000000001</v>
      </c>
      <c r="I482">
        <v>-2.6476642000000002E-2</v>
      </c>
      <c r="J482">
        <v>0.49346732999999998</v>
      </c>
      <c r="K482">
        <f xml:space="preserve"> -55.696 * _2026_04_17_16_25_21_23_high[[#This Row],[coeff]] + 79.57</f>
        <v>22.399359286399992</v>
      </c>
      <c r="L482">
        <f xml:space="preserve"> -55.696 * _2026_04_17_16_25_21_23_high[[#This Row],[coeff]] + 79.57</f>
        <v>22.399359286399992</v>
      </c>
    </row>
    <row r="483" spans="1:12" x14ac:dyDescent="0.3">
      <c r="A483">
        <v>481</v>
      </c>
      <c r="B483">
        <v>12089</v>
      </c>
      <c r="C483" t="b">
        <v>1</v>
      </c>
      <c r="D483">
        <v>8048</v>
      </c>
      <c r="E483">
        <v>8111</v>
      </c>
      <c r="F483">
        <v>201.6</v>
      </c>
      <c r="G483">
        <v>196.4</v>
      </c>
      <c r="H483">
        <v>1.0264766000000001</v>
      </c>
      <c r="I483">
        <v>-2.6476642000000002E-2</v>
      </c>
      <c r="J483">
        <v>0.49346732999999998</v>
      </c>
      <c r="K483">
        <f xml:space="preserve"> -55.696 * _2026_04_17_16_25_21_23_high[[#This Row],[coeff]] + 79.57</f>
        <v>22.399359286399992</v>
      </c>
      <c r="L483">
        <f xml:space="preserve"> -55.696 * _2026_04_17_16_25_21_23_high[[#This Row],[coeff]] + 79.57</f>
        <v>22.399359286399992</v>
      </c>
    </row>
    <row r="484" spans="1:12" x14ac:dyDescent="0.3">
      <c r="A484">
        <v>482</v>
      </c>
      <c r="B484">
        <v>12105</v>
      </c>
      <c r="C484" t="b">
        <v>1</v>
      </c>
      <c r="D484">
        <v>8030</v>
      </c>
      <c r="E484">
        <v>8105</v>
      </c>
      <c r="F484">
        <v>201.6</v>
      </c>
      <c r="G484">
        <v>195.6</v>
      </c>
      <c r="H484">
        <v>1.0306747999999999</v>
      </c>
      <c r="I484">
        <v>-3.0674844999999999E-2</v>
      </c>
      <c r="J484">
        <v>0.49244714000000001</v>
      </c>
      <c r="K484">
        <f xml:space="preserve"> -55.696 * _2026_04_17_16_25_21_23_high[[#This Row],[coeff]] + 79.57</f>
        <v>22.165536339200003</v>
      </c>
      <c r="L484">
        <f xml:space="preserve"> -55.696 * _2026_04_17_16_25_21_23_high[[#This Row],[coeff]] + 79.57</f>
        <v>22.165536339200003</v>
      </c>
    </row>
    <row r="485" spans="1:12" x14ac:dyDescent="0.3">
      <c r="A485">
        <v>483</v>
      </c>
      <c r="B485">
        <v>12121</v>
      </c>
      <c r="C485" t="b">
        <v>1</v>
      </c>
      <c r="D485">
        <v>8030</v>
      </c>
      <c r="E485">
        <v>8105</v>
      </c>
      <c r="F485">
        <v>201.6</v>
      </c>
      <c r="G485">
        <v>195.2</v>
      </c>
      <c r="H485">
        <v>1.0327869999999999</v>
      </c>
      <c r="I485">
        <v>-3.2786929999999999E-2</v>
      </c>
      <c r="J485">
        <v>0.49193550000000003</v>
      </c>
      <c r="K485">
        <f xml:space="preserve"> -55.696 * _2026_04_17_16_25_21_23_high[[#This Row],[coeff]] + 79.57</f>
        <v>22.047895248000003</v>
      </c>
      <c r="L485">
        <f xml:space="preserve"> -55.696 * _2026_04_17_16_25_21_23_high[[#This Row],[coeff]] + 79.57</f>
        <v>22.047895248000003</v>
      </c>
    </row>
    <row r="486" spans="1:12" x14ac:dyDescent="0.3">
      <c r="A486">
        <v>484</v>
      </c>
      <c r="B486">
        <v>12137</v>
      </c>
      <c r="C486" t="b">
        <v>1</v>
      </c>
      <c r="D486">
        <v>8042</v>
      </c>
      <c r="E486">
        <v>8105</v>
      </c>
      <c r="F486">
        <v>201.6</v>
      </c>
      <c r="G486">
        <v>194</v>
      </c>
      <c r="H486">
        <v>1.0391752999999999</v>
      </c>
      <c r="I486">
        <v>-3.9175290000000002E-2</v>
      </c>
      <c r="J486">
        <v>0.49039431999999999</v>
      </c>
      <c r="K486">
        <f xml:space="preserve"> -55.696 * _2026_04_17_16_25_21_23_high[[#This Row],[coeff]] + 79.57</f>
        <v>21.6920924912</v>
      </c>
      <c r="L486">
        <f xml:space="preserve"> -55.696 * _2026_04_17_16_25_21_23_high[[#This Row],[coeff]] + 79.57</f>
        <v>21.6920924912</v>
      </c>
    </row>
    <row r="487" spans="1:12" x14ac:dyDescent="0.3">
      <c r="A487">
        <v>485</v>
      </c>
      <c r="B487">
        <v>12152</v>
      </c>
      <c r="C487" t="b">
        <v>1</v>
      </c>
      <c r="D487">
        <v>8048</v>
      </c>
      <c r="E487">
        <v>8134</v>
      </c>
      <c r="F487">
        <v>201.6</v>
      </c>
      <c r="G487">
        <v>192.8</v>
      </c>
      <c r="H487">
        <v>1.0456432</v>
      </c>
      <c r="I487">
        <v>-4.5643169999999997E-2</v>
      </c>
      <c r="J487">
        <v>0.48884379999999999</v>
      </c>
      <c r="K487">
        <f xml:space="preserve"> -55.696 * _2026_04_17_16_25_21_23_high[[#This Row],[coeff]] + 79.57</f>
        <v>21.331856332799994</v>
      </c>
      <c r="L487">
        <f xml:space="preserve"> -55.696 * _2026_04_17_16_25_21_23_high[[#This Row],[coeff]] + 79.57</f>
        <v>21.331856332799994</v>
      </c>
    </row>
    <row r="488" spans="1:12" x14ac:dyDescent="0.3">
      <c r="A488">
        <v>486</v>
      </c>
      <c r="B488">
        <v>12184</v>
      </c>
      <c r="C488" t="b">
        <v>1</v>
      </c>
      <c r="D488">
        <v>8030</v>
      </c>
      <c r="E488">
        <v>8111</v>
      </c>
      <c r="F488">
        <v>200.8</v>
      </c>
      <c r="G488">
        <v>192</v>
      </c>
      <c r="H488">
        <v>1.0458333</v>
      </c>
      <c r="I488">
        <v>-4.5833350000000002E-2</v>
      </c>
      <c r="J488">
        <v>0.48879837999999998</v>
      </c>
      <c r="K488">
        <f xml:space="preserve"> -55.696 * _2026_04_17_16_25_21_23_high[[#This Row],[coeff]] + 79.57</f>
        <v>21.321268523199997</v>
      </c>
      <c r="L488">
        <f xml:space="preserve"> -55.696 * _2026_04_17_16_25_21_23_high[[#This Row],[coeff]] + 79.57</f>
        <v>21.321268523199997</v>
      </c>
    </row>
    <row r="489" spans="1:12" x14ac:dyDescent="0.3">
      <c r="A489">
        <v>487</v>
      </c>
      <c r="B489">
        <v>12216</v>
      </c>
      <c r="C489" t="b">
        <v>1</v>
      </c>
      <c r="D489">
        <v>8048</v>
      </c>
      <c r="E489">
        <v>8111</v>
      </c>
      <c r="F489">
        <v>200.8</v>
      </c>
      <c r="G489">
        <v>191.6</v>
      </c>
      <c r="H489">
        <v>1.0480167</v>
      </c>
      <c r="I489">
        <v>-4.8016681999999998E-2</v>
      </c>
      <c r="J489">
        <v>0.48827725999999999</v>
      </c>
      <c r="K489">
        <f xml:space="preserve"> -55.696 * _2026_04_17_16_25_21_23_high[[#This Row],[coeff]] + 79.57</f>
        <v>21.199661876799993</v>
      </c>
      <c r="L489">
        <f xml:space="preserve"> -55.696 * _2026_04_17_16_25_21_23_high[[#This Row],[coeff]] + 79.57</f>
        <v>21.199661876799993</v>
      </c>
    </row>
    <row r="490" spans="1:12" x14ac:dyDescent="0.3">
      <c r="A490">
        <v>488</v>
      </c>
      <c r="B490">
        <v>12232</v>
      </c>
      <c r="C490" t="b">
        <v>1</v>
      </c>
      <c r="D490">
        <v>8054</v>
      </c>
      <c r="E490">
        <v>8111</v>
      </c>
      <c r="F490">
        <v>201.2</v>
      </c>
      <c r="G490">
        <v>191.2</v>
      </c>
      <c r="H490">
        <v>1.0523013000000001</v>
      </c>
      <c r="I490">
        <v>-5.2301258000000003E-2</v>
      </c>
      <c r="J490">
        <v>0.48725790000000002</v>
      </c>
      <c r="K490">
        <f xml:space="preserve"> -55.696 * _2026_04_17_16_25_21_23_high[[#This Row],[coeff]] + 79.57</f>
        <v>20.961026795199992</v>
      </c>
      <c r="L490">
        <f xml:space="preserve"> -55.696 * _2026_04_17_16_25_21_23_high[[#This Row],[coeff]] + 79.57</f>
        <v>20.961026795199992</v>
      </c>
    </row>
    <row r="491" spans="1:12" x14ac:dyDescent="0.3">
      <c r="A491">
        <v>489</v>
      </c>
      <c r="B491">
        <v>12247</v>
      </c>
      <c r="C491" t="b">
        <v>1</v>
      </c>
      <c r="D491">
        <v>8030</v>
      </c>
      <c r="E491">
        <v>8099</v>
      </c>
      <c r="F491">
        <v>201.6</v>
      </c>
      <c r="G491">
        <v>190.8</v>
      </c>
      <c r="H491">
        <v>1.0566038</v>
      </c>
      <c r="I491">
        <v>-5.6603790000000001E-2</v>
      </c>
      <c r="J491">
        <v>0.48623850000000002</v>
      </c>
      <c r="K491">
        <f xml:space="preserve"> -55.696 * _2026_04_17_16_25_21_23_high[[#This Row],[coeff]] + 79.57</f>
        <v>20.721394755199995</v>
      </c>
      <c r="L491">
        <f xml:space="preserve"> -55.696 * _2026_04_17_16_25_21_23_high[[#This Row],[coeff]] + 79.57</f>
        <v>20.721394755199995</v>
      </c>
    </row>
    <row r="492" spans="1:12" x14ac:dyDescent="0.3">
      <c r="A492">
        <v>490</v>
      </c>
      <c r="B492">
        <v>12263</v>
      </c>
      <c r="C492" t="b">
        <v>1</v>
      </c>
      <c r="D492">
        <v>8042</v>
      </c>
      <c r="E492">
        <v>8099</v>
      </c>
      <c r="F492">
        <v>201.2</v>
      </c>
      <c r="G492">
        <v>190.8</v>
      </c>
      <c r="H492">
        <v>1.0545073</v>
      </c>
      <c r="I492">
        <v>-5.4507303999999999E-2</v>
      </c>
      <c r="J492">
        <v>0.48673470000000002</v>
      </c>
      <c r="K492">
        <f xml:space="preserve"> -55.696 * _2026_04_17_16_25_21_23_high[[#This Row],[coeff]] + 79.57</f>
        <v>20.838161419199992</v>
      </c>
      <c r="L492">
        <f xml:space="preserve"> -55.696 * _2026_04_17_16_25_21_23_high[[#This Row],[coeff]] + 79.57</f>
        <v>20.838161419199992</v>
      </c>
    </row>
    <row r="493" spans="1:12" x14ac:dyDescent="0.3">
      <c r="A493">
        <v>491</v>
      </c>
      <c r="B493">
        <v>12295</v>
      </c>
      <c r="C493" t="b">
        <v>1</v>
      </c>
      <c r="D493">
        <v>8048</v>
      </c>
      <c r="E493">
        <v>8099</v>
      </c>
      <c r="F493">
        <v>201.2</v>
      </c>
      <c r="G493">
        <v>191.2</v>
      </c>
      <c r="H493">
        <v>1.0523013000000001</v>
      </c>
      <c r="I493">
        <v>-5.2301258000000003E-2</v>
      </c>
      <c r="J493">
        <v>0.48725790000000002</v>
      </c>
      <c r="K493">
        <f xml:space="preserve"> -55.696 * _2026_04_17_16_25_21_23_high[[#This Row],[coeff]] + 79.57</f>
        <v>20.961026795199992</v>
      </c>
      <c r="L493">
        <f xml:space="preserve"> -55.696 * _2026_04_17_16_25_21_23_high[[#This Row],[coeff]] + 79.57</f>
        <v>20.961026795199992</v>
      </c>
    </row>
    <row r="494" spans="1:12" x14ac:dyDescent="0.3">
      <c r="A494">
        <v>492</v>
      </c>
      <c r="B494">
        <v>12311</v>
      </c>
      <c r="C494" t="b">
        <v>1</v>
      </c>
      <c r="D494">
        <v>8060</v>
      </c>
      <c r="E494">
        <v>8075</v>
      </c>
      <c r="F494">
        <v>201.2</v>
      </c>
      <c r="G494">
        <v>191.6</v>
      </c>
      <c r="H494">
        <v>1.0501043999999999</v>
      </c>
      <c r="I494">
        <v>-5.0104335E-2</v>
      </c>
      <c r="J494">
        <v>0.48778006000000002</v>
      </c>
      <c r="K494">
        <f xml:space="preserve"> -55.696 * _2026_04_17_16_25_21_23_high[[#This Row],[coeff]] + 79.57</f>
        <v>21.083385337599999</v>
      </c>
      <c r="L494">
        <f xml:space="preserve"> -55.696 * _2026_04_17_16_25_21_23_high[[#This Row],[coeff]] + 79.57</f>
        <v>21.083385337599999</v>
      </c>
    </row>
    <row r="495" spans="1:12" x14ac:dyDescent="0.3">
      <c r="A495">
        <v>493</v>
      </c>
      <c r="B495">
        <v>12327</v>
      </c>
      <c r="C495" t="b">
        <v>1</v>
      </c>
      <c r="D495">
        <v>8037</v>
      </c>
      <c r="E495">
        <v>8117</v>
      </c>
      <c r="F495">
        <v>200.8</v>
      </c>
      <c r="G495">
        <v>191.2</v>
      </c>
      <c r="H495">
        <v>1.0502092999999999</v>
      </c>
      <c r="I495">
        <v>-5.0209240000000002E-2</v>
      </c>
      <c r="J495">
        <v>0.4877551</v>
      </c>
      <c r="K495">
        <f xml:space="preserve"> -55.696 * _2026_04_17_16_25_21_23_high[[#This Row],[coeff]] + 79.57</f>
        <v>21.077542827199998</v>
      </c>
      <c r="L495">
        <f xml:space="preserve"> -55.696 * _2026_04_17_16_25_21_23_high[[#This Row],[coeff]] + 79.57</f>
        <v>21.077542827199998</v>
      </c>
    </row>
    <row r="496" spans="1:12" x14ac:dyDescent="0.3">
      <c r="A496">
        <v>494</v>
      </c>
      <c r="B496">
        <v>12342</v>
      </c>
      <c r="C496" t="b">
        <v>1</v>
      </c>
      <c r="D496">
        <v>8030</v>
      </c>
      <c r="E496">
        <v>8099</v>
      </c>
      <c r="F496">
        <v>201.13333</v>
      </c>
      <c r="G496">
        <v>190.8</v>
      </c>
      <c r="H496">
        <v>1.0541579000000001</v>
      </c>
      <c r="I496">
        <v>-5.4157904999999999E-2</v>
      </c>
      <c r="J496">
        <v>0.48681748000000002</v>
      </c>
      <c r="K496">
        <f xml:space="preserve"> -55.696 * _2026_04_17_16_25_21_23_high[[#This Row],[coeff]] + 79.57</f>
        <v>20.857621601599988</v>
      </c>
      <c r="L496">
        <f xml:space="preserve"> -55.696 * _2026_04_17_16_25_21_23_high[[#This Row],[coeff]] + 79.57</f>
        <v>20.857621601599988</v>
      </c>
    </row>
    <row r="497" spans="1:12" x14ac:dyDescent="0.3">
      <c r="A497">
        <v>495</v>
      </c>
      <c r="B497">
        <v>12358</v>
      </c>
      <c r="C497" t="b">
        <v>1</v>
      </c>
      <c r="D497">
        <v>8030</v>
      </c>
      <c r="E497">
        <v>8117</v>
      </c>
      <c r="F497">
        <v>201.13333</v>
      </c>
      <c r="G497">
        <v>190.4</v>
      </c>
      <c r="H497">
        <v>1.0563724999999999</v>
      </c>
      <c r="I497">
        <v>-5.6372569999999997E-2</v>
      </c>
      <c r="J497">
        <v>0.48629319999999998</v>
      </c>
      <c r="K497">
        <f xml:space="preserve"> -55.696 * _2026_04_17_16_25_21_23_high[[#This Row],[coeff]] + 79.57</f>
        <v>20.734277239999997</v>
      </c>
      <c r="L497">
        <f xml:space="preserve"> -55.696 * _2026_04_17_16_25_21_23_high[[#This Row],[coeff]] + 79.57</f>
        <v>20.734277239999997</v>
      </c>
    </row>
    <row r="498" spans="1:12" x14ac:dyDescent="0.3">
      <c r="A498">
        <v>496</v>
      </c>
      <c r="B498">
        <v>12374</v>
      </c>
      <c r="C498" t="b">
        <v>1</v>
      </c>
      <c r="D498">
        <v>8042</v>
      </c>
      <c r="E498">
        <v>8105</v>
      </c>
      <c r="F498">
        <v>201.13333</v>
      </c>
      <c r="G498">
        <v>190</v>
      </c>
      <c r="H498">
        <v>1.0585964999999999</v>
      </c>
      <c r="I498">
        <v>-5.8596479999999999E-2</v>
      </c>
      <c r="J498">
        <v>0.48576786999999999</v>
      </c>
      <c r="K498">
        <f xml:space="preserve"> -55.696 * _2026_04_17_16_25_21_23_high[[#This Row],[coeff]] + 79.57</f>
        <v>20.610409335999996</v>
      </c>
      <c r="L498">
        <f xml:space="preserve"> -55.696 * _2026_04_17_16_25_21_23_high[[#This Row],[coeff]] + 79.57</f>
        <v>20.610409335999996</v>
      </c>
    </row>
    <row r="499" spans="1:12" x14ac:dyDescent="0.3">
      <c r="A499">
        <v>497</v>
      </c>
      <c r="B499">
        <v>12390</v>
      </c>
      <c r="C499" t="b">
        <v>1</v>
      </c>
      <c r="D499">
        <v>8048</v>
      </c>
      <c r="E499">
        <v>8111</v>
      </c>
      <c r="F499">
        <v>201.13333</v>
      </c>
      <c r="G499">
        <v>190</v>
      </c>
      <c r="H499">
        <v>1.0585964999999999</v>
      </c>
      <c r="I499">
        <v>-5.8596479999999999E-2</v>
      </c>
      <c r="J499">
        <v>0.48576786999999999</v>
      </c>
      <c r="K499">
        <f xml:space="preserve"> -55.696 * _2026_04_17_16_25_21_23_high[[#This Row],[coeff]] + 79.57</f>
        <v>20.610409335999996</v>
      </c>
      <c r="L499">
        <f xml:space="preserve"> -55.696 * _2026_04_17_16_25_21_23_high[[#This Row],[coeff]] + 79.57</f>
        <v>20.610409335999996</v>
      </c>
    </row>
    <row r="500" spans="1:12" x14ac:dyDescent="0.3">
      <c r="A500">
        <v>498</v>
      </c>
      <c r="B500">
        <v>12405</v>
      </c>
      <c r="C500" t="b">
        <v>1</v>
      </c>
      <c r="D500">
        <v>8054</v>
      </c>
      <c r="E500">
        <v>8111</v>
      </c>
      <c r="F500">
        <v>201.46665999999999</v>
      </c>
      <c r="G500">
        <v>190.4</v>
      </c>
      <c r="H500">
        <v>1.0581232</v>
      </c>
      <c r="I500">
        <v>-5.8123246000000003E-2</v>
      </c>
      <c r="J500">
        <v>0.48587956999999998</v>
      </c>
      <c r="K500">
        <f xml:space="preserve"> -55.696 * _2026_04_17_16_25_21_23_high[[#This Row],[coeff]] + 79.57</f>
        <v>20.636770252799991</v>
      </c>
      <c r="L500">
        <f xml:space="preserve"> -55.696 * _2026_04_17_16_25_21_23_high[[#This Row],[coeff]] + 79.57</f>
        <v>20.636770252799991</v>
      </c>
    </row>
    <row r="501" spans="1:12" x14ac:dyDescent="0.3">
      <c r="A501">
        <v>499</v>
      </c>
      <c r="B501">
        <v>12421</v>
      </c>
      <c r="C501" t="b">
        <v>1</v>
      </c>
      <c r="D501">
        <v>8030</v>
      </c>
      <c r="E501">
        <v>8111</v>
      </c>
      <c r="F501">
        <v>201.8</v>
      </c>
      <c r="G501">
        <v>190.8</v>
      </c>
      <c r="H501">
        <v>1.057652</v>
      </c>
      <c r="I501">
        <v>-5.765199E-2</v>
      </c>
      <c r="J501">
        <v>0.48599081999999999</v>
      </c>
      <c r="K501">
        <f xml:space="preserve"> -55.696 * _2026_04_17_16_25_21_23_high[[#This Row],[coeff]] + 79.57</f>
        <v>20.663014207999993</v>
      </c>
      <c r="L501">
        <f xml:space="preserve"> -55.696 * _2026_04_17_16_25_21_23_high[[#This Row],[coeff]] + 79.57</f>
        <v>20.663014207999993</v>
      </c>
    </row>
    <row r="502" spans="1:12" x14ac:dyDescent="0.3">
      <c r="A502">
        <v>500</v>
      </c>
      <c r="B502">
        <v>12437</v>
      </c>
      <c r="C502" t="b">
        <v>1</v>
      </c>
      <c r="D502">
        <v>8030</v>
      </c>
      <c r="E502">
        <v>8123</v>
      </c>
      <c r="F502">
        <v>201.8</v>
      </c>
      <c r="G502">
        <v>191.2</v>
      </c>
      <c r="H502">
        <v>1.0554394</v>
      </c>
      <c r="I502">
        <v>-5.5439363999999998E-2</v>
      </c>
      <c r="J502">
        <v>0.48651397000000002</v>
      </c>
      <c r="K502">
        <f xml:space="preserve"> -55.696 * _2026_04_17_16_25_21_23_high[[#This Row],[coeff]] + 79.57</f>
        <v>20.786247177599996</v>
      </c>
      <c r="L502">
        <f xml:space="preserve"> -55.696 * _2026_04_17_16_25_21_23_high[[#This Row],[coeff]] + 79.57</f>
        <v>20.786247177599996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2EE-20E2-4416-8BD3-4F0116E347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CDDC8E-4AFF-4FE7-8CB8-7459B7673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2026-04-17_16-42-00_-22_high</vt:lpstr>
      <vt:lpstr>2026-04-17_16-41-07_-19_high</vt:lpstr>
      <vt:lpstr>2026-04-17_16-43-51_-14_high</vt:lpstr>
      <vt:lpstr>2026-04-17_16-40-13_-12_high</vt:lpstr>
      <vt:lpstr>2026-04-17_16-38-14_-7_high</vt:lpstr>
      <vt:lpstr>2026-04-17_16-36-46_-5_high</vt:lpstr>
      <vt:lpstr>2026-04-17_16-35-28_-2_high</vt:lpstr>
      <vt:lpstr>2026-04-17_16-32-27_0_high</vt:lpstr>
      <vt:lpstr>2026-04-17_16-31-51_5_high</vt:lpstr>
      <vt:lpstr>2026-04-17_16-31-16_7_high</vt:lpstr>
      <vt:lpstr>2026-04-17_16-30-28_9_high</vt:lpstr>
      <vt:lpstr>2026-04-17_16-29-45_13_high</vt:lpstr>
      <vt:lpstr>2026-04-17_16-29-05_14_high</vt:lpstr>
      <vt:lpstr>2026-04-17_16-28-20_16_high</vt:lpstr>
      <vt:lpstr>2026-04-17_16-26-30_19_high</vt:lpstr>
      <vt:lpstr>2026-04-17_16-25-21_23_high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Darii Vereshchak</dc:creator>
  <cp:lastModifiedBy>Darii Vereshchak</cp:lastModifiedBy>
  <dcterms:created xsi:type="dcterms:W3CDTF">2026-04-17T23:48:42Z</dcterms:created>
  <dcterms:modified xsi:type="dcterms:W3CDTF">2026-04-27T19:50:22Z</dcterms:modified>
</cp:coreProperties>
</file>